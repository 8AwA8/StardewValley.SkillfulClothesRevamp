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 1.3.8 (Active)" sheetId="1" r:id="rId5"/>
    <sheet state="visible" name="Base Sheet 1.3.5 (Not Active)" sheetId="2" r:id="rId6"/>
    <sheet state="visible" name="Base Sheet 1.3.4 (Not Active)" sheetId="3" r:id="rId7"/>
    <sheet state="visible" name="Base Sheet 1.3.3 (Not Active)" sheetId="4" r:id="rId8"/>
    <sheet state="visible" name="Base Sheet 1.3.1 (NotActive)" sheetId="5" r:id="rId9"/>
    <sheet state="visible" name="Base Sheet 1.2.4 (Not Active)" sheetId="6" r:id="rId10"/>
    <sheet state="visible" name="Base Sheet 1.2.3 (Not Active)" sheetId="7" r:id="rId11"/>
    <sheet state="visible" name=" Base Sheet 1.1.6 (Not Active)"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tc={2acc1635-0362-4b74-b1d5-28430cdb7924}</author>
    <author>tc={32e4a146-404c-4616-947c-9e6fc41d1788}</author>
    <author>tc={438d432d-33f3-4ae1-ae94-d7d66d3914b6}</author>
    <author>tc={483fb3c0-784c-4ffa-bdae-f8ea3552560a}</author>
    <author>tc={552c32f8-d2d9-49ec-b47a-2878490285d6}</author>
    <author>tc={5c1b3a6e-ab41-47ac-bf1c-f98213ae16d3}</author>
    <author>tc={7a750f19-e736-4bc7-b9a8-0f62fad8c1a0}</author>
    <author>tc={8ee814f4-2da0-4d5f-94ef-28d14f8ba3fc}</author>
    <author>tc={951a8d80-3aa0-4d83-84a1-362729788d8a}</author>
    <author>tc={b3bf0987-bc5b-481d-9a9f-c2243b17deac}</author>
    <author>tc={cacb173f-5d40-42ae-b017-2dd69fbf2813}</author>
    <author>tc={dbe9711e-f0b2-4c28-b6b1-34febd989f93}</author>
  </authors>
  <commentList>
    <comment authorId="0" xr:uid="{2acc1635-0362-4b74-b1d5-28430cdb7924}" ref="F123">
      <text>
        <t xml:space="preserve">[Threaded comment]
 Your version of Excel allows you to read this threaded comment; however, any edits to it will get removed if the file is opened in a newer version of Excel. Learn more: https://go.microsoft.com/fwlink/?linkid=870924
Comment:
	+7 attack (rest ok)
But why does it exist in my game if it is Shiny fish exclusive?
Reply:
	I made both, that's all. Will probably remove next update though.
Reply:
	Marked as resolved
Reply:
	oops- keeping this open.
Re-opened
Reply:
	Is this hat normally accessible in game with normal gameplay? Cause i do not find it on the wiki
Reply:
	It isn't. Its a hat added to be an easter egg for if you also have shiny fish.
Reply:
	Ok, it's added by your mod  then, thanks for the answer
Reply:
	Marked as resolved
Reply:
	Re-opened
</t>
      </text>
    </comment>
    <comment authorId="1" xr:uid="{32e4a146-404c-4616-947c-9e6fc41d1788}" ref="A1">
      <text>
        <t xml:space="preserve">[Threaded comment]
 Your version of Excel allows you to read this threaded comment; however, any edits to it will get removed if the file is opened in a newer version of Excel. Learn more: https://go.microsoft.com/fwlink/?linkid=870924
Comment:
	What does Auto water mean?
</t>
      </text>
    </comment>
    <comment authorId="2" xr:uid="{438d432d-33f3-4ae1-ae94-d7d66d3914b6}" ref="A425">
      <text>
        <t xml:space="preserve">[Threaded comment]
 Your version of Excel allows you to read this threaded comment; however, any edits to it will get removed if the file is opened in a newer version of Excel. Learn more: https://go.microsoft.com/fwlink/?linkid=870924
Comment:
	Hi, is having several time the loving rancher buff useful? Cause you get it 3 times with the full set of "prairie friend".
Reply:
	Yes it is, it will act as different instances of chances
Reply:
	Ok, thanks
</t>
      </text>
    </comment>
    <comment authorId="3" xr:uid="{483fb3c0-784c-4ffa-bdae-f8ea3552560a}" ref="E217">
      <text>
        <t xml:space="preserve">[Threaded comment]
 Your version of Excel allows you to read this threaded comment; however, any edits to it will get removed if the file is opened in a newer version of Excel. Learn more: https://go.microsoft.com/fwlink/?linkid=870924
Comment:
	Hi, it's me again. Just wanted to ask, did you by any chance modify some tailoring recipe? Cause the Green jacket shirt was supposed to be crafted with a duck egg initially, but that is not working (work fine with no mod). I installed "lookup anything" to see, and there is no recipe anymore for it.
Reply:
	This mod does by default change some crafting recipes, like green jacket (to use statue of blessing). This can be disabled in the CP config. I'll look into this and make sure, though
Reply:
	Ok, i didn't see that parameter then, my bad. But what do you mean exactly by "to use statue of blessing"?
Reply:
	It changes the recipe to require / use a statue of blessing, a late game item that is pretty hard to come by.
</t>
      </text>
    </comment>
    <comment authorId="4" xr:uid="{552c32f8-d2d9-49ec-b47a-2878490285d6}" ref="F283">
      <text>
        <t xml:space="preserve">[Threaded comment]
 Your version of Excel allows you to read this threaded comment; however, any edits to it will get removed if the file is opened in a newer version of Excel. Learn more: https://go.microsoft.com/fwlink/?linkid=870924
Comment:
	caution, there is 3 sailor shirt, 2 of them have this bonus, the third don't have anything
Reply:
	will fix, leaving open for now
</t>
      </text>
    </comment>
    <comment authorId="5" xr:uid="{5c1b3a6e-ab41-47ac-bf1c-f98213ae16d3}" ref="H508">
      <text>
        <t xml:space="preserve">[Threaded comment]
 Your version of Excel allows you to read this threaded comment; however, any edits to it will get removed if the file is opened in a newer version of Excel. Learn more: https://go.microsoft.com/fwlink/?linkid=870924
Comment:
	I'm done. Thanks again for the mod, and see ya.
Reply:
	Thanks so much for this, didn't realise how many pieces I hadnt updated in the docs. 
If you had any feature requests, changes youd like me to make etc. please let me know.
Reply:
	There is not much. I am quite satisfied with what there is already. The only thing i could ask is for autowater to get a little up. The starting value is ok, but the value at level 10 is 0.44, which is only 0.06 less than what you get with an iridium watering can (18 tiles for 9 energy). There would be no interest in using autowater late. And since the down side of autowater already exist (you take more time to water your crops than doing it with the Ir watering can (18 tiles at once)), i think that would be ok to bring the value down, maybe like 0.3 at level 10 farming? I know that sprinklers exist, but the function of autowater would be useless if we think just like that.
Reply:
	That makes sense, I'll buff the level scaling :)
</t>
      </text>
    </comment>
    <comment authorId="6" xr:uid="{7a750f19-e736-4bc7-b9a8-0f62fad8c1a0}" ref="F151">
      <text>
        <t xml:space="preserve">[Threaded comment]
 Your version of Excel allows you to read this threaded comment; however, any edits to it will get removed if the file is opened in a newer version of Excel. Learn more: https://go.microsoft.com/fwlink/?linkid=870924
Comment:
	What does this mean? Soft edge variant? I'm keen to use this but it looks a little too easy to make with just Fiber or Wood.
Reply:
	The soft edge variant is a very rare variant only obtainable as part of a rare costume during the desert festival from emily's stand.
Reply:
	Perfect, thank you! I've been away from SDV since before the release of LoZ Tears of the Kingdom so there's been a lot of new content since :)
</t>
      </text>
    </comment>
    <comment authorId="7" xr:uid="{8ee814f4-2da0-4d5f-94ef-28d14f8ba3fc}" ref="A1">
      <text>
        <t xml:space="preserve">[Threaded comment]
 Your version of Excel allows you to read this threaded comment; however, any edits to it will get removed if the file is opened in a newer version of Excel. Learn more: https://go.microsoft.com/fwlink/?linkid=870924
Comment:
	Married? You get Mom/Dad strength when working in the town/farm while married with kids
</t>
      </text>
    </comment>
    <comment authorId="8" xr:uid="{951a8d80-3aa0-4d83-84a1-362729788d8a}" ref="A1">
      <text>
        <t xml:space="preserve">[Threaded comment]
 Your version of Excel allows you to read this threaded comment; however, any edits to it will get removed if the file is opened in a newer version of Excel. Learn more: https://go.microsoft.com/fwlink/?linkid=870924
Comment:
	Change to 1 Luck?
</t>
      </text>
    </comment>
    <comment authorId="9" xr:uid="{b3bf0987-bc5b-481d-9a9f-c2243b17deac}" ref="F28">
      <text>
        <t xml:space="preserve">[Threaded comment]
 Your version of Excel allows you to read this threaded comment; however, any edits to it will get removed if the file is opened in a newer version of Excel. Learn more: https://go.microsoft.com/fwlink/?linkid=870924
Comment:
	x1.2 crit damage?
Reply:
	Should be 2x, will fix in next update.
</t>
      </text>
    </comment>
    <comment authorId="10" xr:uid="{cacb173f-5d40-42ae-b017-2dd69fbf2813}" ref="A1">
      <text>
        <t xml:space="preserve">[Threaded comment]
 Your version of Excel allows you to read this threaded comment; however, any edits to it will get removed if the file is opened in a newer version of Excel. Learn more: https://go.microsoft.com/fwlink/?linkid=870924
Comment:
	Napalm ring
</t>
      </text>
    </comment>
    <comment authorId="11" xr:uid="{dbe9711e-f0b2-4c28-b6b1-34febd989f93}" ref="A1">
      <text>
        <t xml:space="preserve">[Threaded comment]
 Your version of Excel allows you to read this threaded comment; however, any edits to it will get removed if the file is opened in a newer version of Excel. Learn more: https://go.microsoft.com/fwlink/?linkid=870924
Comment:
	Can there be a thorns effect stronger than the thorns ring, I want to spec myself to be Rammus
Reply:
	Add it to a shirt/pants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tc={65735fd0-3fe7-44c7-95d2-3677a85af7e6}</author>
  </authors>
  <commentList>
    <comment authorId="0" xr:uid="{65735fd0-3fe7-44c7-95d2-3677a85af7e6}" ref="A123">
      <text>
        <t xml:space="preserve">[Threaded comment]
 Your version of Excel allows you to read this threaded comment; however, any edits to it will get removed if the file is opened in a newer version of Excel. Learn more: https://go.microsoft.com/fwlink/?linkid=870924
Comment:
	what
Reply:
	This hat is only found if you play with the "Shiny Fish" mod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tc={ba01829c-287c-4878-ae42-74abf7a27663}</author>
  </authors>
  <commentList>
    <comment authorId="0" xr:uid="{ba01829c-287c-4878-ae42-74abf7a27663}" ref="A404">
      <text>
        <t xml:space="preserve">[Threaded comment]
 Your version of Excel allows you to read this threaded comment; however, any edits to it will get removed if the file is opened in a newer version of Excel. Learn more: https://go.microsoft.com/fwlink/?linkid=870924
Comment:
	Proper spelling would be "Mercenary"
Reply:
	Thanks!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tc={32a5029b-6f45-48c3-ae82-5251b97871ea}</author>
  </authors>
  <commentList>
    <comment authorId="0" xr:uid="{32a5029b-6f45-48c3-ae82-5251b97871ea}" ref="F215">
      <text>
        <t xml:space="preserve">[Threaded comment]
 Your version of Excel allows you to read this threaded comment; however, any edits to it will get removed if the file is opened in a newer version of Excel. Learn more: https://go.microsoft.com/fwlink/?linkid=870924
Comment:
	Too OP
If/When a monster drops it then, in less than 10 minutes, stamina becomes full
Reply:
	Marked as resolved
Reply:
	Re-opened
Reply:
	Will triple the time required for stamina regeneration
</t>
      </text>
    </comment>
  </commentList>
</comments>
</file>

<file path=xl/sharedStrings.xml><?xml version="1.0" encoding="utf-8"?>
<sst xmlns="http://schemas.openxmlformats.org/spreadsheetml/2006/main" count="16567" uniqueCount="1990">
  <si>
    <t>Item Name</t>
  </si>
  <si>
    <t xml:space="preserve">   Item Description</t>
  </si>
  <si>
    <t>Method Of Obtaining</t>
  </si>
  <si>
    <t>Effect(s)</t>
  </si>
  <si>
    <t>Set Bonus</t>
  </si>
  <si>
    <t>Witch Hat</t>
  </si>
  <si>
    <t>A pointy hat popular with witches.</t>
  </si>
  <si>
    <t>Tailoring</t>
  </si>
  <si>
    <t>10 immunity, 5% Witch Event Chance, Magic Quiver (Fall: 25 dodge change, 20 ranged power, popularity)</t>
  </si>
  <si>
    <t>White Turban</t>
  </si>
  <si>
    <t>A fine white silk turban with blue trim.</t>
  </si>
  <si>
    <t>Tailoring
Skull Cavern treasure chests (~3.8% chance).</t>
  </si>
  <si>
    <t>10 immunity, 5% Witch Event Chance, Magic Quiver (Fall: 25 dodge change, 20 ranged power, 1.17 popularity, 6 magnetism)</t>
  </si>
  <si>
    <t>(desert:50 energy, 2 speed, protective ring)</t>
  </si>
  <si>
    <t>White Bow</t>
  </si>
  <si>
    <t>A bow as white as snow.</t>
  </si>
  <si>
    <t>Help your forest neighbors grow their family.</t>
  </si>
  <si>
    <t>Wearable Dwarf Helm</t>
  </si>
  <si>
    <t>A slightly larger, human sized version of the helmets worn by dwarves.</t>
  </si>
  <si>
    <t>2 defense, 20% dwarf discount (underground: 20 health, 20 energy)</t>
  </si>
  <si>
    <t>Diggy Diggy</t>
  </si>
  <si>
    <t>Watermelon Band</t>
  </si>
  <si>
    <t>The color scheme was inspired by the beloved summer melon.</t>
  </si>
  <si>
    <t>Catch 100 Fish.</t>
  </si>
  <si>
    <t>(On farm: 5 fishing)</t>
  </si>
  <si>
    <t>Warrior Helmet</t>
  </si>
  <si>
    <t>An Ostrich eggshell repurposed into a helmet.</t>
  </si>
  <si>
    <t>1.25x attack Underground((Half health: 3 attack, 1 speed),(Low health: 5 attack, 2 speed), (Critical health: 15 attack, 2 speed)) ALL STACK</t>
  </si>
  <si>
    <t>Trucker Hat</t>
  </si>
  <si>
    <t>Mesh in the back to keep your head cool.</t>
  </si>
  <si>
    <t>Craft 30 different items.</t>
  </si>
  <si>
    <t>Crafter</t>
  </si>
  <si>
    <t>Tropiclip</t>
  </si>
  <si>
    <t>It's shaped like a little palm tree.</t>
  </si>
  <si>
    <t>Upgrade your house.</t>
  </si>
  <si>
    <t>Tricorn Hat</t>
  </si>
  <si>
    <t>It's a traditional hat for naval officers.</t>
  </si>
  <si>
    <r>
      <rPr>
        <rFont val="Arial"/>
        <color rgb="FF202122"/>
        <sz val="11.0"/>
      </rPr>
      <t xml:space="preserve">Purchase for  100 from </t>
    </r>
    <r>
      <rPr>
        <rFont val="Arial"/>
        <color rgb="FF202122"/>
        <sz val="11.0"/>
      </rPr>
      <t>Elliott's shop</t>
    </r>
    <r>
      <rPr>
        <rFont val="Arial"/>
        <color rgb="FF202122"/>
        <sz val="11.0"/>
      </rPr>
      <t xml:space="preserve"> at the </t>
    </r>
    <r>
      <rPr>
        <rFont val="Arial"/>
        <color rgb="FF202122"/>
        <sz val="11.0"/>
      </rPr>
      <t>Desert Festival</t>
    </r>
    <r>
      <rPr>
        <rFont val="Arial"/>
        <color rgb="FF202122"/>
        <sz val="11.0"/>
      </rPr>
      <t>.</t>
    </r>
  </si>
  <si>
    <t>2 attack, 2 fishing, 2 combat, 1.10x combat xp, 1.10x fishing xp</t>
  </si>
  <si>
    <t>Siren</t>
  </si>
  <si>
    <t>Totem Mask</t>
  </si>
  <si>
    <t>1.25x attack Underground((Half health: 6 attack, 1 speed),(Low health: 12 attack, 2 speed), (Critical health: 20 attack, 2 speed)) ALL STACK</t>
  </si>
  <si>
    <t>Don't worry, it won't warp your face...</t>
  </si>
  <si>
    <t>1 defense, 1 speed, 2 foraging</t>
  </si>
  <si>
    <t>Top Hat</t>
  </si>
  <si>
    <t>A gentleman's classic.</t>
  </si>
  <si>
    <r>
      <rPr>
        <rFont val="Arial"/>
        <color rgb="FF202122"/>
        <sz val="11.0"/>
      </rPr>
      <t xml:space="preserve">Purchase for 8,000 in Qi's </t>
    </r>
    <r>
      <rPr>
        <rFont val="Arial"/>
        <color rgb="FF202122"/>
        <sz val="11.0"/>
        <u/>
      </rPr>
      <t>Casino</t>
    </r>
    <r>
      <rPr>
        <rFont val="Arial"/>
        <color rgb="FF202122"/>
        <sz val="11.0"/>
      </rPr>
      <t>.</t>
    </r>
  </si>
  <si>
    <t>popularity, sturdy ring, 2x weapon knockback</t>
  </si>
  <si>
    <t>Tiger Hat</t>
  </si>
  <si>
    <t>Makes you look like a beautiful tiger.</t>
  </si>
  <si>
    <t>0.1% chance of dropping from Tiger Slimes.</t>
  </si>
  <si>
    <t>1 foraging, 3 attack, slimed, 7 speed (island: 1 speed, 1.5x attack)</t>
  </si>
  <si>
    <t>Wild</t>
  </si>
  <si>
    <t>Tiara</t>
  </si>
  <si>
    <t>This one has a big amethyst encircled by gold.</t>
  </si>
  <si>
    <r>
      <rPr>
        <rFont val="Arial"/>
        <color rgb="FF202122"/>
        <sz val="11.0"/>
      </rPr>
      <t xml:space="preserve">Purchase for  100 from </t>
    </r>
    <r>
      <rPr>
        <rFont val="Arial"/>
        <color rgb="FF202122"/>
        <sz val="11.0"/>
      </rPr>
      <t>Elliott's shop</t>
    </r>
    <r>
      <rPr>
        <rFont val="Arial"/>
        <color rgb="FF202122"/>
        <sz val="11.0"/>
      </rPr>
      <t xml:space="preserve"> at the </t>
    </r>
    <r>
      <rPr>
        <rFont val="Arial"/>
        <color rgb="FF202122"/>
        <sz val="11.0"/>
      </rPr>
      <t>Desert Festival</t>
    </r>
    <r>
      <rPr>
        <rFont val="Arial"/>
        <color rgb="FF202122"/>
        <sz val="11.0"/>
      </rPr>
      <t>.</t>
    </r>
  </si>
  <si>
    <r>
      <rPr>
        <rFont val="Arial"/>
        <color rgb="FF202122"/>
        <sz val="11.0"/>
      </rPr>
      <t xml:space="preserve">Reach a 5-heart </t>
    </r>
    <r>
      <rPr>
        <rFont val="Arial"/>
        <color rgb="FF202122"/>
        <sz val="11.0"/>
        <u/>
      </rPr>
      <t>friend</t>
    </r>
    <r>
      <rPr>
        <rFont val="Arial"/>
        <color rgb="FF202122"/>
        <sz val="11.0"/>
      </rPr>
      <t xml:space="preserve"> level with 4 people.</t>
    </r>
  </si>
  <si>
    <t>Popularity, (storm:popularity) STACKS</t>
  </si>
  <si>
    <r>
      <rPr>
        <rFont val="Arial"/>
        <color rgb="FF202122"/>
        <sz val="11.0"/>
      </rPr>
      <t xml:space="preserve">Purchase for  100 from </t>
    </r>
    <r>
      <rPr>
        <rFont val="Arial"/>
        <color rgb="FF202122"/>
        <sz val="11.0"/>
      </rPr>
      <t>Elliott's shop</t>
    </r>
    <r>
      <rPr>
        <rFont val="Arial"/>
        <color rgb="FF202122"/>
        <sz val="11.0"/>
      </rPr>
      <t xml:space="preserve"> at the </t>
    </r>
    <r>
      <rPr>
        <rFont val="Arial"/>
        <color rgb="FF202122"/>
        <sz val="11.0"/>
      </rPr>
      <t>Desert Festival</t>
    </r>
    <r>
      <rPr>
        <rFont val="Arial"/>
        <color rgb="FF202122"/>
        <sz val="11.0"/>
      </rPr>
      <t>.</t>
    </r>
  </si>
  <si>
    <t>Swashbuckler Hat</t>
  </si>
  <si>
    <t>The classic swashbuckler look.</t>
  </si>
  <si>
    <t>8 attack, (island underground: 2 speed)</t>
  </si>
  <si>
    <r>
      <rPr>
        <rFont val="Arial"/>
        <color rgb="FF202122"/>
        <sz val="11.0"/>
      </rPr>
      <t xml:space="preserve">Purchase for  100 from </t>
    </r>
    <r>
      <rPr>
        <rFont val="Arial"/>
        <color rgb="FF202122"/>
        <sz val="11.0"/>
      </rPr>
      <t>Elliott's shop</t>
    </r>
    <r>
      <rPr>
        <rFont val="Arial"/>
        <color rgb="FF202122"/>
        <sz val="11.0"/>
      </rPr>
      <t xml:space="preserve"> at the </t>
    </r>
    <r>
      <rPr>
        <rFont val="Arial"/>
        <color rgb="FF202122"/>
        <sz val="11.0"/>
      </rPr>
      <t>Desert Festival</t>
    </r>
    <r>
      <rPr>
        <rFont val="Arial"/>
        <color rgb="FF202122"/>
        <sz val="11.0"/>
      </rPr>
      <t>.</t>
    </r>
  </si>
  <si>
    <t>Sunglasses</t>
  </si>
  <si>
    <t>These give you a relaxed look.</t>
  </si>
  <si>
    <t>(8am - 3pm: 2 speed) (4pm-2am:-1 speed)</t>
  </si>
  <si>
    <r>
      <rPr>
        <rFont val="Arial"/>
        <color rgb="FF202122"/>
        <sz val="11.0"/>
      </rPr>
      <t xml:space="preserve">Purchase for 8,000 in Qi's </t>
    </r>
    <r>
      <rPr>
        <rFont val="Arial"/>
        <color rgb="FF202122"/>
        <sz val="11.0"/>
        <u/>
      </rPr>
      <t>Casino</t>
    </r>
    <r>
      <rPr>
        <rFont val="Arial"/>
        <color rgb="FF202122"/>
        <sz val="11.0"/>
      </rPr>
      <t>.</t>
    </r>
  </si>
  <si>
    <t>Straw Hat</t>
  </si>
  <si>
    <t>Light and cool, it's a farmer's delight.</t>
  </si>
  <si>
    <t>1.17 popularity, sturdy ring, 2x weapon knockback</t>
  </si>
  <si>
    <t>Win the egg hunt at the Egg Festival.</t>
  </si>
  <si>
    <r>
      <rPr>
        <rFont val="Arial"/>
        <color rgb="FF202122"/>
        <sz val="11.0"/>
      </rPr>
      <t xml:space="preserve">Purchase for 8,000 in Qi's </t>
    </r>
    <r>
      <rPr>
        <rFont val="Arial"/>
        <color rgb="FF202122"/>
        <sz val="11.0"/>
        <u/>
      </rPr>
      <t>Casino</t>
    </r>
    <r>
      <rPr>
        <rFont val="Arial"/>
        <color rgb="FF202122"/>
        <sz val="11.0"/>
      </rPr>
      <t>.</t>
    </r>
  </si>
  <si>
    <t>Autowater, (FarmPlaces between 6 and 8am: 1 speed)</t>
  </si>
  <si>
    <t>Steel Pan (hat)</t>
  </si>
  <si>
    <r>
      <rPr>
        <rFont val="Arial"/>
        <color rgb="FF202122"/>
        <sz val="11.0"/>
      </rPr>
      <t xml:space="preserve">Purchase for 8,000 in Qi's </t>
    </r>
    <r>
      <rPr>
        <rFont val="Arial"/>
        <color rgb="FF202122"/>
        <sz val="11.0"/>
        <u/>
      </rPr>
      <t>Casino</t>
    </r>
    <r>
      <rPr>
        <rFont val="Arial"/>
        <color rgb="FF202122"/>
        <sz val="11.0"/>
      </rPr>
      <t>.</t>
    </r>
  </si>
  <si>
    <t>You place the steel pan on your head...</t>
  </si>
  <si>
    <t>Place the Steel Pan in the hat slot next to the farmer sprite in the inventory menu.</t>
  </si>
  <si>
    <t>1 speed</t>
  </si>
  <si>
    <t>Star Helmet</t>
  </si>
  <si>
    <t>A red hat with stars on it.</t>
  </si>
  <si>
    <t>(When holding Return Scepter: 30 defense, -3 speed, 3 white glow)</t>
  </si>
  <si>
    <r>
      <rPr>
        <rFont val="Arial"/>
        <color rgb="FF202122"/>
        <sz val="11.0"/>
      </rPr>
      <t xml:space="preserve">Reach a 5-heart </t>
    </r>
    <r>
      <rPr>
        <rFont val="Arial"/>
        <color rgb="FF202122"/>
        <sz val="11.0"/>
        <u/>
      </rPr>
      <t>friend</t>
    </r>
    <r>
      <rPr>
        <rFont val="Arial"/>
        <color rgb="FF202122"/>
        <sz val="11.0"/>
      </rPr>
      <t xml:space="preserve"> level with 4 people.</t>
    </r>
  </si>
  <si>
    <t>Eclipse</t>
  </si>
  <si>
    <t>Squire's Helmet</t>
  </si>
  <si>
    <t>1.17 Popularity, (storm:1.17 popularity) STACKS</t>
  </si>
  <si>
    <r>
      <rPr>
        <rFont val="Arial"/>
        <color rgb="FF202122"/>
        <sz val="11.0"/>
      </rPr>
      <t xml:space="preserve">Reach a 5-heart </t>
    </r>
    <r>
      <rPr>
        <rFont val="Arial"/>
        <color rgb="FF202122"/>
        <sz val="11.0"/>
        <u/>
      </rPr>
      <t>friend</t>
    </r>
    <r>
      <rPr>
        <rFont val="Arial"/>
        <color rgb="FF202122"/>
        <sz val="11.0"/>
      </rPr>
      <t xml:space="preserve"> level with 4 people.</t>
    </r>
  </si>
  <si>
    <t>The face is exposed to increase air flow.</t>
  </si>
  <si>
    <r>
      <rPr>
        <rFont val="Arial"/>
        <color rgb="FF202122"/>
        <sz val="11.0"/>
      </rPr>
      <t xml:space="preserve">Monster drop from </t>
    </r>
    <r>
      <rPr>
        <rFont val="Arial"/>
        <color rgb="FF202122"/>
        <sz val="11.0"/>
        <u/>
      </rPr>
      <t>Metal Heads</t>
    </r>
    <r>
      <rPr>
        <rFont val="Arial"/>
        <color rgb="FF202122"/>
        <sz val="11.0"/>
      </rPr>
      <t>.</t>
    </r>
  </si>
  <si>
    <t>3 defense</t>
  </si>
  <si>
    <t>Squid Hat</t>
  </si>
  <si>
    <t>It's your chance to wear a squid on the head.</t>
  </si>
  <si>
    <t>Obtained as a reward from the SquidFest.</t>
  </si>
  <si>
    <t>FishingBarBoost, (ocean: 2 fishing, 1.2x fishing xp)</t>
  </si>
  <si>
    <t>Spotted Headscarf</t>
  </si>
  <si>
    <t>A red polka-dot scarf tied around the head.</t>
  </si>
  <si>
    <t>Sports Cap</t>
  </si>
  <si>
    <t>The cap has a vintage team logo on it.</t>
  </si>
  <si>
    <r>
      <rPr>
        <rFont val="Arial"/>
        <color rgb="FF202122"/>
        <sz val="11.0"/>
      </rPr>
      <t xml:space="preserve">Reach a 5-heart </t>
    </r>
    <r>
      <rPr>
        <rFont val="Arial"/>
        <color rgb="FF202122"/>
        <sz val="11.0"/>
        <u/>
      </rPr>
      <t>friend</t>
    </r>
    <r>
      <rPr>
        <rFont val="Arial"/>
        <color rgb="FF202122"/>
        <sz val="11.0"/>
      </rPr>
      <t xml:space="preserve"> level with 4 people.</t>
    </r>
  </si>
  <si>
    <r>
      <rPr>
        <rFont val="Arial"/>
        <color rgb="FF202122"/>
        <sz val="11.0"/>
      </rPr>
      <t xml:space="preserve">Can be obtained from the </t>
    </r>
    <r>
      <rPr>
        <rFont val="Arial"/>
        <color rgb="FF202122"/>
        <sz val="11.0"/>
        <u/>
      </rPr>
      <t>Prize Machine</t>
    </r>
    <r>
      <rPr>
        <rFont val="Arial"/>
        <color rgb="FF202122"/>
        <sz val="11.0"/>
      </rPr>
      <t>.</t>
    </r>
  </si>
  <si>
    <t>1 speed, 1 stamina regen</t>
  </si>
  <si>
    <t>Space Helmet</t>
  </si>
  <si>
    <t>Warning: This helmet has not actually been tested in outer space.</t>
  </si>
  <si>
    <r>
      <rPr>
        <rFont val="Arial"/>
        <color rgb="FF202122"/>
        <sz val="11.0"/>
      </rPr>
      <t xml:space="preserve">Reach the bottom of the 'dangerous' </t>
    </r>
    <r>
      <rPr>
        <rFont val="Arial"/>
        <color rgb="FF202122"/>
        <sz val="11.0"/>
        <u/>
      </rPr>
      <t>mines</t>
    </r>
    <r>
      <rPr>
        <rFont val="Arial"/>
        <color rgb="FF202122"/>
        <sz val="11.0"/>
      </rPr>
      <t>.</t>
    </r>
  </si>
  <si>
    <t>(Dangerous Mines: 5 mining, 5 defense) BeeKeeper</t>
  </si>
  <si>
    <t>Sou'wester</t>
  </si>
  <si>
    <t>The shape helps to keep sailors dry during storms.</t>
  </si>
  <si>
    <r>
      <rPr>
        <rFont val="Arial"/>
        <color rgb="FF202122"/>
        <sz val="11.0"/>
      </rPr>
      <t xml:space="preserve">Catch 10 different </t>
    </r>
    <r>
      <rPr>
        <rFont val="Arial"/>
        <color rgb="FF202122"/>
        <sz val="11.0"/>
        <u/>
      </rPr>
      <t>fish</t>
    </r>
    <r>
      <rPr>
        <rFont val="Arial"/>
        <color rgb="FF202122"/>
        <sz val="11.0"/>
      </rPr>
      <t>.</t>
    </r>
  </si>
  <si>
    <t>Sombrero</t>
  </si>
  <si>
    <r>
      <rPr>
        <rFont val="Arial"/>
        <color rgb="FF202122"/>
        <sz val="11.0"/>
      </rPr>
      <t xml:space="preserve">Monster drop from </t>
    </r>
    <r>
      <rPr>
        <rFont val="Arial"/>
        <color rgb="FF202122"/>
        <sz val="11.0"/>
        <u/>
      </rPr>
      <t>Metal Heads</t>
    </r>
    <r>
      <rPr>
        <rFont val="Arial"/>
        <color rgb="FF202122"/>
        <sz val="11.0"/>
      </rPr>
      <t>.</t>
    </r>
  </si>
  <si>
    <t>A festively decorated hat made from woven straw.</t>
  </si>
  <si>
    <t>Earn 10,000,000g.</t>
  </si>
  <si>
    <t>Debuff Immunity</t>
  </si>
  <si>
    <t>Small Cap</t>
  </si>
  <si>
    <t>It's a more aerodynamic style of cap.</t>
  </si>
  <si>
    <t>Island Trader on Mondays in exchange for 30 Taro Roots.</t>
  </si>
  <si>
    <t>Skeleton Mask</t>
  </si>
  <si>
    <t>FishingBarBoost, lewisDissaproves (ocean: 2 fishing, 1.2x fishing xp)</t>
  </si>
  <si>
    <t>The red eyes are glowing mysteriously.</t>
  </si>
  <si>
    <r>
      <rPr>
        <rFont val="Arial"/>
        <color rgb="FF0645AD"/>
        <sz val="11.0"/>
      </rPr>
      <t>Monster Eradication Goal</t>
    </r>
    <r>
      <rPr>
        <rFont val="Arial"/>
        <color rgb="FF0645AD"/>
        <sz val="11.0"/>
      </rPr>
      <t xml:space="preserve"> - Defeat 50 </t>
    </r>
    <r>
      <rPr>
        <rFont val="Arial"/>
        <color rgb="FF0645AD"/>
        <sz val="11.0"/>
      </rPr>
      <t>Skeletons</t>
    </r>
    <r>
      <rPr>
        <rFont val="Arial"/>
        <color rgb="FF0645AD"/>
        <sz val="11.0"/>
      </rPr>
      <t>.</t>
    </r>
  </si>
  <si>
    <r>
      <rPr>
        <rFont val="Arial"/>
        <color rgb="FF202122"/>
        <sz val="11.0"/>
      </rPr>
      <t xml:space="preserve">Monster drop from </t>
    </r>
    <r>
      <rPr>
        <rFont val="Arial"/>
        <color rgb="FF202122"/>
        <sz val="11.0"/>
        <u/>
      </rPr>
      <t>Metal Heads</t>
    </r>
    <r>
      <rPr>
        <rFont val="Arial"/>
        <color rgb="FF202122"/>
        <sz val="11.0"/>
      </rPr>
      <t>.</t>
    </r>
  </si>
  <si>
    <r>
      <rPr>
        <rFont val="Arial"/>
        <color rgb="FF202122"/>
        <sz val="11.0"/>
      </rPr>
      <t xml:space="preserve">Monster drop from </t>
    </r>
    <r>
      <rPr>
        <rFont val="Arial"/>
        <color rgb="FF202122"/>
        <sz val="11.0"/>
        <u/>
      </rPr>
      <t>Metal Heads</t>
    </r>
    <r>
      <rPr>
        <rFont val="Arial"/>
        <color rgb="FF202122"/>
        <sz val="11.0"/>
      </rPr>
      <t>.</t>
    </r>
  </si>
  <si>
    <t>5 attack, 2 red glow, -2 defense, 1.2x combat xp, lewis dissaproves, 2x crit damage</t>
  </si>
  <si>
    <t>Spook</t>
  </si>
  <si>
    <t>Santa Hat</t>
  </si>
  <si>
    <t>Celebrate the magical season.</t>
  </si>
  <si>
    <r>
      <rPr>
        <rFont val="Arial"/>
        <color rgb="FF202122"/>
        <sz val="11.0"/>
      </rPr>
      <t xml:space="preserve">Reach a 5-heart </t>
    </r>
    <r>
      <rPr>
        <rFont val="Arial"/>
        <color rgb="FF202122"/>
        <sz val="11.0"/>
        <u/>
      </rPr>
      <t>friend</t>
    </r>
    <r>
      <rPr>
        <rFont val="Arial"/>
        <color rgb="FF202122"/>
        <sz val="11.0"/>
      </rPr>
      <t xml:space="preserve"> level with 10 people.</t>
    </r>
  </si>
  <si>
    <t>50 health, (winter: 1 speed, popularity, 25% dodge)</t>
  </si>
  <si>
    <t>Jolly</t>
  </si>
  <si>
    <t>Sailor's Cap</t>
  </si>
  <si>
    <r>
      <rPr>
        <rFont val="Arial"/>
        <color rgb="FF202122"/>
        <sz val="11.0"/>
      </rPr>
      <t xml:space="preserve">Can be obtained from the </t>
    </r>
    <r>
      <rPr>
        <rFont val="Arial"/>
        <color rgb="FF202122"/>
        <sz val="11.0"/>
        <u/>
      </rPr>
      <t>Prize Machine</t>
    </r>
    <r>
      <rPr>
        <rFont val="Arial"/>
        <color rgb="FF202122"/>
        <sz val="11.0"/>
      </rPr>
      <t>.</t>
    </r>
  </si>
  <si>
    <t>It's fresh and starchy.</t>
  </si>
  <si>
    <t>Win the fishing competition at the Festival of Ice.</t>
  </si>
  <si>
    <t>10% Willy, (ocean:2 fishing, 1 speed, 1 still stamina) (winter:1 speed, 2fishing)</t>
  </si>
  <si>
    <t>Red Fez</t>
  </si>
  <si>
    <t>A unique hat made popular by the famous merchant pig.</t>
  </si>
  <si>
    <r>
      <rPr>
        <rFont val="Arial"/>
        <color rgb="FF202122"/>
        <sz val="11.0"/>
      </rPr>
      <t xml:space="preserve">Reach the bottom of the 'dangerous' </t>
    </r>
    <r>
      <rPr>
        <rFont val="Arial"/>
        <color rgb="FF202122"/>
        <sz val="11.0"/>
        <u/>
      </rPr>
      <t>mines</t>
    </r>
    <r>
      <rPr>
        <rFont val="Arial"/>
        <color rgb="FF202122"/>
        <sz val="11.0"/>
      </rPr>
      <t>.</t>
    </r>
  </si>
  <si>
    <r>
      <rPr>
        <rFont val="Arial"/>
        <color rgb="FF202122"/>
        <sz val="11.0"/>
      </rPr>
      <t xml:space="preserve">Purchase for 8,000g from the </t>
    </r>
    <r>
      <rPr>
        <rFont val="Arial"/>
        <color rgb="FF202122"/>
        <sz val="11.0"/>
        <u/>
      </rPr>
      <t>Traveling Cart</t>
    </r>
    <r>
      <rPr>
        <rFont val="Arial"/>
        <color rgb="FF202122"/>
        <sz val="11.0"/>
      </rPr>
      <t xml:space="preserve"> (10% chance to be sold).</t>
    </r>
  </si>
  <si>
    <r>
      <rPr>
        <rFont val="Arial"/>
        <color rgb="FF202122"/>
        <sz val="11.0"/>
      </rPr>
      <t xml:space="preserve">Can be obtained from the </t>
    </r>
    <r>
      <rPr>
        <rFont val="Arial"/>
        <color rgb="FF202122"/>
        <sz val="11.0"/>
        <u/>
      </rPr>
      <t>Prize Machine</t>
    </r>
    <r>
      <rPr>
        <rFont val="Arial"/>
        <color rgb="FF202122"/>
        <sz val="11.0"/>
      </rPr>
      <t>.</t>
    </r>
  </si>
  <si>
    <r>
      <rPr>
        <rFont val="Arial"/>
        <color rgb="FF202122"/>
        <sz val="11.0"/>
      </rPr>
      <t xml:space="preserve">Can be obtained from the </t>
    </r>
    <r>
      <rPr>
        <rFont val="Arial"/>
        <color rgb="FF202122"/>
        <sz val="11.0"/>
        <u/>
      </rPr>
      <t>Prize Machine</t>
    </r>
    <r>
      <rPr>
        <rFont val="Arial"/>
        <color rgb="FF202122"/>
        <sz val="11.0"/>
      </rPr>
      <t>.</t>
    </r>
  </si>
  <si>
    <t>Red Cowboy Hat</t>
  </si>
  <si>
    <t>An eye-catching cowboy hat in red suede.</t>
  </si>
  <si>
    <t>Skull Cavern treasure chests (~3.8% chance).</t>
  </si>
  <si>
    <r>
      <rPr>
        <rFont val="Arial"/>
        <color rgb="FF202122"/>
        <sz val="11.0"/>
      </rPr>
      <t xml:space="preserve">Catch 10 different </t>
    </r>
    <r>
      <rPr>
        <rFont val="Arial"/>
        <color rgb="FF202122"/>
        <sz val="11.0"/>
        <u/>
      </rPr>
      <t>fish</t>
    </r>
    <r>
      <rPr>
        <rFont val="Arial"/>
        <color rgb="FF202122"/>
        <sz val="11.0"/>
      </rPr>
      <t>.</t>
    </r>
  </si>
  <si>
    <r>
      <rPr>
        <rFont val="Arial"/>
        <color rgb="FF202122"/>
        <sz val="11.0"/>
      </rPr>
      <t xml:space="preserve">Reach the bottom of the 'dangerous' </t>
    </r>
    <r>
      <rPr>
        <rFont val="Arial"/>
        <color rgb="FF202122"/>
        <sz val="11.0"/>
        <u/>
      </rPr>
      <t>mines</t>
    </r>
    <r>
      <rPr>
        <rFont val="Arial"/>
        <color rgb="FF202122"/>
        <sz val="11.0"/>
      </rPr>
      <t>.</t>
    </r>
  </si>
  <si>
    <t>Autopet all, Loving Rancher</t>
  </si>
  <si>
    <t>Radioactive Goggles</t>
  </si>
  <si>
    <r>
      <rPr>
        <rFont val="Arial"/>
        <color rgb="FF202122"/>
        <sz val="11.0"/>
      </rPr>
      <t xml:space="preserve">Reach the bottom of the 'dangerous' </t>
    </r>
    <r>
      <rPr>
        <rFont val="Arial"/>
        <color rgb="FF202122"/>
        <sz val="11.0"/>
        <u/>
      </rPr>
      <t>mines</t>
    </r>
    <r>
      <rPr>
        <rFont val="Arial"/>
        <color rgb="FF202122"/>
        <sz val="11.0"/>
      </rPr>
      <t>.</t>
    </r>
  </si>
  <si>
    <t>Doesn't actually provide any protection from radiation.</t>
  </si>
  <si>
    <t>(Dangerous Mines: 5 mining, 3 defense, 2 speed, 3 attack, 2 luck)</t>
  </si>
  <si>
    <r>
      <rPr>
        <rFont val="Arial"/>
        <color rgb="FF202122"/>
        <sz val="11.0"/>
      </rPr>
      <t xml:space="preserve">Catch 10 different </t>
    </r>
    <r>
      <rPr>
        <rFont val="Arial"/>
        <color rgb="FF202122"/>
        <sz val="11.0"/>
        <u/>
      </rPr>
      <t>fish</t>
    </r>
    <r>
      <rPr>
        <rFont val="Arial"/>
        <color rgb="FF202122"/>
        <sz val="11.0"/>
      </rPr>
      <t>.</t>
    </r>
  </si>
  <si>
    <t>Raccoon Hat</t>
  </si>
  <si>
    <t>A classic hat from the old frontier days.</t>
  </si>
  <si>
    <t>Fulfill the third request from the Raccoon at the Giant Stump.</t>
  </si>
  <si>
    <r>
      <rPr>
        <rFont val="Arial"/>
        <color rgb="FF202122"/>
        <sz val="11.0"/>
      </rPr>
      <t xml:space="preserve">Catch 10 different </t>
    </r>
    <r>
      <rPr>
        <rFont val="Arial"/>
        <color rgb="FF202122"/>
        <sz val="11.0"/>
        <u/>
      </rPr>
      <t>fish</t>
    </r>
    <r>
      <rPr>
        <rFont val="Arial"/>
        <color rgb="FF202122"/>
        <sz val="11.0"/>
      </rPr>
      <t>.</t>
    </r>
  </si>
  <si>
    <t>Professional Forager</t>
  </si>
  <si>
    <t>Qi Mask</t>
  </si>
  <si>
    <t>???</t>
  </si>
  <si>
    <t>Pumpkin Mask</t>
  </si>
  <si>
    <r>
      <rPr>
        <rFont val="Arial"/>
        <color rgb="FF0645AD"/>
        <sz val="11.0"/>
      </rPr>
      <t>Monster Eradication Goal</t>
    </r>
    <r>
      <rPr>
        <rFont val="Arial"/>
        <color rgb="FF0645AD"/>
        <sz val="11.0"/>
      </rPr>
      <t xml:space="preserve"> - Defeat 50 </t>
    </r>
    <r>
      <rPr>
        <rFont val="Arial"/>
        <color rgb="FF0645AD"/>
        <sz val="11.0"/>
      </rPr>
      <t>Skeletons</t>
    </r>
    <r>
      <rPr>
        <rFont val="Arial"/>
        <color rgb="FF0645AD"/>
        <sz val="11.0"/>
      </rPr>
      <t>.</t>
    </r>
  </si>
  <si>
    <t>This must have been a pretty big pumpkin once...</t>
  </si>
  <si>
    <r>
      <rPr>
        <rFont val="Arial"/>
        <color rgb="FF0645AD"/>
        <sz val="11.0"/>
      </rPr>
      <t>Monster Eradication Goal</t>
    </r>
    <r>
      <rPr>
        <rFont val="Arial"/>
        <color rgb="FF0645AD"/>
        <sz val="11.0"/>
      </rPr>
      <t xml:space="preserve"> - Defeat 50 </t>
    </r>
    <r>
      <rPr>
        <rFont val="Arial"/>
        <color rgb="FF0645AD"/>
        <sz val="11.0"/>
      </rPr>
      <t>Skeletons</t>
    </r>
    <r>
      <rPr>
        <rFont val="Arial"/>
        <color rgb="FF0645AD"/>
        <sz val="11.0"/>
      </rPr>
      <t>.</t>
    </r>
  </si>
  <si>
    <t xml:space="preserve"> slime charmer ring,(On Abigail talk: +50 friendship), 2 glow (fall: 35 health, 3 attack, 3 defense)</t>
  </si>
  <si>
    <t>Propeller Hat</t>
  </si>
  <si>
    <t>A goofy hat with a propeller on top.</t>
  </si>
  <si>
    <r>
      <rPr>
        <rFont val="Arial"/>
        <color rgb="FF202122"/>
        <sz val="11.0"/>
      </rPr>
      <t xml:space="preserve">Reach a 5-heart </t>
    </r>
    <r>
      <rPr>
        <rFont val="Arial"/>
        <color rgb="FF202122"/>
        <sz val="11.0"/>
        <u/>
      </rPr>
      <t>friend</t>
    </r>
    <r>
      <rPr>
        <rFont val="Arial"/>
        <color rgb="FF202122"/>
        <sz val="11.0"/>
      </rPr>
      <t xml:space="preserve"> level with 10 people.</t>
    </r>
  </si>
  <si>
    <t>50 health, (winter: 1 speed, 1.17 popularity, 25% dodge)</t>
  </si>
  <si>
    <t xml:space="preserve"> </t>
  </si>
  <si>
    <r>
      <rPr>
        <rFont val="Arial"/>
        <color rgb="FF202122"/>
        <sz val="11.0"/>
      </rPr>
      <t xml:space="preserve">Reach a 5-heart </t>
    </r>
    <r>
      <rPr>
        <rFont val="Arial"/>
        <color rgb="FF202122"/>
        <sz val="11.0"/>
        <u/>
      </rPr>
      <t>friend</t>
    </r>
    <r>
      <rPr>
        <rFont val="Arial"/>
        <color rgb="FF202122"/>
        <sz val="11.0"/>
      </rPr>
      <t xml:space="preserve"> level with 10 people.</t>
    </r>
  </si>
  <si>
    <r>
      <rPr>
        <rFont val="Arial"/>
        <color rgb="FF0645AD"/>
        <sz val="11.0"/>
      </rPr>
      <t>Monster Eradication Goal</t>
    </r>
    <r>
      <rPr>
        <rFont val="Arial"/>
        <color rgb="FF0645AD"/>
        <sz val="11.0"/>
      </rPr>
      <t xml:space="preserve"> - Defeat 50 </t>
    </r>
    <r>
      <rPr>
        <rFont val="Arial"/>
        <color rgb="FF0645AD"/>
        <sz val="11.0"/>
      </rPr>
      <t>Skeletons</t>
    </r>
    <r>
      <rPr>
        <rFont val="Arial"/>
        <color rgb="FF0645AD"/>
        <sz val="11.0"/>
      </rPr>
      <t>.</t>
    </r>
  </si>
  <si>
    <t>Polka Bow</t>
  </si>
  <si>
    <t>This one's sure to be turn heads.</t>
  </si>
  <si>
    <t>Complete 10 'Help Wanted' requests.</t>
  </si>
  <si>
    <r>
      <rPr>
        <rFont val="Arial"/>
        <color rgb="FF202122"/>
        <sz val="11.0"/>
      </rPr>
      <t xml:space="preserve">Reach a 5-heart </t>
    </r>
    <r>
      <rPr>
        <rFont val="Arial"/>
        <color rgb="FF202122"/>
        <sz val="11.0"/>
        <u/>
      </rPr>
      <t>friend</t>
    </r>
    <r>
      <rPr>
        <rFont val="Arial"/>
        <color rgb="FF202122"/>
        <sz val="11.0"/>
      </rPr>
      <t xml:space="preserve"> level with 10 people.</t>
    </r>
  </si>
  <si>
    <t>2 luck, popularity, 20 stamina (underground: -1 luck)</t>
  </si>
  <si>
    <t>Plum Chapeau</t>
  </si>
  <si>
    <t>Looks alright.</t>
  </si>
  <si>
    <t>Cook 25 different recipes.</t>
  </si>
  <si>
    <r>
      <rPr>
        <rFont val="Arial"/>
        <color rgb="FF202122"/>
        <sz val="11.0"/>
      </rPr>
      <t xml:space="preserve">Purchase for 8,000g from the </t>
    </r>
    <r>
      <rPr>
        <rFont val="Arial"/>
        <color rgb="FF202122"/>
        <sz val="11.0"/>
        <u/>
      </rPr>
      <t>Traveling Cart</t>
    </r>
    <r>
      <rPr>
        <rFont val="Arial"/>
        <color rgb="FF202122"/>
        <sz val="11.0"/>
      </rPr>
      <t xml:space="preserve"> (10% chance to be sold).</t>
    </r>
  </si>
  <si>
    <t>Pirate Hat</t>
  </si>
  <si>
    <r>
      <rPr>
        <rFont val="Arial"/>
        <color rgb="FF202122"/>
        <sz val="11.0"/>
      </rPr>
      <t xml:space="preserve">Purchase for 8,000g from the </t>
    </r>
    <r>
      <rPr>
        <rFont val="Arial"/>
        <color rgb="FF202122"/>
        <sz val="11.0"/>
        <u/>
      </rPr>
      <t>Traveling Cart</t>
    </r>
    <r>
      <rPr>
        <rFont val="Arial"/>
        <color rgb="FF202122"/>
        <sz val="11.0"/>
      </rPr>
      <t xml:space="preserve"> (10% chance to be sold).</t>
    </r>
  </si>
  <si>
    <r>
      <rPr>
        <rFont val="Arial"/>
        <color rgb="FF202122"/>
        <sz val="11.0"/>
      </rPr>
      <t xml:space="preserve">Purchase for 8,000g from the </t>
    </r>
    <r>
      <rPr>
        <rFont val="Arial"/>
        <color rgb="FF202122"/>
        <sz val="11.0"/>
        <u/>
      </rPr>
      <t>Traveling Cart</t>
    </r>
    <r>
      <rPr>
        <rFont val="Arial"/>
        <color rgb="FF202122"/>
        <sz val="11.0"/>
      </rPr>
      <t xml:space="preserve"> (10% chance to be sold).</t>
    </r>
  </si>
  <si>
    <t>A captain's hat with a horrible skull on the front.</t>
  </si>
  <si>
    <t>FishingChest+, (ocean: 3 fishing, 1 speed)</t>
  </si>
  <si>
    <t>Pink Bow</t>
  </si>
  <si>
    <t>This huge bow makes quite a statement!</t>
  </si>
  <si>
    <t>Purchase for 10,000g from the Dwarf Shop in the Volcano Dungeon (25% chance to be sold).</t>
  </si>
  <si>
    <t>Party Hat</t>
  </si>
  <si>
    <t>A goofy red hat that makes any celebration more fun.</t>
  </si>
  <si>
    <t>Popularity</t>
  </si>
  <si>
    <t>A goofy blue hat that makes any celebration more fun.</t>
  </si>
  <si>
    <t>A goofy green hat that makes any celebration more fun.</t>
  </si>
  <si>
    <t>Professional Forager, 3 Foraging</t>
  </si>
  <si>
    <t>Paper Hat</t>
  </si>
  <si>
    <t>It's made out of special paper that won't disintegrate in the rain.</t>
  </si>
  <si>
    <t>Reach Ginger Island.</t>
  </si>
  <si>
    <t>Panda Hat</t>
  </si>
  <si>
    <t>A lovely panda hat.</t>
  </si>
  <si>
    <t>WeGame [2] exclusive content; unobtainable otherwise</t>
  </si>
  <si>
    <t>Pageboy Cap</t>
  </si>
  <si>
    <t>For some reason, it makes you want to sell newspapers.</t>
  </si>
  <si>
    <t>Read every book.</t>
  </si>
  <si>
    <t>1 attack, speed, defense, fishing, combat, foraging, farming, mining, 1.1x combat xp, foraging xp, fishing xp, farming xp, mining xp</t>
  </si>
  <si>
    <t>2 luck, 1.17 popularity, 20 stamina (underground: -1 luck)</t>
  </si>
  <si>
    <t>Official Cap</t>
  </si>
  <si>
    <t>Looks like it belonged to a postman or policeman. Either way, it's still very soft and smells okay.</t>
  </si>
  <si>
    <t>Catch 24 different fish.</t>
  </si>
  <si>
    <t>4 attack, popularity</t>
  </si>
  <si>
    <t>Mystery Hat</t>
  </si>
  <si>
    <t>Made from the leftovers of a Mystery Box.</t>
  </si>
  <si>
    <t>Mystery Boxes or Golden Mystery Boxes.</t>
  </si>
  <si>
    <t>Top Top Hat</t>
  </si>
  <si>
    <t>Mushroom Cap</t>
  </si>
  <si>
    <t>It smells earthy.</t>
  </si>
  <si>
    <t>FishingChest+, (ocean: 2 fishing, 1 speed)</t>
  </si>
  <si>
    <r>
      <rPr>
        <rFont val="Arial"/>
        <color rgb="FF202122"/>
        <sz val="11.0"/>
      </rPr>
      <t xml:space="preserve">1% chance of obtaining when chopping down a </t>
    </r>
    <r>
      <rPr>
        <rFont val="Arial"/>
        <color rgb="FF202122"/>
        <sz val="11.0"/>
        <u/>
      </rPr>
      <t>Mushroom Tree</t>
    </r>
    <r>
      <rPr>
        <rFont val="Arial"/>
        <color rgb="FF202122"/>
        <sz val="11.0"/>
      </rPr>
      <t>.</t>
    </r>
  </si>
  <si>
    <t>-10 speed, 20 defense, 3 health regen, 100 health, 15 Spikey</t>
  </si>
  <si>
    <t>Mummy Mask</t>
  </si>
  <si>
    <t>A large mummy mask... frightening!</t>
  </si>
  <si>
    <r>
      <rPr>
        <rFont val="Arial"/>
        <color rgb="FF202122"/>
        <sz val="11.0"/>
      </rPr>
      <t xml:space="preserve">Purchase for  120 from the </t>
    </r>
    <r>
      <rPr>
        <rFont val="Arial"/>
        <color rgb="FF202122"/>
        <sz val="11.0"/>
      </rPr>
      <t>Calico Egg Merchant</t>
    </r>
    <r>
      <rPr>
        <rFont val="Arial"/>
        <color rgb="FF202122"/>
        <sz val="11.0"/>
      </rPr>
      <t xml:space="preserve"> at the </t>
    </r>
    <r>
      <rPr>
        <rFont val="Arial"/>
        <color rgb="FF202122"/>
        <sz val="11.0"/>
      </rPr>
      <t>Desert Festival</t>
    </r>
    <r>
      <rPr>
        <rFont val="Arial"/>
        <color rgb="FF202122"/>
        <sz val="11.0"/>
      </rPr>
      <t>.</t>
    </r>
  </si>
  <si>
    <t>Autorevive, 50 health, -1 speed, 3 purple glow</t>
  </si>
  <si>
    <t>Mr. Qi's Hat</t>
  </si>
  <si>
    <t>A replica of Mr. Qi's iconic hat.</t>
  </si>
  <si>
    <t>Purchase for  5 in Qi's Walnut Room.</t>
  </si>
  <si>
    <t>1.17 Popularity</t>
  </si>
  <si>
    <t>Mouse Ears</t>
  </si>
  <si>
    <t>Made from synthetic fibers.</t>
  </si>
  <si>
    <t>Reach a 10-heart friend level with someone.</t>
  </si>
  <si>
    <t>2 speed, -5 def, 1.15x foraging xp</t>
  </si>
  <si>
    <t>Magic Turban</t>
  </si>
  <si>
    <t>It's shimmering with prismatic energy</t>
  </si>
  <si>
    <t>Desert Trader in exchange for 333 Omni Geodes, even days.</t>
  </si>
  <si>
    <t>protective ring, (desert:100 energy, 0.5 stamina regen, 0.5 health regen, 1 speed)</t>
  </si>
  <si>
    <t>Magic Cowboy Hat</t>
  </si>
  <si>
    <t>Desert Trader in exchange for 333 Omni Geodes, odd days.</t>
  </si>
  <si>
    <t>Autopet all, Loving Rancher, popularity</t>
  </si>
  <si>
    <t>Prismatic</t>
  </si>
  <si>
    <t>Lucky Bow</t>
  </si>
  <si>
    <t>The middle is made of solid gold.</t>
  </si>
  <si>
    <t>Earn 50,000g.</t>
  </si>
  <si>
    <t>1 luck</t>
  </si>
  <si>
    <t>Logo Cap</t>
  </si>
  <si>
    <t>A pink cap with a sleek profile.</t>
  </si>
  <si>
    <t>Living Hat</t>
  </si>
  <si>
    <r>
      <rPr>
        <rFont val="Arial"/>
        <color rgb="FF202122"/>
        <sz val="11.0"/>
      </rPr>
      <t xml:space="preserve">1% chance of obtaining when chopping down a </t>
    </r>
    <r>
      <rPr>
        <rFont val="Arial"/>
        <color rgb="FF202122"/>
        <sz val="11.0"/>
        <u/>
      </rPr>
      <t>Mushroom Tree</t>
    </r>
    <r>
      <rPr>
        <rFont val="Arial"/>
        <color rgb="FF202122"/>
        <sz val="11.0"/>
      </rPr>
      <t>.</t>
    </r>
  </si>
  <si>
    <t>It absorbs moisture from your scalp. No watering needed!</t>
  </si>
  <si>
    <r>
      <rPr>
        <rFont val="Arial"/>
        <color rgb="FF202122"/>
        <sz val="11.0"/>
      </rPr>
      <t xml:space="preserve">0.001% chance to find while cutting </t>
    </r>
    <r>
      <rPr>
        <rFont val="Arial"/>
        <color rgb="FF202122"/>
        <sz val="11.0"/>
      </rPr>
      <t>weeds</t>
    </r>
    <r>
      <rPr>
        <rFont val="Arial"/>
        <color rgb="FF202122"/>
        <sz val="11.0"/>
      </rPr>
      <t xml:space="preserve">.
0.01% chance of dropping from </t>
    </r>
    <r>
      <rPr>
        <rFont val="Arial"/>
        <color rgb="FF202122"/>
        <sz val="11.0"/>
      </rPr>
      <t>Wilderness Golems</t>
    </r>
    <r>
      <rPr>
        <rFont val="Arial"/>
        <color rgb="FF202122"/>
        <sz val="11.0"/>
      </rPr>
      <t>.</t>
    </r>
  </si>
  <si>
    <t>2 speed, Autowater, 2 foraging, 10 spikey, 1.2x foraging xp, (underground: -4 speed)</t>
  </si>
  <si>
    <t>One With Nature</t>
  </si>
  <si>
    <t>Leprechaun Hat</t>
  </si>
  <si>
    <r>
      <rPr>
        <rFont val="Arial"/>
        <color rgb="FF202122"/>
        <sz val="11.0"/>
      </rPr>
      <t xml:space="preserve">Purchase for  120 from the </t>
    </r>
    <r>
      <rPr>
        <rFont val="Arial"/>
        <color rgb="FF202122"/>
        <sz val="11.0"/>
      </rPr>
      <t>Calico Egg Merchant</t>
    </r>
    <r>
      <rPr>
        <rFont val="Arial"/>
        <color rgb="FF202122"/>
        <sz val="11.0"/>
      </rPr>
      <t xml:space="preserve"> at the </t>
    </r>
    <r>
      <rPr>
        <rFont val="Arial"/>
        <color rgb="FF202122"/>
        <sz val="11.0"/>
      </rPr>
      <t>Desert Festival</t>
    </r>
    <r>
      <rPr>
        <rFont val="Arial"/>
        <color rgb="FF202122"/>
        <sz val="11.0"/>
      </rPr>
      <t>.</t>
    </r>
  </si>
  <si>
    <t>The previous owner must've had a big head for a Leprechaun.</t>
  </si>
  <si>
    <t>4 attack, 1.17 popularity</t>
  </si>
  <si>
    <r>
      <rPr>
        <rFont val="Arial"/>
        <color rgb="FF202122"/>
        <sz val="11.0"/>
      </rPr>
      <t xml:space="preserve">Drops from the pot of gold by the rainbow next to the </t>
    </r>
    <r>
      <rPr>
        <rFont val="Arial"/>
        <color rgb="FF202122"/>
        <sz val="11.0"/>
      </rPr>
      <t>Abandoned House</t>
    </r>
    <r>
      <rPr>
        <rFont val="Arial"/>
        <color rgb="FF202122"/>
        <sz val="11.0"/>
      </rPr>
      <t xml:space="preserve"> on </t>
    </r>
    <r>
      <rPr>
        <rFont val="Arial"/>
        <color rgb="FF202122"/>
        <sz val="11.0"/>
      </rPr>
      <t>Spring</t>
    </r>
    <r>
      <rPr>
        <rFont val="Arial"/>
        <color rgb="FF202122"/>
        <sz val="11.0"/>
      </rPr>
      <t xml:space="preserve"> 17th.</t>
    </r>
  </si>
  <si>
    <t>2 luck</t>
  </si>
  <si>
    <t>Season of Luck</t>
  </si>
  <si>
    <t>Laurel Wreath Crown</t>
  </si>
  <si>
    <t>A garland of leaves shaped into a lovely crown.</t>
  </si>
  <si>
    <t>Randomly obtained from Emily's outfit services at the Desert Festival.</t>
  </si>
  <si>
    <t>30 spikey, yoba ring, autorevive, autowater</t>
  </si>
  <si>
    <r>
      <rPr>
        <rFont val="Arial"/>
        <color rgb="FF202122"/>
        <sz val="11.0"/>
      </rPr>
      <t xml:space="preserve">1% chance of obtaining when chopping down a </t>
    </r>
    <r>
      <rPr>
        <rFont val="Arial"/>
        <color rgb="FF202122"/>
        <sz val="11.0"/>
        <u/>
      </rPr>
      <t>Mushroom Tree</t>
    </r>
    <r>
      <rPr>
        <rFont val="Arial"/>
        <color rgb="FF202122"/>
        <sz val="11.0"/>
      </rPr>
      <t>.</t>
    </r>
  </si>
  <si>
    <t>Vigil Ascension</t>
  </si>
  <si>
    <t>Knight's Helmet</t>
  </si>
  <si>
    <t>It looks just like the real thing!</t>
  </si>
  <si>
    <r>
      <rPr>
        <rFont val="Arial"/>
        <color rgb="FF0645AD"/>
        <sz val="11.0"/>
      </rPr>
      <t>Monster Eradication Goal</t>
    </r>
    <r>
      <rPr>
        <rFont val="Arial"/>
        <color rgb="FF0645AD"/>
        <sz val="11.0"/>
      </rPr>
      <t xml:space="preserve"> - Defeat 50 </t>
    </r>
    <r>
      <rPr>
        <rFont val="Arial"/>
        <color rgb="FF0645AD"/>
        <sz val="11.0"/>
      </rPr>
      <t>Pepper Rex</t>
    </r>
    <r>
      <rPr>
        <rFont val="Arial"/>
        <color rgb="FF0645AD"/>
        <sz val="11.0"/>
      </rPr>
      <t>.</t>
    </r>
  </si>
  <si>
    <r>
      <rPr>
        <rFont val="Arial"/>
        <color rgb="FF202122"/>
        <sz val="11.0"/>
      </rPr>
      <t xml:space="preserve">1% chance of obtaining when chopping down a </t>
    </r>
    <r>
      <rPr>
        <rFont val="Arial"/>
        <color rgb="FF202122"/>
        <sz val="11.0"/>
        <u/>
      </rPr>
      <t>Mushroom Tree</t>
    </r>
    <r>
      <rPr>
        <rFont val="Arial"/>
        <color rgb="FF202122"/>
        <sz val="11.0"/>
      </rPr>
      <t>.</t>
    </r>
  </si>
  <si>
    <t>1.45x attack, 2 defense, (underground: 1 speed)</t>
  </si>
  <si>
    <t>Junimo Hat</t>
  </si>
  <si>
    <r>
      <rPr>
        <rFont val="Arial"/>
        <color rgb="FF202122"/>
        <sz val="11.0"/>
      </rPr>
      <t xml:space="preserve">Purchase for  120 from the </t>
    </r>
    <r>
      <rPr>
        <rFont val="Arial"/>
        <color rgb="FF202122"/>
        <sz val="11.0"/>
      </rPr>
      <t>Calico Egg Merchant</t>
    </r>
    <r>
      <rPr>
        <rFont val="Arial"/>
        <color rgb="FF202122"/>
        <sz val="11.0"/>
      </rPr>
      <t xml:space="preserve"> at the </t>
    </r>
    <r>
      <rPr>
        <rFont val="Arial"/>
        <color rgb="FF202122"/>
        <sz val="11.0"/>
      </rPr>
      <t>Desert Festival</t>
    </r>
    <r>
      <rPr>
        <rFont val="Arial"/>
        <color rgb="FF202122"/>
        <sz val="11.0"/>
      </rPr>
      <t>.</t>
    </r>
  </si>
  <si>
    <t>-10 speed, 20 defense, 3 health regen, 90 health, 15 Spikey</t>
  </si>
  <si>
    <t>To honor our little buddies...</t>
  </si>
  <si>
    <t>Reach the summit.</t>
  </si>
  <si>
    <t>5 luck</t>
  </si>
  <si>
    <t>Joja Cap</t>
  </si>
  <si>
    <r>
      <rPr>
        <rFont val="Arial"/>
        <color rgb="FF202122"/>
        <sz val="11.0"/>
      </rPr>
      <t xml:space="preserve">Purchase for  120 from the </t>
    </r>
    <r>
      <rPr>
        <rFont val="Arial"/>
        <color rgb="FF202122"/>
        <sz val="11.0"/>
      </rPr>
      <t>Calico Egg Merchant</t>
    </r>
    <r>
      <rPr>
        <rFont val="Arial"/>
        <color rgb="FF202122"/>
        <sz val="11.0"/>
      </rPr>
      <t xml:space="preserve"> at the </t>
    </r>
    <r>
      <rPr>
        <rFont val="Arial"/>
        <color rgb="FF202122"/>
        <sz val="11.0"/>
      </rPr>
      <t>Desert Festival</t>
    </r>
    <r>
      <rPr>
        <rFont val="Arial"/>
        <color rgb="FF202122"/>
        <sz val="11.0"/>
      </rPr>
      <t>.</t>
    </r>
  </si>
  <si>
    <t>An official Joja Cap. Made from 100% polyester.</t>
  </si>
  <si>
    <t>15% discount joja market</t>
  </si>
  <si>
    <t>Jester Hat</t>
  </si>
  <si>
    <t>Put your inner clown on display.</t>
  </si>
  <si>
    <t>See a movie.</t>
  </si>
  <si>
    <t>Popularity, 20 magnetism, lewis dissaproves (hes scared of clowns)</t>
  </si>
  <si>
    <t>Clown Around</t>
  </si>
  <si>
    <t>Iridium Pan (hat)</t>
  </si>
  <si>
    <t>You place the iridium pan on your head...</t>
  </si>
  <si>
    <t>Place the Iridium Pan in the hat slot next to the farmer sprite in the inventory menu.</t>
  </si>
  <si>
    <t>1 speed, 2 luck</t>
  </si>
  <si>
    <t>Infinity Crown</t>
  </si>
  <si>
    <r>
      <rPr>
        <rFont val="Arial"/>
        <color rgb="FF202122"/>
        <sz val="11.0"/>
      </rPr>
      <t xml:space="preserve">0.001% chance to find while cutting </t>
    </r>
    <r>
      <rPr>
        <rFont val="Arial"/>
        <color rgb="FF202122"/>
        <sz val="11.0"/>
      </rPr>
      <t>weeds</t>
    </r>
    <r>
      <rPr>
        <rFont val="Arial"/>
        <color rgb="FF202122"/>
        <sz val="11.0"/>
      </rPr>
      <t xml:space="preserve">.
0.01% chance of dropping from </t>
    </r>
    <r>
      <rPr>
        <rFont val="Arial"/>
        <color rgb="FF202122"/>
        <sz val="11.0"/>
      </rPr>
      <t>Wilderness Golems</t>
    </r>
    <r>
      <rPr>
        <rFont val="Arial"/>
        <color rgb="FF202122"/>
        <sz val="11.0"/>
      </rPr>
      <t>.</t>
    </r>
  </si>
  <si>
    <t>It's made from an exotic metal you've never seen before.</t>
  </si>
  <si>
    <t>Obtain the most powerful weapon.</t>
  </si>
  <si>
    <t>10 attack, 10 combat</t>
  </si>
  <si>
    <t>Ruler of Infinity</t>
  </si>
  <si>
    <t>Hunter's Cap</t>
  </si>
  <si>
    <r>
      <rPr>
        <rFont val="Arial"/>
        <color rgb="FF202122"/>
        <sz val="11.0"/>
      </rPr>
      <t xml:space="preserve">Drops from the pot of gold by the rainbow next to the </t>
    </r>
    <r>
      <rPr>
        <rFont val="Arial"/>
        <color rgb="FF202122"/>
        <sz val="11.0"/>
      </rPr>
      <t>Abandoned House</t>
    </r>
    <r>
      <rPr>
        <rFont val="Arial"/>
        <color rgb="FF202122"/>
        <sz val="11.0"/>
      </rPr>
      <t xml:space="preserve"> on </t>
    </r>
    <r>
      <rPr>
        <rFont val="Arial"/>
        <color rgb="FF202122"/>
        <sz val="11.0"/>
      </rPr>
      <t>Spring</t>
    </r>
    <r>
      <rPr>
        <rFont val="Arial"/>
        <color rgb="FF202122"/>
        <sz val="11.0"/>
      </rPr>
      <t xml:space="preserve"> 17th.</t>
    </r>
  </si>
  <si>
    <t>The wool lining should stay warm deep into the forest.</t>
  </si>
  <si>
    <t>Upgrade your house to the maximum size.</t>
  </si>
  <si>
    <t>1.3x crit chance, 1 defense, 2 combat, 1.15x combat xp, (healthy: 2 speed)</t>
  </si>
  <si>
    <t>Hard Hat</t>
  </si>
  <si>
    <t>Autopet all, Loving Rancher, 1.17 popularity</t>
  </si>
  <si>
    <t>Keep your dome in one piece.</t>
  </si>
  <si>
    <t>Monster Eradication Goal - Defeat 30 Duggies.</t>
  </si>
  <si>
    <t>2 defense, 5% construct discount, 15% robin discount, protection ring</t>
  </si>
  <si>
    <t>Hair Bone</t>
  </si>
  <si>
    <t>A prehistoric version of the hair bow.</t>
  </si>
  <si>
    <r>
      <rPr>
        <rFont val="Arial"/>
        <color rgb="FF0645AD"/>
        <sz val="11.0"/>
      </rPr>
      <t>Monster Eradication Goal</t>
    </r>
    <r>
      <rPr>
        <rFont val="Arial"/>
        <color rgb="FF0645AD"/>
        <sz val="11.0"/>
      </rPr>
      <t xml:space="preserve"> - Defeat 50 </t>
    </r>
    <r>
      <rPr>
        <rFont val="Arial"/>
        <color rgb="FF0645AD"/>
        <sz val="11.0"/>
      </rPr>
      <t>Pepper Rex</t>
    </r>
    <r>
      <rPr>
        <rFont val="Arial"/>
        <color rgb="FF0645AD"/>
        <sz val="11.0"/>
      </rPr>
      <t>.</t>
    </r>
  </si>
  <si>
    <r>
      <rPr>
        <rFont val="Arial"/>
        <color rgb="FF202122"/>
        <sz val="11.0"/>
      </rPr>
      <t xml:space="preserve">0.001% chance to find while cutting </t>
    </r>
    <r>
      <rPr>
        <rFont val="Arial"/>
        <color rgb="FF202122"/>
        <sz val="11.0"/>
      </rPr>
      <t>weeds</t>
    </r>
    <r>
      <rPr>
        <rFont val="Arial"/>
        <color rgb="FF202122"/>
        <sz val="11.0"/>
      </rPr>
      <t xml:space="preserve">.
0.01% chance of dropping from </t>
    </r>
    <r>
      <rPr>
        <rFont val="Arial"/>
        <color rgb="FF202122"/>
        <sz val="11.0"/>
      </rPr>
      <t>Wilderness Golems</t>
    </r>
    <r>
      <rPr>
        <rFont val="Arial"/>
        <color rgb="FF202122"/>
        <sz val="11.0"/>
      </rPr>
      <t>.</t>
    </r>
  </si>
  <si>
    <t>Monster Musk Effect</t>
  </si>
  <si>
    <t>Green Turban</t>
  </si>
  <si>
    <t>A green silk turban with a gold ornament on the front.</t>
  </si>
  <si>
    <r>
      <rPr>
        <rFont val="Arial"/>
        <color rgb="FF0645AD"/>
        <sz val="11.0"/>
      </rPr>
      <t>Desert Trader</t>
    </r>
    <r>
      <rPr>
        <rFont val="Arial"/>
        <color rgb="FF0645AD"/>
        <sz val="11.0"/>
      </rPr>
      <t xml:space="preserve"> in exchange for 50 </t>
    </r>
    <r>
      <rPr>
        <rFont val="Arial"/>
        <color rgb="FF0645AD"/>
        <sz val="11.0"/>
      </rPr>
      <t>Omni Geodes</t>
    </r>
    <r>
      <rPr>
        <rFont val="Arial"/>
        <color rgb="FF0645AD"/>
        <sz val="11.0"/>
      </rPr>
      <t>.</t>
    </r>
  </si>
  <si>
    <t xml:space="preserve"> protective ring, (desert:150 energy, 2 stamina regen)</t>
  </si>
  <si>
    <t>Governor's Hat</t>
  </si>
  <si>
    <r>
      <rPr>
        <rFont val="Arial"/>
        <color rgb="FF202122"/>
        <sz val="11.0"/>
      </rPr>
      <t xml:space="preserve">Drops from the pot of gold by the rainbow next to the </t>
    </r>
    <r>
      <rPr>
        <rFont val="Arial"/>
        <color rgb="FF202122"/>
        <sz val="11.0"/>
      </rPr>
      <t>Abandoned House</t>
    </r>
    <r>
      <rPr>
        <rFont val="Arial"/>
        <color rgb="FF202122"/>
        <sz val="11.0"/>
      </rPr>
      <t xml:space="preserve"> on </t>
    </r>
    <r>
      <rPr>
        <rFont val="Arial"/>
        <color rgb="FF202122"/>
        <sz val="11.0"/>
      </rPr>
      <t>Spring</t>
    </r>
    <r>
      <rPr>
        <rFont val="Arial"/>
        <color rgb="FF202122"/>
        <sz val="11.0"/>
      </rPr>
      <t xml:space="preserve"> 17th.</t>
    </r>
  </si>
  <si>
    <t>A replica of the Governor's iconic hat.</t>
  </si>
  <si>
    <t>Delight the Governor.</t>
  </si>
  <si>
    <r>
      <rPr>
        <rFont val="Arial"/>
        <color rgb="FF202122"/>
        <sz val="11.0"/>
      </rPr>
      <t xml:space="preserve">0.001% chance to find while cutting </t>
    </r>
    <r>
      <rPr>
        <rFont val="Arial"/>
        <color rgb="FF202122"/>
        <sz val="11.0"/>
      </rPr>
      <t>weeds</t>
    </r>
    <r>
      <rPr>
        <rFont val="Arial"/>
        <color rgb="FF202122"/>
        <sz val="11.0"/>
      </rPr>
      <t xml:space="preserve">.
0.01% chance of dropping from </t>
    </r>
    <r>
      <rPr>
        <rFont val="Arial"/>
        <color rgb="FF202122"/>
        <sz val="11.0"/>
      </rPr>
      <t>Wilderness Golems</t>
    </r>
    <r>
      <rPr>
        <rFont val="Arial"/>
        <color rgb="FF202122"/>
        <sz val="11.0"/>
      </rPr>
      <t>.</t>
    </r>
  </si>
  <si>
    <t>60 health, -2 speed, popularity, 2 still health regen</t>
  </si>
  <si>
    <t>Good Ol' Cap</t>
  </si>
  <si>
    <t>A floppy old topper with a creased bill. Looks like it's been through a lot.</t>
  </si>
  <si>
    <t>Earn 15,000g.</t>
  </si>
  <si>
    <t>Golden Mask</t>
  </si>
  <si>
    <r>
      <rPr>
        <rFont val="Arial"/>
        <color rgb="FF202122"/>
        <sz val="11.0"/>
      </rPr>
      <t xml:space="preserve">Drops from the pot of gold by the rainbow next to the </t>
    </r>
    <r>
      <rPr>
        <rFont val="Arial"/>
        <color rgb="FF202122"/>
        <sz val="11.0"/>
      </rPr>
      <t>Abandoned House</t>
    </r>
    <r>
      <rPr>
        <rFont val="Arial"/>
        <color rgb="FF202122"/>
        <sz val="11.0"/>
      </rPr>
      <t xml:space="preserve"> on </t>
    </r>
    <r>
      <rPr>
        <rFont val="Arial"/>
        <color rgb="FF202122"/>
        <sz val="11.0"/>
      </rPr>
      <t>Spring</t>
    </r>
    <r>
      <rPr>
        <rFont val="Arial"/>
        <color rgb="FF202122"/>
        <sz val="11.0"/>
      </rPr>
      <t xml:space="preserve"> 17th.</t>
    </r>
  </si>
  <si>
    <r>
      <rPr>
        <rFont val="Arial"/>
        <color rgb="FF0645AD"/>
        <sz val="11.0"/>
      </rPr>
      <t>Monster Eradication Goal</t>
    </r>
    <r>
      <rPr>
        <rFont val="Arial"/>
        <color rgb="FF0645AD"/>
        <sz val="11.0"/>
      </rPr>
      <t xml:space="preserve"> - Defeat 50 </t>
    </r>
    <r>
      <rPr>
        <rFont val="Arial"/>
        <color rgb="FF0645AD"/>
        <sz val="11.0"/>
      </rPr>
      <t>Pepper Rex</t>
    </r>
    <r>
      <rPr>
        <rFont val="Arial"/>
        <color rgb="FF0645AD"/>
        <sz val="11.0"/>
      </rPr>
      <t>.</t>
    </r>
  </si>
  <si>
    <t>A faithful recreation of the Calico Desert relic!</t>
  </si>
  <si>
    <t>25% dodge</t>
  </si>
  <si>
    <t>Miderian Finale</t>
  </si>
  <si>
    <t>Golden Helmet</t>
  </si>
  <si>
    <t>It's half of a golden coconut.</t>
  </si>
  <si>
    <t>Golden Coconuts (5% chance on opening).</t>
  </si>
  <si>
    <t>(island: 2 speed, 3 luck) (underground: -1 speed, -1 luck)</t>
  </si>
  <si>
    <t>Gold Pan (hat)</t>
  </si>
  <si>
    <r>
      <rPr>
        <rFont val="Arial"/>
        <color rgb="FF0645AD"/>
        <sz val="11.0"/>
      </rPr>
      <t>Monster Eradication Goal</t>
    </r>
    <r>
      <rPr>
        <rFont val="Arial"/>
        <color rgb="FF0645AD"/>
        <sz val="11.0"/>
      </rPr>
      <t xml:space="preserve"> - Defeat 50 </t>
    </r>
    <r>
      <rPr>
        <rFont val="Arial"/>
        <color rgb="FF0645AD"/>
        <sz val="11.0"/>
      </rPr>
      <t>Pepper Rex</t>
    </r>
    <r>
      <rPr>
        <rFont val="Arial"/>
        <color rgb="FF0645AD"/>
        <sz val="11.0"/>
      </rPr>
      <t>.</t>
    </r>
  </si>
  <si>
    <t>You place the gold pan on your head...</t>
  </si>
  <si>
    <t>Place the Gold Pan in the hat slot next to the farmer sprite in the inventory menu.</t>
  </si>
  <si>
    <t>1 speed, 1 luck</t>
  </si>
  <si>
    <t>Goggles</t>
  </si>
  <si>
    <t>These will make you look very safe.</t>
  </si>
  <si>
    <t>Goblin Mask</t>
  </si>
  <si>
    <t>Freak out the neighborhood with this creepy mask. Rubber ear joints for effect.</t>
  </si>
  <si>
    <t>Ship every item.</t>
  </si>
  <si>
    <t>3 speed, 1 attack, -50 defense, burglar ring (undergound: 2 speed)</t>
  </si>
  <si>
    <t>Gnome's Cap</t>
  </si>
  <si>
    <t>This gnome had a very large head.</t>
  </si>
  <si>
    <t>Craft every Item.</t>
  </si>
  <si>
    <t>50% clint discount, 4 defense</t>
  </si>
  <si>
    <t>Why Go Alone?</t>
  </si>
  <si>
    <t>Gil's Hat</t>
  </si>
  <si>
    <r>
      <rPr>
        <rFont val="Arial"/>
        <color rgb="FF0645AD"/>
        <sz val="11.0"/>
      </rPr>
      <t>Desert Trader</t>
    </r>
    <r>
      <rPr>
        <rFont val="Arial"/>
        <color rgb="FF0645AD"/>
        <sz val="11.0"/>
      </rPr>
      <t xml:space="preserve"> in exchange for 50 </t>
    </r>
    <r>
      <rPr>
        <rFont val="Arial"/>
        <color rgb="FF0645AD"/>
        <sz val="11.0"/>
      </rPr>
      <t>Omni Geodes</t>
    </r>
    <r>
      <rPr>
        <rFont val="Arial"/>
        <color rgb="FF0645AD"/>
        <sz val="11.0"/>
      </rPr>
      <t>.</t>
    </r>
  </si>
  <si>
    <t>It's the same hat that Gil wears.</t>
  </si>
  <si>
    <r>
      <rPr>
        <rFont val="Arial"/>
        <color rgb="FF202122"/>
        <sz val="11.0"/>
      </rPr>
      <t xml:space="preserve">Obtained as a reward for submitting an </t>
    </r>
    <r>
      <rPr>
        <rFont val="Arial"/>
        <color rgb="FF202122"/>
        <sz val="11.0"/>
      </rPr>
      <t>egg rating</t>
    </r>
    <r>
      <rPr>
        <rFont val="Arial"/>
        <color rgb="FF202122"/>
        <sz val="11.0"/>
      </rPr>
      <t xml:space="preserve"> of 25-54 to </t>
    </r>
    <r>
      <rPr>
        <rFont val="Arial"/>
        <color rgb="FF202122"/>
        <sz val="11.0"/>
      </rPr>
      <t>Gil</t>
    </r>
    <r>
      <rPr>
        <rFont val="Arial"/>
        <color rgb="FF202122"/>
        <sz val="11.0"/>
      </rPr>
      <t xml:space="preserve"> during </t>
    </r>
    <r>
      <rPr>
        <rFont val="Arial"/>
        <color rgb="FF202122"/>
        <sz val="11.0"/>
      </rPr>
      <t>Desert Festival</t>
    </r>
    <r>
      <rPr>
        <rFont val="Arial"/>
        <color rgb="FF202122"/>
        <sz val="11.0"/>
      </rPr>
      <t>.</t>
    </r>
  </si>
  <si>
    <t>3 attack, 2 combat, 1.3x combat xp, ParryBoost (Melee Sword: 3 Attack, 3 Combat))</t>
  </si>
  <si>
    <t>1.17 Popularity, 20 magnetism, lewis dissaproves (hes scared of clowns)</t>
  </si>
  <si>
    <t>Decorated Past</t>
  </si>
  <si>
    <t>Garbage Hat</t>
  </si>
  <si>
    <t>It's a garbage can lid 'upcycled' into a hat...</t>
  </si>
  <si>
    <t>0.2% chance to find while checking Garbage Cans in Town, only after checking 20 cans.</t>
  </si>
  <si>
    <t>Lewis dissaproves, 1.001x foraging xp (lol)</t>
  </si>
  <si>
    <t>Hidden Treasure</t>
  </si>
  <si>
    <t>Frog Hat</t>
  </si>
  <si>
    <t>A slimy friend that lives on your dome.</t>
  </si>
  <si>
    <t>Fish in the Gourmand Frog's cave on Ginger Island.</t>
  </si>
  <si>
    <t>(wet weather: popularity, popularity, 4 speed)</t>
  </si>
  <si>
    <t>Forager's Hat</t>
  </si>
  <si>
    <t>It's a forager's delight.</t>
  </si>
  <si>
    <t>3 foraging, 1.15x foraging xp</t>
  </si>
  <si>
    <t>Floppy Beanie</t>
  </si>
  <si>
    <r>
      <rPr>
        <rFont val="Arial"/>
        <color rgb="FF0645AD"/>
        <sz val="11.0"/>
      </rPr>
      <t>Desert Trader</t>
    </r>
    <r>
      <rPr>
        <rFont val="Arial"/>
        <color rgb="FF0645AD"/>
        <sz val="11.0"/>
      </rPr>
      <t xml:space="preserve"> in exchange for 50 </t>
    </r>
    <r>
      <rPr>
        <rFont val="Arial"/>
        <color rgb="FF0645AD"/>
        <sz val="11.0"/>
      </rPr>
      <t>Omni Geodes</t>
    </r>
    <r>
      <rPr>
        <rFont val="Arial"/>
        <color rgb="FF0645AD"/>
        <sz val="11.0"/>
      </rPr>
      <t>.</t>
    </r>
  </si>
  <si>
    <t>A warm hat with a looser fit.</t>
  </si>
  <si>
    <t>(winter:40 health, 50 energy, 1 speed)</t>
  </si>
  <si>
    <t>Flat Topped Hat</t>
  </si>
  <si>
    <t>2 defense, 5% construct discount, 10% robin discount, protection ring</t>
  </si>
  <si>
    <t>An old style of hat once considered very fashionable.</t>
  </si>
  <si>
    <t>Fishing Hat</t>
  </si>
  <si>
    <t>The wide brim keeps you shaded when you're fishing on the riverbank.</t>
  </si>
  <si>
    <t>3 fishing</t>
  </si>
  <si>
    <t>Running River</t>
  </si>
  <si>
    <t>Fedora</t>
  </si>
  <si>
    <t>A city-slicker's standard.</t>
  </si>
  <si>
    <t>Purchase for 500 at the Stardew Valley Fair.</t>
  </si>
  <si>
    <r>
      <rPr>
        <rFont val="Arial"/>
        <color rgb="FF0645AD"/>
        <sz val="11.0"/>
      </rPr>
      <t>Desert Trader</t>
    </r>
    <r>
      <rPr>
        <rFont val="Arial"/>
        <color rgb="FF0645AD"/>
        <sz val="11.0"/>
      </rPr>
      <t xml:space="preserve"> in exchange for 50 </t>
    </r>
    <r>
      <rPr>
        <rFont val="Arial"/>
        <color rgb="FF0645AD"/>
        <sz val="11.0"/>
      </rPr>
      <t>Omni Geodes</t>
    </r>
    <r>
      <rPr>
        <rFont val="Arial"/>
        <color rgb="FF0645AD"/>
        <sz val="11.0"/>
      </rPr>
      <t>.</t>
    </r>
  </si>
  <si>
    <t>Fashion Hat</t>
  </si>
  <si>
    <r>
      <rPr>
        <rFont val="Arial"/>
        <color rgb="FF202122"/>
        <sz val="11.0"/>
      </rPr>
      <t xml:space="preserve">Obtained as a reward for submitting an </t>
    </r>
    <r>
      <rPr>
        <rFont val="Arial"/>
        <color rgb="FF202122"/>
        <sz val="11.0"/>
      </rPr>
      <t>egg rating</t>
    </r>
    <r>
      <rPr>
        <rFont val="Arial"/>
        <color rgb="FF202122"/>
        <sz val="11.0"/>
      </rPr>
      <t xml:space="preserve"> of 25-54 to </t>
    </r>
    <r>
      <rPr>
        <rFont val="Arial"/>
        <color rgb="FF202122"/>
        <sz val="11.0"/>
      </rPr>
      <t>Gil</t>
    </r>
    <r>
      <rPr>
        <rFont val="Arial"/>
        <color rgb="FF202122"/>
        <sz val="11.0"/>
      </rPr>
      <t xml:space="preserve"> during </t>
    </r>
    <r>
      <rPr>
        <rFont val="Arial"/>
        <color rgb="FF202122"/>
        <sz val="11.0"/>
      </rPr>
      <t>Desert Festival</t>
    </r>
    <r>
      <rPr>
        <rFont val="Arial"/>
        <color rgb="FF202122"/>
        <sz val="11.0"/>
      </rPr>
      <t>.</t>
    </r>
  </si>
  <si>
    <t>A fashionable hat with a feather in the brim.</t>
  </si>
  <si>
    <t>Eye Patch</t>
  </si>
  <si>
    <t>You can't tell if it's real or just from a costume shop.</t>
  </si>
  <si>
    <t>60 health, -2 speed, 1.17x popularity, 2 still health regen</t>
  </si>
  <si>
    <t>Catch every fish.</t>
  </si>
  <si>
    <t>Fishingchest++, keep chests, 4 fishing, (fall: 9 attack, Bombey 15, 50 health)</t>
  </si>
  <si>
    <t>Emily's Magic Hat</t>
  </si>
  <si>
    <t>Made with love by Emily. It's 100% organic!</t>
  </si>
  <si>
    <t>Obtained in Emily's 14-heart cutscene.</t>
  </si>
  <si>
    <t>10 rainbow glow, (green rain: 5 luck, 5 speed, 5 foraging, popularity, popularity, popularity)</t>
  </si>
  <si>
    <t>Truly Magic</t>
  </si>
  <si>
    <t>Elegant Turban</t>
  </si>
  <si>
    <t>A fine black silk turban with gold trim.</t>
  </si>
  <si>
    <t>Earn all other Achievements.</t>
  </si>
  <si>
    <t>5 speed, protective ring, 3 stamina regen,(desert:200 energy, 200 health, 25 health regen, autorevive)</t>
  </si>
  <si>
    <t>Earmuffs</t>
  </si>
  <si>
    <t>Keep your ears toasty. Lined with artisanal velvet from Castle Village.</t>
  </si>
  <si>
    <r>
      <rPr>
        <rFont val="Arial"/>
        <color rgb="FF202122"/>
        <sz val="11.0"/>
      </rPr>
      <t xml:space="preserve">Reach a 5-heart </t>
    </r>
    <r>
      <rPr>
        <rFont val="Arial"/>
        <color rgb="FF202122"/>
        <sz val="11.0"/>
        <u/>
      </rPr>
      <t>friend</t>
    </r>
    <r>
      <rPr>
        <rFont val="Arial"/>
        <color rgb="FF202122"/>
        <sz val="11.0"/>
      </rPr>
      <t xml:space="preserve"> level with 20 people.</t>
    </r>
  </si>
  <si>
    <t>5 immunity, sturdy ring, (Winter: 10 health, 5 immunity, 2 speed)</t>
  </si>
  <si>
    <t>Dinosaur Hat</t>
  </si>
  <si>
    <t>A hat fashioned to look like a small dinosaur.</t>
  </si>
  <si>
    <t xml:space="preserve">50 health,  1.3x knockback (Low health: 2 attack),(Critical health: 2 speed) </t>
  </si>
  <si>
    <t>Eonic Tribute</t>
  </si>
  <si>
    <t>Deluxe Pirate Hat</t>
  </si>
  <si>
    <t>Only the most infamous pirate could pull off this look.</t>
  </si>
  <si>
    <t>Volcano Dungeon rare chests (~11.1% chance).</t>
  </si>
  <si>
    <t>FishingChest+, (island: keepchests, 3 fishing, 1 speed)</t>
  </si>
  <si>
    <t>Deluxe Cowboy Hat</t>
  </si>
  <si>
    <r>
      <rPr>
        <rFont val="Arial"/>
        <color rgb="FF202122"/>
        <sz val="11.0"/>
      </rPr>
      <t xml:space="preserve">Obtained as a reward for submitting an </t>
    </r>
    <r>
      <rPr>
        <rFont val="Arial"/>
        <color rgb="FF202122"/>
        <sz val="11.0"/>
      </rPr>
      <t>egg rating</t>
    </r>
    <r>
      <rPr>
        <rFont val="Arial"/>
        <color rgb="FF202122"/>
        <sz val="11.0"/>
      </rPr>
      <t xml:space="preserve"> of 25-54 to </t>
    </r>
    <r>
      <rPr>
        <rFont val="Arial"/>
        <color rgb="FF202122"/>
        <sz val="11.0"/>
      </rPr>
      <t>Gil</t>
    </r>
    <r>
      <rPr>
        <rFont val="Arial"/>
        <color rgb="FF202122"/>
        <sz val="11.0"/>
      </rPr>
      <t xml:space="preserve"> during </t>
    </r>
    <r>
      <rPr>
        <rFont val="Arial"/>
        <color rgb="FF202122"/>
        <sz val="11.0"/>
      </rPr>
      <t>Desert Festival</t>
    </r>
    <r>
      <rPr>
        <rFont val="Arial"/>
        <color rgb="FF202122"/>
        <sz val="11.0"/>
      </rPr>
      <t>.</t>
    </r>
  </si>
  <si>
    <t>A cowboy hat with a more extreme shape.</t>
  </si>
  <si>
    <t>Island Trader on Fridays in exchange for 30 Taro Roots.</t>
  </si>
  <si>
    <t>Delicate Bow</t>
  </si>
  <si>
    <t>Little pink jewels glisten as you examine it.</t>
  </si>
  <si>
    <t>Cook 10 different recipes.</t>
  </si>
  <si>
    <t>Dark Velvet Bow</t>
  </si>
  <si>
    <t>3 speed, 1 attack, -20 defense, burglar ring (undergound: 2 speed)</t>
  </si>
  <si>
    <t>A big, floppy bow made of dark velvet.</t>
  </si>
  <si>
    <t>Purchase for  75 from the Calico Egg Merchant at the Desert Festival.</t>
  </si>
  <si>
    <t>Popularity, (While holding shadow dagger: 50 energy sapping, (On krobus talk: 50 friendship))</t>
  </si>
  <si>
    <t>No Will To Break</t>
  </si>
  <si>
    <t>Dark Cowboy Hat</t>
  </si>
  <si>
    <t>A cowboy hat in fashionable black.</t>
  </si>
  <si>
    <t>Dark Ballcap</t>
  </si>
  <si>
    <t>It fits perfectly on your head.</t>
  </si>
  <si>
    <t>7 Mining, Mercenery, 7 Combat, Burglar Ring</t>
  </si>
  <si>
    <r>
      <rPr>
        <rFont val="Arial"/>
        <color rgb="FF202122"/>
        <sz val="11.0"/>
      </rPr>
      <t xml:space="preserve">Obtained as a reward for submitting an </t>
    </r>
    <r>
      <rPr>
        <rFont val="Arial"/>
        <color rgb="FF202122"/>
        <sz val="11.0"/>
      </rPr>
      <t>egg rating</t>
    </r>
    <r>
      <rPr>
        <rFont val="Arial"/>
        <color rgb="FF202122"/>
        <sz val="11.0"/>
      </rPr>
      <t xml:space="preserve"> of 25-54 to </t>
    </r>
    <r>
      <rPr>
        <rFont val="Arial"/>
        <color rgb="FF202122"/>
        <sz val="11.0"/>
      </rPr>
      <t>Gil</t>
    </r>
    <r>
      <rPr>
        <rFont val="Arial"/>
        <color rgb="FF202122"/>
        <sz val="11.0"/>
      </rPr>
      <t xml:space="preserve"> during </t>
    </r>
    <r>
      <rPr>
        <rFont val="Arial"/>
        <color rgb="FF202122"/>
        <sz val="11.0"/>
      </rPr>
      <t>Desert Festival</t>
    </r>
    <r>
      <rPr>
        <rFont val="Arial"/>
        <color rgb="FF202122"/>
        <sz val="11.0"/>
      </rPr>
      <t>.</t>
    </r>
  </si>
  <si>
    <t>Street Smart</t>
  </si>
  <si>
    <t>3 attack, 2 combat, 1.3x combat xp, ParryBoost (Melee Sword: 3 Attack, 2 Combat))</t>
  </si>
  <si>
    <t>Daisy</t>
  </si>
  <si>
    <t>A fresh spring daisy to put in your hair.</t>
  </si>
  <si>
    <t>Craft 15 different items.</t>
  </si>
  <si>
    <t>Cowpoke Hat</t>
  </si>
  <si>
    <t>For dairy experts.</t>
  </si>
  <si>
    <t>Ship 15 of each crop.</t>
  </si>
  <si>
    <t>Autopet all, Loving Rancher, popularity, 1 speed (farm: 5 farming)</t>
  </si>
  <si>
    <t>Cowgal Hat</t>
  </si>
  <si>
    <t>The band is studded with fake diamonds.</t>
  </si>
  <si>
    <t>Ship 300 of one crop.</t>
  </si>
  <si>
    <t>Slayyyy</t>
  </si>
  <si>
    <t>Cowboy Hat</t>
  </si>
  <si>
    <t>Frog companion, (wet weather:1.35x popularity, 4 speed)</t>
  </si>
  <si>
    <t>The leather is old and cracked, but surprisingly supple. It smells musty.</t>
  </si>
  <si>
    <t>Complete the museum collection.</t>
  </si>
  <si>
    <t>Autopet all, Loving Rancher, popularity, 1 speed (farm: 2 speed)</t>
  </si>
  <si>
    <t>Prairie Friend</t>
  </si>
  <si>
    <t>Copper Pan (hat)</t>
  </si>
  <si>
    <t>You place the copper pan on your head...</t>
  </si>
  <si>
    <t>Place the Copper Pan in the hat slot next to the farmer sprite in the inventory menu.</t>
  </si>
  <si>
    <t>Cool Cap</t>
  </si>
  <si>
    <r>
      <rPr>
        <rFont val="Arial"/>
        <color rgb="FF202122"/>
        <sz val="11.0"/>
      </rPr>
      <t xml:space="preserve">Reach a 5-heart </t>
    </r>
    <r>
      <rPr>
        <rFont val="Arial"/>
        <color rgb="FF202122"/>
        <sz val="11.0"/>
        <u/>
      </rPr>
      <t>friend</t>
    </r>
    <r>
      <rPr>
        <rFont val="Arial"/>
        <color rgb="FF202122"/>
        <sz val="11.0"/>
      </rPr>
      <t xml:space="preserve"> level with 20 people.</t>
    </r>
  </si>
  <si>
    <t>It looks really faded, but it used to be a vibrant blue.</t>
  </si>
  <si>
    <t>Earn 250,000g.</t>
  </si>
  <si>
    <t>Cone Hat</t>
  </si>
  <si>
    <t>A curiosity from a distant land.</t>
  </si>
  <si>
    <r>
      <rPr>
        <rFont val="Arial"/>
        <color rgb="FF202122"/>
        <sz val="11.0"/>
      </rPr>
      <t xml:space="preserve">Purchase from the </t>
    </r>
    <r>
      <rPr>
        <rFont val="Arial"/>
        <color rgb="FF202122"/>
        <sz val="11.0"/>
      </rPr>
      <t>Magic Shop Boat</t>
    </r>
    <r>
      <rPr>
        <rFont val="Arial"/>
        <color rgb="FF202122"/>
        <sz val="11.0"/>
      </rPr>
      <t xml:space="preserve"> at the </t>
    </r>
    <r>
      <rPr>
        <rFont val="Arial"/>
        <color rgb="FF202122"/>
        <sz val="11.0"/>
      </rPr>
      <t>Night Market</t>
    </r>
    <r>
      <rPr>
        <rFont val="Arial"/>
        <color rgb="FF202122"/>
        <sz val="11.0"/>
      </rPr>
      <t>.</t>
    </r>
  </si>
  <si>
    <t>(Spring: (Storm: (Critical health: (4pm-4:10pm: (While holding Ossified Blade: 100 speed, 3.5x popularity 100 luck)))))</t>
  </si>
  <si>
    <t>Chicken Mask</t>
  </si>
  <si>
    <t>You'll be sure to get them grinning with this one.</t>
  </si>
  <si>
    <t>Complete 40 'Help Wanted' requests.</t>
  </si>
  <si>
    <t>Autopet all, Loving Rancher, 2 farming (On farm: 4 speed)</t>
  </si>
  <si>
    <t>Squawk Proud</t>
  </si>
  <si>
    <t>Chef Hat</t>
  </si>
  <si>
    <t>The traditional hat worn by a head chef.</t>
  </si>
  <si>
    <t>Cook every recipe.</t>
  </si>
  <si>
    <t>3 luck, 2 speed, popularity, -5 defense</t>
  </si>
  <si>
    <t>Michelin Star</t>
  </si>
  <si>
    <t>Cat Ears</t>
  </si>
  <si>
    <t>Whiskers included.</t>
  </si>
  <si>
    <r>
      <rPr>
        <rFont val="Arial"/>
        <color rgb="FF202122"/>
        <sz val="11.0"/>
      </rPr>
      <t xml:space="preserve">Reach a 10-heart </t>
    </r>
    <r>
      <rPr>
        <rFont val="Arial"/>
        <color rgb="FF202122"/>
        <sz val="11.0"/>
        <u/>
      </rPr>
      <t>friend</t>
    </r>
    <r>
      <rPr>
        <rFont val="Arial"/>
        <color rgb="FF202122"/>
        <sz val="11.0"/>
      </rPr>
      <t xml:space="preserve"> level with 8 people.</t>
    </r>
  </si>
  <si>
    <t>2 speed, 2 fishing, 1.3x crit chance, 1.3x crit damage, 20% dodge, ParryBoost, -20 defense, FishingBarBoost (While holding Meowmere: 100x crit chance, -50 defense, 10 underground speed)</t>
  </si>
  <si>
    <t>Butterfly Bow</t>
  </si>
  <si>
    <t>This one is very soft.</t>
  </si>
  <si>
    <t>Reach a 5-heart friend level with someone.</t>
  </si>
  <si>
    <t>3% Fairy Event chance</t>
  </si>
  <si>
    <r>
      <rPr>
        <rFont val="Arial"/>
        <color rgb="FF202122"/>
        <sz val="11.0"/>
      </rPr>
      <t xml:space="preserve">Reach a 5-heart </t>
    </r>
    <r>
      <rPr>
        <rFont val="Arial"/>
        <color rgb="FF202122"/>
        <sz val="11.0"/>
        <u/>
      </rPr>
      <t>friend</t>
    </r>
    <r>
      <rPr>
        <rFont val="Arial"/>
        <color rgb="FF202122"/>
        <sz val="11.0"/>
      </rPr>
      <t xml:space="preserve"> level with 20 people.</t>
    </r>
  </si>
  <si>
    <t>Bucket Hat</t>
  </si>
  <si>
    <t>3xFishingchest, keep chests, 4 fishing, (fall: popularity, 9 attack, Bombey 15, 50 health)</t>
  </si>
  <si>
    <t>A simple hat with a short brim.</t>
  </si>
  <si>
    <r>
      <rPr>
        <rFont val="Arial"/>
        <color rgb="FF202122"/>
        <sz val="11.0"/>
      </rPr>
      <t xml:space="preserve">Obtained as a reward from the </t>
    </r>
    <r>
      <rPr>
        <rFont val="Arial"/>
        <color rgb="FF202122"/>
        <sz val="11.0"/>
        <u/>
      </rPr>
      <t>Trout Derby</t>
    </r>
    <r>
      <rPr>
        <rFont val="Arial"/>
        <color rgb="FF202122"/>
        <sz val="11.0"/>
      </rPr>
      <t>.</t>
    </r>
  </si>
  <si>
    <t>FishingBarBoost, (summer: 2 fishing, 1.2x fishing xp)</t>
  </si>
  <si>
    <t>10 rainbow glow, (green rain: 5 luck, 5 speed, 5 foraging,1.51x Popularity)</t>
  </si>
  <si>
    <t>Bridal Veil</t>
  </si>
  <si>
    <t>The traditional headwear for a bride.</t>
  </si>
  <si>
    <t>(Wedding: 4 speed, 6 luck, Autorevive)(Underground: -1 speed)</t>
  </si>
  <si>
    <t>Bowler Hat</t>
  </si>
  <si>
    <t>5 speed, autorevive, protective ring, 3 stamina regen,(desert:200 energy, 200 health, 25 health regen)</t>
  </si>
  <si>
    <t>Made from smooth felt.</t>
  </si>
  <si>
    <t>Earn 1,000,000g.</t>
  </si>
  <si>
    <t>Bluebird Mask</t>
  </si>
  <si>
    <t>Wear this to look just like your favorite island trader.</t>
  </si>
  <si>
    <t>Island Trader on Wednesdays in exchange for 30 Taro Roots.</t>
  </si>
  <si>
    <r>
      <rPr>
        <rFont val="Arial"/>
        <color rgb="FF202122"/>
        <sz val="11.0"/>
      </rPr>
      <t xml:space="preserve">Reach a 5-heart </t>
    </r>
    <r>
      <rPr>
        <rFont val="Arial"/>
        <color rgb="FF202122"/>
        <sz val="11.0"/>
        <u/>
      </rPr>
      <t>friend</t>
    </r>
    <r>
      <rPr>
        <rFont val="Arial"/>
        <color rgb="FF202122"/>
        <sz val="11.0"/>
      </rPr>
      <t xml:space="preserve"> level with 20 people.</t>
    </r>
  </si>
  <si>
    <t>Nauseous, 2 speed</t>
  </si>
  <si>
    <t>Blue Ribbon</t>
  </si>
  <si>
    <t>A lovely ribbon that sits behind the head.</t>
  </si>
  <si>
    <t>Get 1st place in the Stardew Valley Fair competition.</t>
  </si>
  <si>
    <t>Blue Cowboy Hat</t>
  </si>
  <si>
    <t>A denim cowboy hat in cool blue.</t>
  </si>
  <si>
    <t>Blue Bow</t>
  </si>
  <si>
    <t>Purchase for  50 from the Calico Egg Merchant at the Desert Festival.</t>
  </si>
  <si>
    <t>Blue Bonnet</t>
  </si>
  <si>
    <t>Harken back to simpler times with this prairie bonnet.</t>
  </si>
  <si>
    <r>
      <rPr>
        <rFont val="Arial"/>
        <color rgb="FF202122"/>
        <sz val="11.0"/>
      </rPr>
      <t xml:space="preserve">Donate 40 different items to The </t>
    </r>
    <r>
      <rPr>
        <rFont val="Arial"/>
        <color rgb="FF202122"/>
        <sz val="11.0"/>
        <u/>
      </rPr>
      <t>Museum</t>
    </r>
    <r>
      <rPr>
        <rFont val="Arial"/>
        <color rgb="FF202122"/>
        <sz val="11.0"/>
      </rPr>
      <t>.</t>
    </r>
  </si>
  <si>
    <t>(While holding hoe: 1 speed, -10 defense, 4 luck, 10 magetism)</t>
  </si>
  <si>
    <t>Blobfish Mask</t>
  </si>
  <si>
    <t>Just as spongy as the real thing!</t>
  </si>
  <si>
    <t>-10 defense, -10 attack, -10 speed, -99 health (On Willy talk: 150 energy, 50 friendship)</t>
  </si>
  <si>
    <t>Beanie</t>
  </si>
  <si>
    <t>1.17 Popularity, (While holding shadow dagger: 50 energy sapping, (On krobus talk: 50 friendship))</t>
  </si>
  <si>
    <t>A warm hat with a pretty tight fit.</t>
  </si>
  <si>
    <r>
      <rPr>
        <rFont val="Arial"/>
        <color rgb="FF202122"/>
        <sz val="11.0"/>
      </rPr>
      <t xml:space="preserve">Purchase from the </t>
    </r>
    <r>
      <rPr>
        <rFont val="Arial"/>
        <color rgb="FF202122"/>
        <sz val="11.0"/>
      </rPr>
      <t>Magic Shop Boat</t>
    </r>
    <r>
      <rPr>
        <rFont val="Arial"/>
        <color rgb="FF202122"/>
        <sz val="11.0"/>
      </rPr>
      <t xml:space="preserve"> at the </t>
    </r>
    <r>
      <rPr>
        <rFont val="Arial"/>
        <color rgb="FF202122"/>
        <sz val="11.0"/>
      </rPr>
      <t>Night Market</t>
    </r>
    <r>
      <rPr>
        <rFont val="Arial"/>
        <color rgb="FF202122"/>
        <sz val="11.0"/>
      </rPr>
      <t>.</t>
    </r>
  </si>
  <si>
    <t>(winter:25 health, 25 energy)</t>
  </si>
  <si>
    <t>Archer's Cap</t>
  </si>
  <si>
    <t>Fashionable whether you're an archer or not.</t>
  </si>
  <si>
    <t>2 speed, 2x weapon speed, 1.3x attack, -2 def, 45 Slingshot boost, (half health: -8 def)</t>
  </si>
  <si>
    <t>Arcane Hat</t>
  </si>
  <si>
    <t>The type of cowboy hat worn by a wizard.</t>
  </si>
  <si>
    <r>
      <rPr>
        <rFont val="Arial"/>
        <color rgb="FF0645AD"/>
        <sz val="11.0"/>
      </rPr>
      <t>Monster Eradication Goal</t>
    </r>
    <r>
      <rPr>
        <rFont val="Arial"/>
        <color rgb="FF0645AD"/>
        <sz val="11.0"/>
      </rPr>
      <t xml:space="preserve"> - Defeat 100 </t>
    </r>
    <r>
      <rPr>
        <rFont val="Arial"/>
        <color rgb="FF0645AD"/>
        <sz val="11.0"/>
      </rPr>
      <t>Mummies</t>
    </r>
    <r>
      <rPr>
        <rFont val="Arial"/>
        <color rgb="FF0645AD"/>
        <sz val="11.0"/>
      </rPr>
      <t>.</t>
    </r>
  </si>
  <si>
    <t>burglar ring,(On Caroline Talk: 50 friendship) (storm: 10 immunity, 4 speed) (fall and storm: autorevive, 8 attack)</t>
  </si>
  <si>
    <t>Salem's Fallout</t>
  </si>
  <si>
    <t>Abigail's Bow</t>
  </si>
  <si>
    <t>It's just like Abby's.</t>
  </si>
  <si>
    <t>Purchase for  60 from Abigail's shop at the Desert Festival.</t>
  </si>
  <si>
    <t>(On sebastion talk: 40 friendship)</t>
  </si>
  <si>
    <t>.... (Shiny Fish Exclusive)</t>
  </si>
  <si>
    <t>....</t>
  </si>
  <si>
    <t>Tailoring with Shiny Legend (Shiny Fish Exclusive)</t>
  </si>
  <si>
    <t>3 speed, autorevive, parry boost, 35 sapping, 4x attack speed, 30 still healing</t>
  </si>
  <si>
    <r>
      <rPr>
        <rFont val="Arial"/>
        <color rgb="FF202122"/>
        <sz val="11.0"/>
      </rPr>
      <t xml:space="preserve">Reach a 10-heart </t>
    </r>
    <r>
      <rPr>
        <rFont val="Arial"/>
        <color rgb="FF202122"/>
        <sz val="11.0"/>
        <u/>
      </rPr>
      <t>friend</t>
    </r>
    <r>
      <rPr>
        <rFont val="Arial"/>
        <color rgb="FF202122"/>
        <sz val="11.0"/>
      </rPr>
      <t xml:space="preserve"> level with 8 people.</t>
    </r>
  </si>
  <si>
    <t>Slime Mask (Boss Battles Exclusive)</t>
  </si>
  <si>
    <t>Defeat Slime Boss (25%)</t>
  </si>
  <si>
    <t>Slime Charmer Ring, 1 defense</t>
  </si>
  <si>
    <t>Gem Eyes(Boss Battles Exclusive)</t>
  </si>
  <si>
    <t>Autopet all, Loving Rancher, 1.17 popularity, 1 speed (farm: 5 farming)</t>
  </si>
  <si>
    <t>Defeat Golem Boss (25%)</t>
  </si>
  <si>
    <t>4 Purple Glow, 2 attack, 1.15x Combat xp</t>
  </si>
  <si>
    <t>Dust Helm (Boss Battles Exclusive)</t>
  </si>
  <si>
    <t>Defeat Dust Amalgamation (25%)</t>
  </si>
  <si>
    <t>2 attack, 1 defense, burglar ring</t>
  </si>
  <si>
    <t>Ghost Crown (Boss Battles Exclusive)</t>
  </si>
  <si>
    <r>
      <rPr>
        <rFont val="Arial"/>
        <color rgb="FF202122"/>
        <sz val="11.0"/>
      </rPr>
      <t xml:space="preserve">Purchase from the </t>
    </r>
    <r>
      <rPr>
        <rFont val="Arial"/>
        <color rgb="FF202122"/>
        <sz val="11.0"/>
      </rPr>
      <t>Magic Shop Boat</t>
    </r>
    <r>
      <rPr>
        <rFont val="Arial"/>
        <color rgb="FF202122"/>
        <sz val="11.0"/>
      </rPr>
      <t xml:space="preserve"> at the </t>
    </r>
    <r>
      <rPr>
        <rFont val="Arial"/>
        <color rgb="FF202122"/>
        <sz val="11.0"/>
      </rPr>
      <t>Night Market</t>
    </r>
    <r>
      <rPr>
        <rFont val="Arial"/>
        <color rgb="FF202122"/>
        <sz val="11.0"/>
      </rPr>
      <t>.</t>
    </r>
  </si>
  <si>
    <t>Defeat Living Crystal (25%)</t>
  </si>
  <si>
    <t>2 attack, 1 speed, 20% dodge chance</t>
  </si>
  <si>
    <t>Crystal Helm (Boss Battles Exclusive)</t>
  </si>
  <si>
    <t>3 attack, -8 defense, debuff immunity</t>
  </si>
  <si>
    <t>Sisters Mask(Boss Battles Exclusive)</t>
  </si>
  <si>
    <t>Defeat The Wise Sister (25%)</t>
  </si>
  <si>
    <t>1 speed, Ice Rod, (Low Health: 1 speed)</t>
  </si>
  <si>
    <r>
      <rPr>
        <rFont val="Arial"/>
        <color rgb="FF202122"/>
        <sz val="11.0"/>
      </rPr>
      <t xml:space="preserve">Obtained as a reward from the </t>
    </r>
    <r>
      <rPr>
        <rFont val="Arial"/>
        <color rgb="FF202122"/>
        <sz val="11.0"/>
        <u/>
      </rPr>
      <t>Trout Derby</t>
    </r>
    <r>
      <rPr>
        <rFont val="Arial"/>
        <color rgb="FF202122"/>
        <sz val="11.0"/>
      </rPr>
      <t>.</t>
    </r>
  </si>
  <si>
    <t>Dwarvern Warrior Helm (Boss Battles Exclusive)</t>
  </si>
  <si>
    <t>Defeat The Dwarvern Warrior (25%)</t>
  </si>
  <si>
    <t>4 Attack, 3 Defense, 3 Combat, Bombey(15) (While holding dwarf hammer: 2 speed)</t>
  </si>
  <si>
    <t>Iridium Mask (Boss Battles Exclusive)</t>
  </si>
  <si>
    <t>Defeat The Iridium Soldier (25%)</t>
  </si>
  <si>
    <t>5 Attack, 5 Defense, Monster Musk, Mercenery, 15 Vampirism, (While Holding Infinity Blade: 2 speed)</t>
  </si>
  <si>
    <t>Autopet all, Loving Rancher, 1.17 popularity, 1 speed (farm: 2 speed)</t>
  </si>
  <si>
    <t>White Chicken Mask</t>
  </si>
  <si>
    <t>Exclusive to Passerby Cemetery</t>
  </si>
  <si>
    <t>Loving rancher, pet animals, 25% popularity, (On talk: 30 friendship)</t>
  </si>
  <si>
    <t>Cat Hat</t>
  </si>
  <si>
    <t>3 speed</t>
  </si>
  <si>
    <t>Turtle hat</t>
  </si>
  <si>
    <t>15 defense</t>
  </si>
  <si>
    <t>CaveFlowerhairPiece</t>
  </si>
  <si>
    <t>(Underground: 2 speed, 2 attack, 2 defense)</t>
  </si>
  <si>
    <r>
      <rPr>
        <rFont val="Arial"/>
        <color rgb="FF202122"/>
        <sz val="11.0"/>
      </rPr>
      <t xml:space="preserve">Reach a 10-heart </t>
    </r>
    <r>
      <rPr>
        <rFont val="Arial"/>
        <color rgb="FF202122"/>
        <sz val="11.0"/>
        <u/>
      </rPr>
      <t>friend</t>
    </r>
    <r>
      <rPr>
        <rFont val="Arial"/>
        <color rgb="FF202122"/>
        <sz val="11.0"/>
      </rPr>
      <t xml:space="preserve"> level with 8 people.</t>
    </r>
  </si>
  <si>
    <t>Surveyer Hat</t>
  </si>
  <si>
    <t>Exclusive to Nature In The Valley</t>
  </si>
  <si>
    <t>1 speed, 2 foraging, Professional Forager</t>
  </si>
  <si>
    <t>Legendary Fish Masks</t>
  </si>
  <si>
    <t>Exclusive to Sqtardew Aquarium</t>
  </si>
  <si>
    <t>Each mask gives 1 speed and 5 fishing during the season caught, with mutant carp giving -25 popularity</t>
  </si>
  <si>
    <t>Interact with the monkey in the Volcano Caldera once you have achieved 100% Perfection.</t>
  </si>
  <si>
    <r>
      <rPr>
        <rFont val="Arial"/>
        <color rgb="FF202122"/>
        <sz val="11.0"/>
      </rPr>
      <t xml:space="preserve">Purchase from the </t>
    </r>
    <r>
      <rPr>
        <rFont val="Arial"/>
        <color rgb="FF202122"/>
        <sz val="11.0"/>
      </rPr>
      <t>Magic Shop Boat</t>
    </r>
    <r>
      <rPr>
        <rFont val="Arial"/>
        <color rgb="FF202122"/>
        <sz val="11.0"/>
      </rPr>
      <t xml:space="preserve"> at the </t>
    </r>
    <r>
      <rPr>
        <rFont val="Arial"/>
        <color rgb="FF202122"/>
        <sz val="11.0"/>
      </rPr>
      <t>Night Market</t>
    </r>
    <r>
      <rPr>
        <rFont val="Arial"/>
        <color rgb="FF202122"/>
        <sz val="11.0"/>
      </rPr>
      <t>.</t>
    </r>
  </si>
  <si>
    <r>
      <rPr>
        <rFont val="Arial"/>
        <color rgb="FF202122"/>
        <sz val="11.0"/>
      </rPr>
      <t xml:space="preserve">Obtained as a reward from the </t>
    </r>
    <r>
      <rPr>
        <rFont val="Arial"/>
        <color rgb="FF202122"/>
        <sz val="11.0"/>
        <u/>
      </rPr>
      <t>Trout Derby</t>
    </r>
    <r>
      <rPr>
        <rFont val="Arial"/>
        <color rgb="FF202122"/>
        <sz val="11.0"/>
      </rPr>
      <t>.</t>
    </r>
  </si>
  <si>
    <t>Shirt Name</t>
  </si>
  <si>
    <t>Description</t>
  </si>
  <si>
    <t>Dyeable</t>
  </si>
  <si>
    <t>How to Obtain/Info</t>
  </si>
  <si>
    <t>Tailor Recipe</t>
  </si>
  <si>
    <t>Effect</t>
  </si>
  <si>
    <t>80's Shirt</t>
  </si>
  <si>
    <t>A gnarly t-shirt that sits off the shoulder.</t>
  </si>
  <si>
    <t>Yes</t>
  </si>
  <si>
    <t>Cactus Fruit</t>
  </si>
  <si>
    <t>3 luck, 2 speed, 1.17 popularity, -5 defense</t>
  </si>
  <si>
    <t>Antiquity Shirt</t>
  </si>
  <si>
    <t>A shirt with an ancient pattern.</t>
  </si>
  <si>
    <t>No</t>
  </si>
  <si>
    <r>
      <rPr>
        <rFont val="Arial"/>
        <color rgb="FF202122"/>
        <sz val="11.0"/>
      </rPr>
      <t xml:space="preserve">Reach a 10-heart </t>
    </r>
    <r>
      <rPr>
        <rFont val="Arial"/>
        <color rgb="FF202122"/>
        <sz val="11.0"/>
        <u/>
      </rPr>
      <t>friend</t>
    </r>
    <r>
      <rPr>
        <rFont val="Arial"/>
        <color rgb="FF202122"/>
        <sz val="11.0"/>
      </rPr>
      <t xml:space="preserve"> level with 8 people.</t>
    </r>
  </si>
  <si>
    <t>Chipped Amphora</t>
  </si>
  <si>
    <t>3 defense, 4 immunity, sturdy ring</t>
  </si>
  <si>
    <t>Mystery Shirt</t>
  </si>
  <si>
    <t>Mystery Boxes</t>
  </si>
  <si>
    <t>N/A</t>
  </si>
  <si>
    <t>Aquamarine Shirt</t>
  </si>
  <si>
    <t>An aquamarine shirt.</t>
  </si>
  <si>
    <t>Can be chosen at character creation</t>
  </si>
  <si>
    <t>Duck Mayonnaise</t>
  </si>
  <si>
    <r>
      <rPr>
        <rFont val="Arial"/>
        <color rgb="FF202122"/>
        <sz val="11.0"/>
      </rPr>
      <t xml:space="preserve">Donate 40 different items to The </t>
    </r>
    <r>
      <rPr>
        <rFont val="Arial"/>
        <color rgb="FF202122"/>
        <sz val="11.0"/>
        <u/>
      </rPr>
      <t>Museum</t>
    </r>
    <r>
      <rPr>
        <rFont val="Arial"/>
        <color rgb="FF202122"/>
        <sz val="11.0"/>
      </rPr>
      <t>.</t>
    </r>
  </si>
  <si>
    <r>
      <rPr>
        <rFont val="Arial"/>
        <color rgb="FF202122"/>
        <sz val="11.0"/>
      </rPr>
      <t xml:space="preserve">Obtained as a reward from the </t>
    </r>
    <r>
      <rPr>
        <rFont val="Arial"/>
        <color rgb="FF202122"/>
        <sz val="11.0"/>
        <u/>
      </rPr>
      <t>Trout Derby</t>
    </r>
    <r>
      <rPr>
        <rFont val="Arial"/>
        <color rgb="FF202122"/>
        <sz val="11.0"/>
      </rPr>
      <t>.</t>
    </r>
  </si>
  <si>
    <t>Arcane Shirt</t>
  </si>
  <si>
    <t>You can feel a certain power from this garment.</t>
  </si>
  <si>
    <t>Galaxy Soul</t>
  </si>
  <si>
    <t>6 Immunity, 1.65x crit damage (storm:40% dodge chance, 1.5x crit chance)</t>
  </si>
  <si>
    <t>Backpack Shirt</t>
  </si>
  <si>
    <t>A plain shirt with a canvas backpack.</t>
  </si>
  <si>
    <t>Strange Capsule</t>
  </si>
  <si>
    <t>(Weapon Dagger: (Underground: 8 speed), 0% crit chance, 0% crit damage, -150 defense, 2.5x weapon speed)</t>
  </si>
  <si>
    <t>Banana Shirt</t>
  </si>
  <si>
    <t>Consider this shirt, if you happen to love bananas.</t>
  </si>
  <si>
    <t>Banana Pudding</t>
  </si>
  <si>
    <t>Sapping(14),(island: 2 speed, 50 max energy)</t>
  </si>
  <si>
    <t>Bandana Shirt</t>
  </si>
  <si>
    <t>A shirt with a bandana to keep your neck soft.</t>
  </si>
  <si>
    <t>Jasper</t>
  </si>
  <si>
    <t>3 defense, 15% dodge, Mercenery</t>
  </si>
  <si>
    <t>A shirt with a bandana to shield your neck from harm.</t>
  </si>
  <si>
    <t>Kyanite</t>
  </si>
  <si>
    <t>Fluorapatite</t>
  </si>
  <si>
    <r>
      <rPr>
        <rFont val="Arial"/>
        <color rgb="FF202122"/>
        <sz val="11.0"/>
      </rPr>
      <t xml:space="preserve">Donate 40 different items to The </t>
    </r>
    <r>
      <rPr>
        <rFont val="Arial"/>
        <color rgb="FF202122"/>
        <sz val="11.0"/>
        <u/>
      </rPr>
      <t>Museum</t>
    </r>
    <r>
      <rPr>
        <rFont val="Arial"/>
        <color rgb="FF202122"/>
        <sz val="11.0"/>
      </rPr>
      <t>.</t>
    </r>
  </si>
  <si>
    <r>
      <rPr>
        <rFont val="Arial"/>
        <color rgb="FF0645AD"/>
        <sz val="11.0"/>
      </rPr>
      <t>Monster Eradication Goal</t>
    </r>
    <r>
      <rPr>
        <rFont val="Arial"/>
        <color rgb="FF0645AD"/>
        <sz val="11.0"/>
      </rPr>
      <t xml:space="preserve"> - Defeat 100 </t>
    </r>
    <r>
      <rPr>
        <rFont val="Arial"/>
        <color rgb="FF0645AD"/>
        <sz val="11.0"/>
      </rPr>
      <t>Mummies</t>
    </r>
    <r>
      <rPr>
        <rFont val="Arial"/>
        <color rgb="FF0645AD"/>
        <sz val="11.0"/>
      </rPr>
      <t>.</t>
    </r>
  </si>
  <si>
    <t>Basic Pullover</t>
  </si>
  <si>
    <t>It's a plain pullover.</t>
  </si>
  <si>
    <r>
      <rPr>
        <rFont val="Arial"/>
        <color rgb="FF202122"/>
        <sz val="11.0"/>
      </rPr>
      <t>A variant of the male version may be obtained from the Makeover Stall at the Desert Festival</t>
    </r>
    <r>
      <rPr>
        <rFont val="Arial"/>
        <color rgb="FF202122"/>
        <sz val="11.0"/>
        <u/>
      </rPr>
      <t>[3]</t>
    </r>
    <r>
      <rPr>
        <rFont val="Arial"/>
        <color rgb="FF202122"/>
        <sz val="11.0"/>
      </rPr>
      <t xml:space="preserve"> - this variant has an effect</t>
    </r>
  </si>
  <si>
    <t>Fiber Wood</t>
  </si>
  <si>
    <t>(Only soft edge variant!: 3 luck, -10 defense, fishing chest++)</t>
  </si>
  <si>
    <t>Belted Coat</t>
  </si>
  <si>
    <t>A velvety black coat with a prominent belt.</t>
  </si>
  <si>
    <t>Autumn's Bounty</t>
  </si>
  <si>
    <t>.... (Secret Hat Exclusive)</t>
  </si>
  <si>
    <t>(winter:30 health, 40 energy, 3 defense)</t>
  </si>
  <si>
    <t>Bikini Top</t>
  </si>
  <si>
    <t>A summer staple.</t>
  </si>
  <si>
    <t>Sleeveless</t>
  </si>
  <si>
    <t>Rainbow Shell</t>
  </si>
  <si>
    <t>Black Leather Jacket</t>
  </si>
  <si>
    <t>A cool jacket made of dark black leather.</t>
  </si>
  <si>
    <r>
      <rPr>
        <rFont val="Arial"/>
        <color rgb="FF202122"/>
        <sz val="11.0"/>
      </rPr>
      <t>Beer</t>
    </r>
    <r>
      <rPr>
        <rFont val="Arial"/>
        <color rgb="FF202122"/>
        <sz val="11.0"/>
      </rPr>
      <t xml:space="preserve"> </t>
    </r>
    <r>
      <rPr>
        <rFont val="Arial"/>
        <color rgb="FF202122"/>
        <sz val="11.0"/>
      </rPr>
      <t>Mead</t>
    </r>
    <r>
      <rPr>
        <rFont val="Arial"/>
        <color rgb="FF202122"/>
        <sz val="11.0"/>
      </rPr>
      <t xml:space="preserve"> </t>
    </r>
    <r>
      <rPr>
        <rFont val="Arial"/>
        <color rgb="FF202122"/>
        <sz val="11.0"/>
      </rPr>
      <t>Pale Ale</t>
    </r>
    <r>
      <rPr>
        <rFont val="Arial"/>
        <color rgb="FF202122"/>
        <sz val="11.0"/>
      </rPr>
      <t xml:space="preserve"> </t>
    </r>
    <r>
      <rPr>
        <rFont val="Arial"/>
        <color rgb="FF202122"/>
        <sz val="11.0"/>
      </rPr>
      <t>Piña Colada</t>
    </r>
    <r>
      <rPr>
        <rFont val="Arial"/>
        <color rgb="FF202122"/>
        <sz val="11.0"/>
      </rPr>
      <t xml:space="preserve"> </t>
    </r>
    <r>
      <rPr>
        <rFont val="Arial"/>
        <color rgb="FF202122"/>
        <sz val="11.0"/>
      </rPr>
      <t>Wine</t>
    </r>
    <r>
      <rPr>
        <rFont val="Arial"/>
        <color rgb="FF202122"/>
        <sz val="11.0"/>
      </rPr>
      <t xml:space="preserve"> (any)</t>
    </r>
  </si>
  <si>
    <t>Tipsy, 7 attack</t>
  </si>
  <si>
    <t>Blacksmith Apron</t>
  </si>
  <si>
    <t>Handed down from one generation to the next.</t>
  </si>
  <si>
    <t>Fiddlehead Risotto</t>
  </si>
  <si>
    <r>
      <rPr>
        <rFont val="Arial"/>
        <color rgb="FF0645AD"/>
        <sz val="11.0"/>
      </rPr>
      <t>Monster Eradication Goal</t>
    </r>
    <r>
      <rPr>
        <rFont val="Arial"/>
        <color rgb="FF0645AD"/>
        <sz val="11.0"/>
      </rPr>
      <t xml:space="preserve"> - Defeat 100 </t>
    </r>
    <r>
      <rPr>
        <rFont val="Arial"/>
        <color rgb="FF0645AD"/>
        <sz val="11.0"/>
      </rPr>
      <t>Mummies</t>
    </r>
    <r>
      <rPr>
        <rFont val="Arial"/>
        <color rgb="FF0645AD"/>
        <sz val="11.0"/>
      </rPr>
      <t>.</t>
    </r>
  </si>
  <si>
    <t>25% clint discount, 2 defense</t>
  </si>
  <si>
    <t>Blue Buttoned Vest</t>
  </si>
  <si>
    <t>It's a blue shirt with dyeable sleeves.</t>
  </si>
  <si>
    <t>Yes (sleeves only)</t>
  </si>
  <si>
    <t>Octopus</t>
  </si>
  <si>
    <t>Blue Hoodie</t>
  </si>
  <si>
    <t>A sporty blue pullover with a hood.</t>
  </si>
  <si>
    <t>Frozen Geode</t>
  </si>
  <si>
    <r>
      <rPr>
        <rFont val="Arial"/>
        <color rgb="FF202122"/>
        <sz val="11.0"/>
      </rPr>
      <t xml:space="preserve">Donate 40 different items to The </t>
    </r>
    <r>
      <rPr>
        <rFont val="Arial"/>
        <color rgb="FF202122"/>
        <sz val="11.0"/>
        <u/>
      </rPr>
      <t>Museum</t>
    </r>
    <r>
      <rPr>
        <rFont val="Arial"/>
        <color rgb="FF202122"/>
        <sz val="11.0"/>
      </rPr>
      <t>.</t>
    </r>
  </si>
  <si>
    <t>Blue Long Vest</t>
  </si>
  <si>
    <t>A long blue vest above a grey shirt.</t>
  </si>
  <si>
    <t>Bone Flute</t>
  </si>
  <si>
    <t>Bobo Shirt</t>
  </si>
  <si>
    <t>A pink shirt featuring a strange-looking guy.</t>
  </si>
  <si>
    <t>Strange Doll (yellow)</t>
  </si>
  <si>
    <t>Bomber Jacket</t>
  </si>
  <si>
    <t>A thick, sturdy jacket worn by fighter pilots long ago.</t>
  </si>
  <si>
    <r>
      <rPr>
        <rFont val="Arial"/>
        <color rgb="FF202122"/>
        <sz val="11.0"/>
      </rPr>
      <t>Bomb</t>
    </r>
    <r>
      <rPr>
        <rFont val="Arial"/>
        <color rgb="FF202122"/>
        <sz val="11.0"/>
      </rPr>
      <t xml:space="preserve"> </t>
    </r>
    <r>
      <rPr>
        <rFont val="Arial"/>
        <color rgb="FF202122"/>
        <sz val="11.0"/>
      </rPr>
      <t>Cherry Bomb</t>
    </r>
    <r>
      <rPr>
        <rFont val="Arial"/>
        <color rgb="FF202122"/>
        <sz val="11.0"/>
      </rPr>
      <t xml:space="preserve"> </t>
    </r>
    <r>
      <rPr>
        <rFont val="Arial"/>
        <color rgb="FF202122"/>
        <sz val="11.0"/>
      </rPr>
      <t>Mega Bomb</t>
    </r>
  </si>
  <si>
    <t>Bombey 15, 20 slingshot power</t>
  </si>
  <si>
    <t>Bridal Shirt</t>
  </si>
  <si>
    <t>A beautiful white top, perfect for a bride.</t>
  </si>
  <si>
    <t>Ornamental Fan</t>
  </si>
  <si>
    <t>2 Luck</t>
  </si>
  <si>
    <t>Brown Jacket</t>
  </si>
  <si>
    <t>A nice, sturdy jacket made of brown material.</t>
  </si>
  <si>
    <t>Mudstone</t>
  </si>
  <si>
    <t>2 mining</t>
  </si>
  <si>
    <t>Brown Overalls</t>
  </si>
  <si>
    <t>It's hard to see the dirt stains on this one.</t>
  </si>
  <si>
    <t>Hazelnut</t>
  </si>
  <si>
    <r>
      <rPr>
        <rFont val="Arial"/>
        <color rgb="FF0645AD"/>
        <sz val="11.0"/>
      </rPr>
      <t>Monster Eradication Goal</t>
    </r>
    <r>
      <rPr>
        <rFont val="Arial"/>
        <color rgb="FF0645AD"/>
        <sz val="11.0"/>
      </rPr>
      <t xml:space="preserve"> - Defeat 100 </t>
    </r>
    <r>
      <rPr>
        <rFont val="Arial"/>
        <color rgb="FF0645AD"/>
        <sz val="11.0"/>
      </rPr>
      <t>Mummies</t>
    </r>
    <r>
      <rPr>
        <rFont val="Arial"/>
        <color rgb="FF0645AD"/>
        <sz val="11.0"/>
      </rPr>
      <t>.</t>
    </r>
  </si>
  <si>
    <t>Brown Suit</t>
  </si>
  <si>
    <t>It's a standard brown business suit.</t>
  </si>
  <si>
    <t>Ancient Seed</t>
  </si>
  <si>
    <t>burglar ring,(On Caroline Talk: 50 friendship) (storm: 10 immunity, 3 speed) (fall and storm: autorevive, 8 attack)</t>
  </si>
  <si>
    <t>Autowater, 2 farming</t>
  </si>
  <si>
    <t>Burger Shirt</t>
  </si>
  <si>
    <t>Wear what you eat!</t>
  </si>
  <si>
    <t>Survival Burger</t>
  </si>
  <si>
    <t>Button Down Shirt</t>
  </si>
  <si>
    <t>A simple, clean shirt.</t>
  </si>
  <si>
    <t>Fish Taco</t>
  </si>
  <si>
    <t>1 speed, 2 attack, 1 defense, 25 max energy</t>
  </si>
  <si>
    <t>Camo Shirt</t>
  </si>
  <si>
    <t>Helps you blend in with the surroundings.</t>
  </si>
  <si>
    <t>Stir Fry</t>
  </si>
  <si>
    <t>30% dodge chance, -5 defense, (On Kent Talk: 25 friendship, 35 stamina)</t>
  </si>
  <si>
    <t>Canvas Jacket</t>
  </si>
  <si>
    <t>A brown jacket with a fleece lining.</t>
  </si>
  <si>
    <t>Chewing Stick</t>
  </si>
  <si>
    <t>(On Leah talk: 30 friendship)</t>
  </si>
  <si>
    <t>Captain's Uniform</t>
  </si>
  <si>
    <t>The classic uniform of a ship's captain.</t>
  </si>
  <si>
    <t>Anchor</t>
  </si>
  <si>
    <t>fishing chest+, 3 attack, popularity</t>
  </si>
  <si>
    <t>Cardigan</t>
  </si>
  <si>
    <t>A soft button-up cardigan sweater.</t>
  </si>
  <si>
    <t>Large Egg</t>
  </si>
  <si>
    <t>Carp Shirt</t>
  </si>
  <si>
    <t>A big carp head adorns the front.</t>
  </si>
  <si>
    <t>Carp Surprise</t>
  </si>
  <si>
    <t>(While holding carp: 100 attack)</t>
  </si>
  <si>
    <t>Caveman Shirt</t>
  </si>
  <si>
    <t>A stone-age classic!</t>
  </si>
  <si>
    <t>Prehistoric Handaxe Prehistoric Tool</t>
  </si>
  <si>
    <t>5 Attack</t>
  </si>
  <si>
    <t>Chef Coat</t>
  </si>
  <si>
    <t>The traditional uniform of a head chef.</t>
  </si>
  <si>
    <t>Escargot</t>
  </si>
  <si>
    <t>Circuitboard Shirt</t>
  </si>
  <si>
    <t>The shirt looks like an electronics circuitboard.</t>
  </si>
  <si>
    <t>Rusty Cog</t>
  </si>
  <si>
    <r>
      <rPr>
        <rFont val="Arial"/>
        <color rgb="FF202122"/>
        <sz val="11.0"/>
      </rPr>
      <t>A variant of the male version may be obtained from the Makeover Stall at the Desert Festival</t>
    </r>
    <r>
      <rPr>
        <rFont val="Arial"/>
        <color rgb="FF202122"/>
        <sz val="11.0"/>
        <u/>
      </rPr>
      <t>[3]</t>
    </r>
    <r>
      <rPr>
        <rFont val="Arial"/>
        <color rgb="FF202122"/>
        <sz val="11.0"/>
      </rPr>
      <t xml:space="preserve"> - this variant has an effect</t>
    </r>
  </si>
  <si>
    <t>(On Maru Talk: 50 friendship, 100 gold)</t>
  </si>
  <si>
    <t>Classic Overalls</t>
  </si>
  <si>
    <t>A farming classic.</t>
  </si>
  <si>
    <t>Complete Breakfast</t>
  </si>
  <si>
    <t>BeeKeeper</t>
  </si>
  <si>
    <t>Classy Top</t>
  </si>
  <si>
    <t>It feels like the softest velvet.</t>
  </si>
  <si>
    <t>Helvite</t>
  </si>
  <si>
    <t>Collared Shirt</t>
  </si>
  <si>
    <t>A shirt with a starchy white collar.</t>
  </si>
  <si>
    <t>Green Algae White Algae</t>
  </si>
  <si>
    <t>Copper Breastplate</t>
  </si>
  <si>
    <t>Decorative armor made from copper.</t>
  </si>
  <si>
    <t>Copper Bar</t>
  </si>
  <si>
    <r>
      <rPr>
        <rFont val="Arial"/>
        <color rgb="FF202122"/>
        <sz val="11.0"/>
      </rPr>
      <t>Beer</t>
    </r>
    <r>
      <rPr>
        <rFont val="Arial"/>
        <color rgb="FF202122"/>
        <sz val="11.0"/>
      </rPr>
      <t xml:space="preserve"> </t>
    </r>
    <r>
      <rPr>
        <rFont val="Arial"/>
        <color rgb="FF202122"/>
        <sz val="11.0"/>
      </rPr>
      <t>Mead</t>
    </r>
    <r>
      <rPr>
        <rFont val="Arial"/>
        <color rgb="FF202122"/>
        <sz val="11.0"/>
      </rPr>
      <t xml:space="preserve"> </t>
    </r>
    <r>
      <rPr>
        <rFont val="Arial"/>
        <color rgb="FF202122"/>
        <sz val="11.0"/>
      </rPr>
      <t>Pale Ale</t>
    </r>
    <r>
      <rPr>
        <rFont val="Arial"/>
        <color rgb="FF202122"/>
        <sz val="11.0"/>
      </rPr>
      <t xml:space="preserve"> </t>
    </r>
    <r>
      <rPr>
        <rFont val="Arial"/>
        <color rgb="FF202122"/>
        <sz val="11.0"/>
      </rPr>
      <t>Piña Colada</t>
    </r>
    <r>
      <rPr>
        <rFont val="Arial"/>
        <color rgb="FF202122"/>
        <sz val="11.0"/>
      </rPr>
      <t xml:space="preserve"> </t>
    </r>
    <r>
      <rPr>
        <rFont val="Arial"/>
        <color rgb="FF202122"/>
        <sz val="11.0"/>
      </rPr>
      <t>Wine</t>
    </r>
    <r>
      <rPr>
        <rFont val="Arial"/>
        <color rgb="FF202122"/>
        <sz val="11.0"/>
      </rPr>
      <t xml:space="preserve"> (any)</t>
    </r>
  </si>
  <si>
    <t>1 defense, protective ring</t>
  </si>
  <si>
    <t>Cowboy Poncho</t>
  </si>
  <si>
    <t>A legendary outfit from the old west.</t>
  </si>
  <si>
    <t>Yes (but will have no effect unless corresponding asset is fixed manually or with a mod)</t>
  </si>
  <si>
    <t>Prairie King arcade</t>
  </si>
  <si>
    <t>1 speed, 50 Slingshot power, popularity, (Farm: 3 still stamina regen), loving rancher</t>
  </si>
  <si>
    <t>Crab Cake Shirt</t>
  </si>
  <si>
    <t>Pre-slathered with aioli for your enjoyment. Bon Appetit!</t>
  </si>
  <si>
    <t>Crab Cakes</t>
  </si>
  <si>
    <t>1.2x attack, 3 defense</t>
  </si>
  <si>
    <t>Crop Tank Top</t>
  </si>
  <si>
    <t>A sleeveless shirt cut extra short on the bottom.</t>
  </si>
  <si>
    <t>Wheat</t>
  </si>
  <si>
    <r>
      <rPr>
        <rFont val="Arial"/>
        <color rgb="FF202122"/>
        <sz val="11.0"/>
      </rPr>
      <t>A variant of the male version may be obtained from the Makeover Stall at the Desert Festival</t>
    </r>
    <r>
      <rPr>
        <rFont val="Arial"/>
        <color rgb="FF202122"/>
        <sz val="11.0"/>
        <u/>
      </rPr>
      <t>[3]</t>
    </r>
    <r>
      <rPr>
        <rFont val="Arial"/>
        <color rgb="FF202122"/>
        <sz val="11.0"/>
      </rPr>
      <t xml:space="preserve"> - this variant has an effect</t>
    </r>
  </si>
  <si>
    <t>Crop Top Shirt</t>
  </si>
  <si>
    <t>A shirt cut extra short on the bottom.</t>
  </si>
  <si>
    <t>Amaranth</t>
  </si>
  <si>
    <t>Dark Bandana Shirt</t>
  </si>
  <si>
    <t>A dark shirt with a colorful bandana.</t>
  </si>
  <si>
    <t>Yes (bandana)</t>
  </si>
  <si>
    <t>Can be dropped by Haunted Skulls</t>
  </si>
  <si>
    <r>
      <rPr>
        <rFont val="Arial"/>
        <color rgb="FF202122"/>
        <sz val="11.0"/>
      </rPr>
      <t>Truffle</t>
    </r>
    <r>
      <rPr>
        <rFont val="Arial"/>
        <color rgb="FF202122"/>
        <sz val="11.0"/>
      </rPr>
      <t xml:space="preserve"> </t>
    </r>
    <r>
      <rPr>
        <rFont val="Arial"/>
        <color rgb="FF202122"/>
        <sz val="11.0"/>
      </rPr>
      <t>Truffle Oil</t>
    </r>
  </si>
  <si>
    <t>Mercenery, 5 vampirism, 1.2x attack</t>
  </si>
  <si>
    <t>Dark Highlight Shirt</t>
  </si>
  <si>
    <t>A dark shirt with bright highlights.</t>
  </si>
  <si>
    <t>Yes (green portion only)</t>
  </si>
  <si>
    <r>
      <rPr>
        <rFont val="Arial"/>
        <color rgb="FF202122"/>
        <sz val="11.0"/>
      </rPr>
      <t>Life Elixir</t>
    </r>
    <r>
      <rPr>
        <rFont val="Arial"/>
        <color rgb="FF202122"/>
        <sz val="11.0"/>
      </rPr>
      <t xml:space="preserve"> </t>
    </r>
    <r>
      <rPr>
        <rFont val="Arial"/>
        <color rgb="FF202122"/>
        <sz val="11.0"/>
      </rPr>
      <t>Monster Musk</t>
    </r>
    <r>
      <rPr>
        <rFont val="Arial"/>
        <color rgb="FF202122"/>
        <sz val="11.0"/>
      </rPr>
      <t xml:space="preserve"> </t>
    </r>
    <r>
      <rPr>
        <rFont val="Arial"/>
        <color rgb="FF202122"/>
        <sz val="11.0"/>
      </rPr>
      <t>Oil of Garlic</t>
    </r>
  </si>
  <si>
    <r>
      <rPr>
        <rFont val="Arial"/>
        <color rgb="FF202122"/>
        <sz val="11.0"/>
      </rPr>
      <t>Beer</t>
    </r>
    <r>
      <rPr>
        <rFont val="Arial"/>
        <color rgb="FF202122"/>
        <sz val="11.0"/>
      </rPr>
      <t xml:space="preserve"> </t>
    </r>
    <r>
      <rPr>
        <rFont val="Arial"/>
        <color rgb="FF202122"/>
        <sz val="11.0"/>
      </rPr>
      <t>Mead</t>
    </r>
    <r>
      <rPr>
        <rFont val="Arial"/>
        <color rgb="FF202122"/>
        <sz val="11.0"/>
      </rPr>
      <t xml:space="preserve"> </t>
    </r>
    <r>
      <rPr>
        <rFont val="Arial"/>
        <color rgb="FF202122"/>
        <sz val="11.0"/>
      </rPr>
      <t>Pale Ale</t>
    </r>
    <r>
      <rPr>
        <rFont val="Arial"/>
        <color rgb="FF202122"/>
        <sz val="11.0"/>
      </rPr>
      <t xml:space="preserve"> </t>
    </r>
    <r>
      <rPr>
        <rFont val="Arial"/>
        <color rgb="FF202122"/>
        <sz val="11.0"/>
      </rPr>
      <t>Piña Colada</t>
    </r>
    <r>
      <rPr>
        <rFont val="Arial"/>
        <color rgb="FF202122"/>
        <sz val="11.0"/>
      </rPr>
      <t xml:space="preserve"> </t>
    </r>
    <r>
      <rPr>
        <rFont val="Arial"/>
        <color rgb="FF202122"/>
        <sz val="11.0"/>
      </rPr>
      <t>Wine</t>
    </r>
    <r>
      <rPr>
        <rFont val="Arial"/>
        <color rgb="FF202122"/>
        <sz val="11.0"/>
      </rPr>
      <t xml:space="preserve"> (any)</t>
    </r>
  </si>
  <si>
    <t>Mercenery, 10 soul sapping, 1.3x crit chance</t>
  </si>
  <si>
    <t>Dark Jacket</t>
  </si>
  <si>
    <t>A dark denim jacket lined with fleece.</t>
  </si>
  <si>
    <t>Frozen Tear</t>
  </si>
  <si>
    <r>
      <rPr>
        <rFont val="Arial"/>
        <color rgb="FF202122"/>
        <sz val="11.0"/>
      </rPr>
      <t>Bomb</t>
    </r>
    <r>
      <rPr>
        <rFont val="Arial"/>
        <color rgb="FF202122"/>
        <sz val="11.0"/>
      </rPr>
      <t xml:space="preserve"> </t>
    </r>
    <r>
      <rPr>
        <rFont val="Arial"/>
        <color rgb="FF202122"/>
        <sz val="11.0"/>
      </rPr>
      <t>Cherry Bomb</t>
    </r>
    <r>
      <rPr>
        <rFont val="Arial"/>
        <color rgb="FF202122"/>
        <sz val="11.0"/>
      </rPr>
      <t xml:space="preserve"> </t>
    </r>
    <r>
      <rPr>
        <rFont val="Arial"/>
        <color rgb="FF202122"/>
        <sz val="11.0"/>
      </rPr>
      <t>Mega Bomb</t>
    </r>
  </si>
  <si>
    <t>Dark Shirt</t>
  </si>
  <si>
    <t>A dark colored shirt.</t>
  </si>
  <si>
    <t>Bat Wing</t>
  </si>
  <si>
    <t>(Weapon Dagger: (Underground: 8 speed), 0% crit chance, 0% crit damage, -150 defense, 2.5x weapon speed, ring: burglar ring)</t>
  </si>
  <si>
    <t>Dark Striped Shirt</t>
  </si>
  <si>
    <t>A dark shirt with colorful stripes.</t>
  </si>
  <si>
    <t>Yes (stripes)</t>
  </si>
  <si>
    <t>Tigerseye</t>
  </si>
  <si>
    <t>Darkness, 1 speed, 2 attack</t>
  </si>
  <si>
    <t>Darkness Suit</t>
  </si>
  <si>
    <t>A black suit top with a faded red pocket square.</t>
  </si>
  <si>
    <t>Wilted Bouquet</t>
  </si>
  <si>
    <t>Sapping(14),(island: 2 speed, 20 max energy)</t>
  </si>
  <si>
    <t>15% krobus discount, (underground:2 speed)</t>
  </si>
  <si>
    <t>Denim Jacket</t>
  </si>
  <si>
    <t>A rugged jacket made from denim.</t>
  </si>
  <si>
    <t>Field Snack</t>
  </si>
  <si>
    <t>Dirt Shirt</t>
  </si>
  <si>
    <t>You'll fit right in on the farm!</t>
  </si>
  <si>
    <t>Maple Bar</t>
  </si>
  <si>
    <t>(On Haley talk: -500 friendship)</t>
  </si>
  <si>
    <t>Doll Shirt</t>
  </si>
  <si>
    <t>A shirt featuring a strange ancient doll face.</t>
  </si>
  <si>
    <r>
      <rPr>
        <rFont val="Arial"/>
        <color rgb="FF202122"/>
        <sz val="11.0"/>
      </rPr>
      <t>Bomb</t>
    </r>
    <r>
      <rPr>
        <rFont val="Arial"/>
        <color rgb="FF202122"/>
        <sz val="11.0"/>
      </rPr>
      <t xml:space="preserve"> </t>
    </r>
    <r>
      <rPr>
        <rFont val="Arial"/>
        <color rgb="FF202122"/>
        <sz val="11.0"/>
      </rPr>
      <t>Cherry Bomb</t>
    </r>
    <r>
      <rPr>
        <rFont val="Arial"/>
        <color rgb="FF202122"/>
        <sz val="11.0"/>
      </rPr>
      <t xml:space="preserve"> </t>
    </r>
    <r>
      <rPr>
        <rFont val="Arial"/>
        <color rgb="FF202122"/>
        <sz val="11.0"/>
      </rPr>
      <t>Mega Bomb</t>
    </r>
  </si>
  <si>
    <t>Ancient Doll</t>
  </si>
  <si>
    <t>Excavator Shirt</t>
  </si>
  <si>
    <t>Look sharp while digging for fossils.</t>
  </si>
  <si>
    <t>Junimo Kart Arcade</t>
  </si>
  <si>
    <t>depth scaling stats, ores from rocks</t>
  </si>
  <si>
    <t>Faded Denim Shirt</t>
  </si>
  <si>
    <t>It's a denim shirt with a dusty, faded look.</t>
  </si>
  <si>
    <t>Salmon</t>
  </si>
  <si>
    <r>
      <rPr>
        <rFont val="Arial"/>
        <color rgb="FF202122"/>
        <sz val="11.0"/>
      </rPr>
      <t>A variant of the male version may be obtained from the Makeover Stall at the Desert Festival</t>
    </r>
    <r>
      <rPr>
        <rFont val="Arial"/>
        <color rgb="FF202122"/>
        <sz val="11.0"/>
        <u/>
      </rPr>
      <t>[3]</t>
    </r>
    <r>
      <rPr>
        <rFont val="Arial"/>
        <color rgb="FF202122"/>
        <sz val="11.0"/>
      </rPr>
      <t xml:space="preserve"> - this variant has an effect</t>
    </r>
  </si>
  <si>
    <t>Fake Muscles Shirt</t>
  </si>
  <si>
    <t>You could hit the gym, or you could just wear this instead.</t>
  </si>
  <si>
    <t>Muscle Remedy</t>
  </si>
  <si>
    <t>5 attack (On Alex Talk: -200 g)</t>
  </si>
  <si>
    <t>Fancy Red Blouse</t>
  </si>
  <si>
    <t>A bright red blouse adorned with shiny yellow buttons.</t>
  </si>
  <si>
    <t>(winter:40 health, 30 energy, 3 defense)</t>
  </si>
  <si>
    <t>Holly</t>
  </si>
  <si>
    <t>Fish Shirt</t>
  </si>
  <si>
    <t>A shirt with a fish logo.</t>
  </si>
  <si>
    <t>Yes (fish)</t>
  </si>
  <si>
    <r>
      <rPr>
        <rFont val="Arial"/>
        <color rgb="FF202122"/>
        <sz val="11.0"/>
      </rPr>
      <t>Bream</t>
    </r>
    <r>
      <rPr>
        <rFont val="Arial"/>
        <color rgb="FF202122"/>
        <sz val="11.0"/>
      </rPr>
      <t xml:space="preserve"> </t>
    </r>
    <r>
      <rPr>
        <rFont val="Arial"/>
        <color rgb="FF202122"/>
        <sz val="11.0"/>
      </rPr>
      <t>Catfish</t>
    </r>
    <r>
      <rPr>
        <rFont val="Arial"/>
        <color rgb="FF202122"/>
        <sz val="11.0"/>
      </rPr>
      <t xml:space="preserve"> </t>
    </r>
    <r>
      <rPr>
        <rFont val="Arial"/>
        <color rgb="FF202122"/>
        <sz val="11.0"/>
      </rPr>
      <t>Dorado</t>
    </r>
    <r>
      <rPr>
        <rFont val="Arial"/>
        <color rgb="FF202122"/>
        <sz val="11.0"/>
      </rPr>
      <t xml:space="preserve"> </t>
    </r>
    <r>
      <rPr>
        <rFont val="Arial"/>
        <color rgb="FF202122"/>
        <sz val="11.0"/>
      </rPr>
      <t>Ghostfish</t>
    </r>
    <r>
      <rPr>
        <rFont val="Arial"/>
        <color rgb="FF202122"/>
        <sz val="11.0"/>
      </rPr>
      <t xml:space="preserve"> </t>
    </r>
    <r>
      <rPr>
        <rFont val="Arial"/>
        <color rgb="FF202122"/>
        <sz val="11.0"/>
      </rPr>
      <t>Goby</t>
    </r>
    <r>
      <rPr>
        <rFont val="Arial"/>
        <color rgb="FF202122"/>
        <sz val="11.0"/>
      </rPr>
      <t xml:space="preserve"> </t>
    </r>
    <r>
      <rPr>
        <rFont val="Arial"/>
        <color rgb="FF202122"/>
        <sz val="11.0"/>
      </rPr>
      <t>Rainbow Trout</t>
    </r>
    <r>
      <rPr>
        <rFont val="Arial"/>
        <color rgb="FF202122"/>
        <sz val="11.0"/>
      </rPr>
      <t xml:space="preserve"> </t>
    </r>
    <r>
      <rPr>
        <rFont val="Arial"/>
        <color rgb="FF202122"/>
        <sz val="11.0"/>
      </rPr>
      <t>Sandfish</t>
    </r>
    <r>
      <rPr>
        <rFont val="Arial"/>
        <color rgb="FF202122"/>
        <sz val="11.0"/>
      </rPr>
      <t xml:space="preserve"> </t>
    </r>
    <r>
      <rPr>
        <rFont val="Arial"/>
        <color rgb="FF202122"/>
        <sz val="11.0"/>
      </rPr>
      <t>Shad</t>
    </r>
    <r>
      <rPr>
        <rFont val="Arial"/>
        <color rgb="FF202122"/>
        <sz val="11.0"/>
      </rPr>
      <t xml:space="preserve"> </t>
    </r>
    <r>
      <rPr>
        <rFont val="Arial"/>
        <color rgb="FF202122"/>
        <sz val="11.0"/>
      </rPr>
      <t>Sunfish</t>
    </r>
    <r>
      <rPr>
        <rFont val="Arial"/>
        <color rgb="FF202122"/>
        <sz val="11.0"/>
      </rPr>
      <t xml:space="preserve"> </t>
    </r>
    <r>
      <rPr>
        <rFont val="Arial"/>
        <color rgb="FF202122"/>
        <sz val="11.0"/>
      </rPr>
      <t>Tiger Trout</t>
    </r>
  </si>
  <si>
    <r>
      <rPr>
        <rFont val="Arial"/>
        <color rgb="FF202122"/>
        <sz val="11.0"/>
      </rPr>
      <t>Beer</t>
    </r>
    <r>
      <rPr>
        <rFont val="Arial"/>
        <color rgb="FF202122"/>
        <sz val="11.0"/>
      </rPr>
      <t xml:space="preserve"> </t>
    </r>
    <r>
      <rPr>
        <rFont val="Arial"/>
        <color rgb="FF202122"/>
        <sz val="11.0"/>
      </rPr>
      <t>Mead</t>
    </r>
    <r>
      <rPr>
        <rFont val="Arial"/>
        <color rgb="FF202122"/>
        <sz val="11.0"/>
      </rPr>
      <t xml:space="preserve"> </t>
    </r>
    <r>
      <rPr>
        <rFont val="Arial"/>
        <color rgb="FF202122"/>
        <sz val="11.0"/>
      </rPr>
      <t>Pale Ale</t>
    </r>
    <r>
      <rPr>
        <rFont val="Arial"/>
        <color rgb="FF202122"/>
        <sz val="11.0"/>
      </rPr>
      <t xml:space="preserve"> </t>
    </r>
    <r>
      <rPr>
        <rFont val="Arial"/>
        <color rgb="FF202122"/>
        <sz val="11.0"/>
      </rPr>
      <t>Piña Colada</t>
    </r>
    <r>
      <rPr>
        <rFont val="Arial"/>
        <color rgb="FF202122"/>
        <sz val="11.0"/>
      </rPr>
      <t xml:space="preserve"> </t>
    </r>
    <r>
      <rPr>
        <rFont val="Arial"/>
        <color rgb="FF202122"/>
        <sz val="11.0"/>
      </rPr>
      <t>Wine</t>
    </r>
    <r>
      <rPr>
        <rFont val="Arial"/>
        <color rgb="FF202122"/>
        <sz val="11.0"/>
      </rPr>
      <t xml:space="preserve"> (any)</t>
    </r>
  </si>
  <si>
    <t>1.2x fishing xp, 3 fishing</t>
  </si>
  <si>
    <t>Fishing Vest</t>
  </si>
  <si>
    <t>Lots of pockets to store your tackle.</t>
  </si>
  <si>
    <t>The Legend II</t>
  </si>
  <si>
    <t>Fish pond commitment, bait produce(5), recycler, 2 fishing, (Farm: 2 fishing)</t>
  </si>
  <si>
    <t>Flames Shirt</t>
  </si>
  <si>
    <t>Look cool with hot flames.</t>
  </si>
  <si>
    <t>Spicy Eel</t>
  </si>
  <si>
    <t>Burnt, Popularity, 3 speed (Healthy: Spikey(15), 4 red glowing)</t>
  </si>
  <si>
    <t>Flannel Shirt</t>
  </si>
  <si>
    <t>A nice thick button down shirt with a cross-hatch pattern. Perfect for cold winters.</t>
  </si>
  <si>
    <t>Coffee Bean</t>
  </si>
  <si>
    <t>Fluffy Shirt</t>
  </si>
  <si>
    <t>It's fuzzy.</t>
  </si>
  <si>
    <t>Chicken Statue</t>
  </si>
  <si>
    <t>(Farm: 6 combat) (Critical health and underground: 5 speed)</t>
  </si>
  <si>
    <t>Squawk Sproud</t>
  </si>
  <si>
    <t>Fried Egg Shirt</t>
  </si>
  <si>
    <t>Wake up, it's time for eggs.</t>
  </si>
  <si>
    <t>Fried Egg</t>
  </si>
  <si>
    <t>(6am-11am: 1 speed, 5 attack, 40 energy)</t>
  </si>
  <si>
    <t>Fringed Vest</t>
  </si>
  <si>
    <t>A fringed brown vest over a sleeveless shirt.</t>
  </si>
  <si>
    <t>Yes (shirt)</t>
  </si>
  <si>
    <t>Chowder</t>
  </si>
  <si>
    <t>Ores from Rocks, 2 defense</t>
  </si>
  <si>
    <t>Gaudy Shirt</t>
  </si>
  <si>
    <t>It's a therapeutic blue...</t>
  </si>
  <si>
    <t>Blue Grass Starter</t>
  </si>
  <si>
    <t>2 Foraging, Popularity</t>
  </si>
  <si>
    <t>Ginger Overalls</t>
  </si>
  <si>
    <t>The color scheme is inspired by ginger ale.</t>
  </si>
  <si>
    <t>Ginger Ale</t>
  </si>
  <si>
    <t>1 Luck, 1 attack (island:2 luck, 1 speed)</t>
  </si>
  <si>
    <t>Globby Shirt</t>
  </si>
  <si>
    <r>
      <rPr>
        <rFont val="Arial"/>
        <color rgb="FF202122"/>
        <sz val="11.0"/>
      </rPr>
      <t>Bomb</t>
    </r>
    <r>
      <rPr>
        <rFont val="Arial"/>
        <color rgb="FF202122"/>
        <sz val="11.0"/>
      </rPr>
      <t xml:space="preserve"> </t>
    </r>
    <r>
      <rPr>
        <rFont val="Arial"/>
        <color rgb="FF202122"/>
        <sz val="11.0"/>
      </rPr>
      <t>Cherry Bomb</t>
    </r>
    <r>
      <rPr>
        <rFont val="Arial"/>
        <color rgb="FF202122"/>
        <sz val="11.0"/>
      </rPr>
      <t xml:space="preserve"> </t>
    </r>
    <r>
      <rPr>
        <rFont val="Arial"/>
        <color rgb="FF202122"/>
        <sz val="11.0"/>
      </rPr>
      <t>Mega Bomb</t>
    </r>
  </si>
  <si>
    <t>It's got an indistinguishable glob pattern.</t>
  </si>
  <si>
    <t>Aged Roe</t>
  </si>
  <si>
    <t>Fish pond commitment, 4 combat</t>
  </si>
  <si>
    <t>Gold Breastplate</t>
  </si>
  <si>
    <t>Decorative armor made from solid gold.</t>
  </si>
  <si>
    <t>Gold Bar</t>
  </si>
  <si>
    <t>3 defense, protective ring</t>
  </si>
  <si>
    <t>Gold Trimmed Shirt</t>
  </si>
  <si>
    <t>A shirt with a gold trim.</t>
  </si>
  <si>
    <t>Tea set</t>
  </si>
  <si>
    <t>2x crit chance, 3x crit damage, Golden Spur</t>
  </si>
  <si>
    <t>Golden Shirt</t>
  </si>
  <si>
    <t>It's a shiny golden shirt.</t>
  </si>
  <si>
    <t>Dried Starfish</t>
  </si>
  <si>
    <t>5 mining, Burglar ring, 1 white glowing</t>
  </si>
  <si>
    <t>Goodnight Shirt</t>
  </si>
  <si>
    <t>A big baggy nightshirt with a detailed moon graphic.</t>
  </si>
  <si>
    <t>Can be purchased from Maru at the Desert Festival.</t>
  </si>
  <si>
    <t>Lunarite</t>
  </si>
  <si>
    <t>(12am-2am: 4 speed)</t>
  </si>
  <si>
    <t>Gray Hoodie</t>
  </si>
  <si>
    <t>A sporty gray pullover with a hood.</t>
  </si>
  <si>
    <t>Geode</t>
  </si>
  <si>
    <t>Gray Suit</t>
  </si>
  <si>
    <t>It's a custom-tailored gray suit.</t>
  </si>
  <si>
    <r>
      <rPr>
        <rFont val="Arial"/>
        <color rgb="FF202122"/>
        <sz val="11.0"/>
      </rPr>
      <t>Truffle</t>
    </r>
    <r>
      <rPr>
        <rFont val="Arial"/>
        <color rgb="FF202122"/>
        <sz val="11.0"/>
      </rPr>
      <t xml:space="preserve"> </t>
    </r>
    <r>
      <rPr>
        <rFont val="Arial"/>
        <color rgb="FF202122"/>
        <sz val="11.0"/>
      </rPr>
      <t>Truffle Oil</t>
    </r>
  </si>
  <si>
    <t>Esperite</t>
  </si>
  <si>
    <t>15% joja discount</t>
  </si>
  <si>
    <t>Gray Vest</t>
  </si>
  <si>
    <t>A gray vest over a white shirt.</t>
  </si>
  <si>
    <t>Quartz</t>
  </si>
  <si>
    <r>
      <rPr>
        <rFont val="Arial"/>
        <color rgb="FF202122"/>
        <sz val="11.0"/>
      </rPr>
      <t>Life Elixir</t>
    </r>
    <r>
      <rPr>
        <rFont val="Arial"/>
        <color rgb="FF202122"/>
        <sz val="11.0"/>
      </rPr>
      <t xml:space="preserve"> </t>
    </r>
    <r>
      <rPr>
        <rFont val="Arial"/>
        <color rgb="FF202122"/>
        <sz val="11.0"/>
      </rPr>
      <t>Monster Musk</t>
    </r>
    <r>
      <rPr>
        <rFont val="Arial"/>
        <color rgb="FF202122"/>
        <sz val="11.0"/>
      </rPr>
      <t xml:space="preserve"> </t>
    </r>
    <r>
      <rPr>
        <rFont val="Arial"/>
        <color rgb="FF202122"/>
        <sz val="11.0"/>
      </rPr>
      <t>Oil of Garlic</t>
    </r>
  </si>
  <si>
    <t>Green Belted Shirt</t>
  </si>
  <si>
    <t>A green, belted shirt.</t>
  </si>
  <si>
    <t>Cave Carrot</t>
  </si>
  <si>
    <t>30% dodge chance, -7 defense, (On Kent Talk: 25 friendship, 35 stamina)</t>
  </si>
  <si>
    <t>1.15x mining xp</t>
  </si>
  <si>
    <t>A green shirt with a belt.</t>
  </si>
  <si>
    <t>Malachite</t>
  </si>
  <si>
    <t>Green Buttoned Vest</t>
  </si>
  <si>
    <t>It's a green shirt with dyeable sleeves.</t>
  </si>
  <si>
    <t>Rhubarb Spice Berry</t>
  </si>
  <si>
    <t>fishing chest, 3 attack, 1.17 popularity</t>
  </si>
  <si>
    <t>Green Flannel Shirt</t>
  </si>
  <si>
    <t>A flannel shirt with a green and brown pattern.</t>
  </si>
  <si>
    <t>Super Meal</t>
  </si>
  <si>
    <t>Green Jacket</t>
  </si>
  <si>
    <t>Inspired by the mallard's coat. The shirt can be dyed.</t>
  </si>
  <si>
    <t>Statue of Blessing</t>
  </si>
  <si>
    <t>Professional Forager, Sapping(10), speed 1, slime charmer ring</t>
  </si>
  <si>
    <t>Green Overalls</t>
  </si>
  <si>
    <t>A slightly less popular farming classic.</t>
  </si>
  <si>
    <t>Fiddlehead Fern</t>
  </si>
  <si>
    <t>Green Thumb Shirt</t>
  </si>
  <si>
    <t>It comes pre-rubbed with potting soil.</t>
  </si>
  <si>
    <t>Jamborite</t>
  </si>
  <si>
    <t>3 farming</t>
  </si>
  <si>
    <t>Green Tunic</t>
  </si>
  <si>
    <t>A shirt fit for an adventurer.</t>
  </si>
  <si>
    <t>Ancient Sword</t>
  </si>
  <si>
    <t>20% adventures guild discount, parry boost</t>
  </si>
  <si>
    <t>Green Vest</t>
  </si>
  <si>
    <t>A neat green vest over a shirt.</t>
  </si>
  <si>
    <t>Bean Hotpot</t>
  </si>
  <si>
    <t>Ores from rocks</t>
  </si>
  <si>
    <t>Happy Shirt</t>
  </si>
  <si>
    <t>It's the happiest shirt.</t>
  </si>
  <si>
    <t>Lemon Stone</t>
  </si>
  <si>
    <t>Heart Shirt</t>
  </si>
  <si>
    <t>Wear your heart on your sleeves with this extra soft garment.</t>
  </si>
  <si>
    <t>Can be chosen at character creation
Randomly sold at the Oasis</t>
  </si>
  <si>
    <t>Yes (heart)</t>
  </si>
  <si>
    <t>Non-dyeable version can be chosen at character creation</t>
  </si>
  <si>
    <t>Strange Bun</t>
  </si>
  <si>
    <r>
      <rPr>
        <rFont val="Arial"/>
        <color rgb="FF202122"/>
        <sz val="11.0"/>
      </rPr>
      <t>Truffle</t>
    </r>
    <r>
      <rPr>
        <rFont val="Arial"/>
        <color rgb="FF202122"/>
        <sz val="11.0"/>
      </rPr>
      <t xml:space="preserve"> </t>
    </r>
    <r>
      <rPr>
        <rFont val="Arial"/>
        <color rgb="FF202122"/>
        <sz val="11.0"/>
      </rPr>
      <t>Truffle Oil</t>
    </r>
  </si>
  <si>
    <t>50 health</t>
  </si>
  <si>
    <r>
      <rPr>
        <rFont val="Arial"/>
        <color rgb="FF202122"/>
        <sz val="11.0"/>
      </rPr>
      <t>Bream</t>
    </r>
    <r>
      <rPr>
        <rFont val="Arial"/>
        <color rgb="FF202122"/>
        <sz val="11.0"/>
      </rPr>
      <t xml:space="preserve"> </t>
    </r>
    <r>
      <rPr>
        <rFont val="Arial"/>
        <color rgb="FF202122"/>
        <sz val="11.0"/>
      </rPr>
      <t>Catfish</t>
    </r>
    <r>
      <rPr>
        <rFont val="Arial"/>
        <color rgb="FF202122"/>
        <sz val="11.0"/>
      </rPr>
      <t xml:space="preserve"> </t>
    </r>
    <r>
      <rPr>
        <rFont val="Arial"/>
        <color rgb="FF202122"/>
        <sz val="11.0"/>
      </rPr>
      <t>Dorado</t>
    </r>
    <r>
      <rPr>
        <rFont val="Arial"/>
        <color rgb="FF202122"/>
        <sz val="11.0"/>
      </rPr>
      <t xml:space="preserve"> </t>
    </r>
    <r>
      <rPr>
        <rFont val="Arial"/>
        <color rgb="FF202122"/>
        <sz val="11.0"/>
      </rPr>
      <t>Ghostfish</t>
    </r>
    <r>
      <rPr>
        <rFont val="Arial"/>
        <color rgb="FF202122"/>
        <sz val="11.0"/>
      </rPr>
      <t xml:space="preserve"> </t>
    </r>
    <r>
      <rPr>
        <rFont val="Arial"/>
        <color rgb="FF202122"/>
        <sz val="11.0"/>
      </rPr>
      <t>Goby</t>
    </r>
    <r>
      <rPr>
        <rFont val="Arial"/>
        <color rgb="FF202122"/>
        <sz val="11.0"/>
      </rPr>
      <t xml:space="preserve"> </t>
    </r>
    <r>
      <rPr>
        <rFont val="Arial"/>
        <color rgb="FF202122"/>
        <sz val="11.0"/>
      </rPr>
      <t>Rainbow Trout</t>
    </r>
    <r>
      <rPr>
        <rFont val="Arial"/>
        <color rgb="FF202122"/>
        <sz val="11.0"/>
      </rPr>
      <t xml:space="preserve"> </t>
    </r>
    <r>
      <rPr>
        <rFont val="Arial"/>
        <color rgb="FF202122"/>
        <sz val="11.0"/>
      </rPr>
      <t>Sandfish</t>
    </r>
    <r>
      <rPr>
        <rFont val="Arial"/>
        <color rgb="FF202122"/>
        <sz val="11.0"/>
      </rPr>
      <t xml:space="preserve"> </t>
    </r>
    <r>
      <rPr>
        <rFont val="Arial"/>
        <color rgb="FF202122"/>
        <sz val="11.0"/>
      </rPr>
      <t>Shad</t>
    </r>
    <r>
      <rPr>
        <rFont val="Arial"/>
        <color rgb="FF202122"/>
        <sz val="11.0"/>
      </rPr>
      <t xml:space="preserve"> </t>
    </r>
    <r>
      <rPr>
        <rFont val="Arial"/>
        <color rgb="FF202122"/>
        <sz val="11.0"/>
      </rPr>
      <t>Sunfish</t>
    </r>
    <r>
      <rPr>
        <rFont val="Arial"/>
        <color rgb="FF202122"/>
        <sz val="11.0"/>
      </rPr>
      <t xml:space="preserve"> </t>
    </r>
    <r>
      <rPr>
        <rFont val="Arial"/>
        <color rgb="FF202122"/>
        <sz val="11.0"/>
      </rPr>
      <t>Tiger Trout</t>
    </r>
  </si>
  <si>
    <t>High Heat Shirt</t>
  </si>
  <si>
    <t>The shirt almost looks like it's on fire!</t>
  </si>
  <si>
    <t>Torch</t>
  </si>
  <si>
    <t>Burnt, 2 speed, 7 attack, Spikey (5)</t>
  </si>
  <si>
    <t>High-Waisted Shirt</t>
  </si>
  <si>
    <t>The high-waisted pants look, with a dyeable bottom.</t>
  </si>
  <si>
    <t>Yes (bottom)</t>
  </si>
  <si>
    <t>Basic Fertilizer Basic Retaining Soil Deluxe Fertilizer Deluxe Retaining Soil Hyper Speed-Gro Speed-Gro Tree Fertilizer</t>
  </si>
  <si>
    <r>
      <rPr>
        <rFont val="Arial"/>
        <color rgb="FF202122"/>
        <sz val="11.0"/>
      </rPr>
      <t>Life Elixir</t>
    </r>
    <r>
      <rPr>
        <rFont val="Arial"/>
        <color rgb="FF202122"/>
        <sz val="11.0"/>
      </rPr>
      <t xml:space="preserve"> </t>
    </r>
    <r>
      <rPr>
        <rFont val="Arial"/>
        <color rgb="FF202122"/>
        <sz val="11.0"/>
      </rPr>
      <t>Monster Musk</t>
    </r>
    <r>
      <rPr>
        <rFont val="Arial"/>
        <color rgb="FF202122"/>
        <sz val="11.0"/>
      </rPr>
      <t xml:space="preserve"> </t>
    </r>
    <r>
      <rPr>
        <rFont val="Arial"/>
        <color rgb="FF202122"/>
        <sz val="11.0"/>
      </rPr>
      <t>Oil of Garlic</t>
    </r>
  </si>
  <si>
    <t>The high-waisted jeans look, with a dyeable top.</t>
  </si>
  <si>
    <t>Yes (top)</t>
  </si>
  <si>
    <t>Deluxe Speed-Gro Quality Fertilizer Quality Retaining Soil</t>
  </si>
  <si>
    <t>Holiday Shirt</t>
  </si>
  <si>
    <t>Celebrate the Feast of the Winter Star.</t>
  </si>
  <si>
    <t>Pumpkin Pie</t>
  </si>
  <si>
    <t>(Winter:Popularity, 10 immunity)</t>
  </si>
  <si>
    <t>Hot Pink Shirt</t>
  </si>
  <si>
    <t>A silky shirt in tropical pink.</t>
  </si>
  <si>
    <t>Poi</t>
  </si>
  <si>
    <t>1 speed, 50 Slingshot power, 1.17 popularity, (Farm: 3 still stamina regen), loving rancher</t>
  </si>
  <si>
    <t>Iridium Breastplate</t>
  </si>
  <si>
    <t>Decorative armor made from pure iridium.</t>
  </si>
  <si>
    <t>Iridium Bar</t>
  </si>
  <si>
    <t>5 defense, protective ring, (While holding holy blade: 50 vampirism, (On marlon talk: 75 friendship))</t>
  </si>
  <si>
    <t>Iridium Energy Shirt</t>
  </si>
  <si>
    <t>Show off your iridium energy.</t>
  </si>
  <si>
    <t>Iridium Ore</t>
  </si>
  <si>
    <t>15 second still 40 stamina regen</t>
  </si>
  <si>
    <t>Island Bikini</t>
  </si>
  <si>
    <t>A Fern Islands classic.</t>
  </si>
  <si>
    <t>Sleeveless.</t>
  </si>
  <si>
    <t>Golden Coconut</t>
  </si>
  <si>
    <t>1 speed, -8 defense, Lewis disapproves (Island:Popularity, Popularity, Popularity)</t>
  </si>
  <si>
    <t>Jester Shirt</t>
  </si>
  <si>
    <t>Pyrite</t>
  </si>
  <si>
    <t>Jewelry Shirt</t>
  </si>
  <si>
    <t>A shirt with a simple golden chain.</t>
  </si>
  <si>
    <t>Elvish Jewelry</t>
  </si>
  <si>
    <t>(On dwarf talk: 150 gold), Popularity</t>
  </si>
  <si>
    <t>Kelp Shirt</t>
  </si>
  <si>
    <t>It looks like you just washed up on the beach. Smells like it, too.</t>
  </si>
  <si>
    <t>Seaweed</t>
  </si>
  <si>
    <r>
      <rPr>
        <rFont val="Arial"/>
        <color rgb="FF202122"/>
        <sz val="11.0"/>
      </rPr>
      <t>Truffle</t>
    </r>
    <r>
      <rPr>
        <rFont val="Arial"/>
        <color rgb="FF202122"/>
        <sz val="11.0"/>
      </rPr>
      <t xml:space="preserve"> </t>
    </r>
    <r>
      <rPr>
        <rFont val="Arial"/>
        <color rgb="FF202122"/>
        <sz val="11.0"/>
      </rPr>
      <t>Truffle Oil</t>
    </r>
  </si>
  <si>
    <t>Leafy Top</t>
  </si>
  <si>
    <t>Real leaves adorn this garment.</t>
  </si>
  <si>
    <t>Jagoite</t>
  </si>
  <si>
    <t>Sapping 7</t>
  </si>
  <si>
    <t>Letterman Jacket</t>
  </si>
  <si>
    <t>A jacket that's oozing with team spirit.</t>
  </si>
  <si>
    <t>Yes (red portion only)</t>
  </si>
  <si>
    <r>
      <rPr>
        <rFont val="Arial"/>
        <color rgb="FF202122"/>
        <sz val="11.0"/>
      </rPr>
      <t>Life Elixir</t>
    </r>
    <r>
      <rPr>
        <rFont val="Arial"/>
        <color rgb="FF202122"/>
        <sz val="11.0"/>
      </rPr>
      <t xml:space="preserve"> </t>
    </r>
    <r>
      <rPr>
        <rFont val="Arial"/>
        <color rgb="FF202122"/>
        <sz val="11.0"/>
      </rPr>
      <t>Monster Musk</t>
    </r>
    <r>
      <rPr>
        <rFont val="Arial"/>
        <color rgb="FF202122"/>
        <sz val="11.0"/>
      </rPr>
      <t xml:space="preserve"> </t>
    </r>
    <r>
      <rPr>
        <rFont val="Arial"/>
        <color rgb="FF202122"/>
        <sz val="11.0"/>
      </rPr>
      <t>Oil of Garlic</t>
    </r>
  </si>
  <si>
    <t>Energy Tonic</t>
  </si>
  <si>
    <t>Bombey 10, 30 maxenergy</t>
  </si>
  <si>
    <t>Light Blue Shirt</t>
  </si>
  <si>
    <t>A light blue shirt.</t>
  </si>
  <si>
    <t>Mayonnaise</t>
  </si>
  <si>
    <t>Light Blue Striped Shirt</t>
  </si>
  <si>
    <t>A light blue shirt with a white stripe.</t>
  </si>
  <si>
    <t>Rice Pudding</t>
  </si>
  <si>
    <t>Bait Production(10)</t>
  </si>
  <si>
    <t>Lime Green Striped Shirt</t>
  </si>
  <si>
    <t>A lime green shirt with white stripes.</t>
  </si>
  <si>
    <t>Duck Feather</t>
  </si>
  <si>
    <t>Lime Green Tunic</t>
  </si>
  <si>
    <t>A bright green tunic with a belt.</t>
  </si>
  <si>
    <t>Leek</t>
  </si>
  <si>
    <t>2 defense</t>
  </si>
  <si>
    <t>Magenta Shirt</t>
  </si>
  <si>
    <t>This particular shade is unique to the magma cap mushroom.</t>
  </si>
  <si>
    <t>Magma Cap</t>
  </si>
  <si>
    <t>Magic Sprinkle Shirt</t>
  </si>
  <si>
    <t>A shirt with prismatic sprinkles.</t>
  </si>
  <si>
    <t>Prismatic version of the Polka Dot Shirt</t>
  </si>
  <si>
    <t>Magic Rock Candy</t>
  </si>
  <si>
    <t>Mayoral Suspenders</t>
  </si>
  <si>
    <t>A pair of suspenders that looks awfully familiar...</t>
  </si>
  <si>
    <t>Vegetable Medley</t>
  </si>
  <si>
    <t>Popularity (On lewis talk: 50 stamina)</t>
  </si>
  <si>
    <t>Midnight Dog Jacket</t>
  </si>
  <si>
    <t>It's dyed a deep midnight blue from squid ink.</t>
  </si>
  <si>
    <t>Squid Ink</t>
  </si>
  <si>
    <r>
      <rPr>
        <rFont val="Arial"/>
        <color rgb="FF202122"/>
        <sz val="11.0"/>
      </rPr>
      <t>Bream</t>
    </r>
    <r>
      <rPr>
        <rFont val="Arial"/>
        <color rgb="FF202122"/>
        <sz val="11.0"/>
      </rPr>
      <t xml:space="preserve"> </t>
    </r>
    <r>
      <rPr>
        <rFont val="Arial"/>
        <color rgb="FF202122"/>
        <sz val="11.0"/>
      </rPr>
      <t>Catfish</t>
    </r>
    <r>
      <rPr>
        <rFont val="Arial"/>
        <color rgb="FF202122"/>
        <sz val="11.0"/>
      </rPr>
      <t xml:space="preserve"> </t>
    </r>
    <r>
      <rPr>
        <rFont val="Arial"/>
        <color rgb="FF202122"/>
        <sz val="11.0"/>
      </rPr>
      <t>Dorado</t>
    </r>
    <r>
      <rPr>
        <rFont val="Arial"/>
        <color rgb="FF202122"/>
        <sz val="11.0"/>
      </rPr>
      <t xml:space="preserve"> </t>
    </r>
    <r>
      <rPr>
        <rFont val="Arial"/>
        <color rgb="FF202122"/>
        <sz val="11.0"/>
      </rPr>
      <t>Ghostfish</t>
    </r>
    <r>
      <rPr>
        <rFont val="Arial"/>
        <color rgb="FF202122"/>
        <sz val="11.0"/>
      </rPr>
      <t xml:space="preserve"> </t>
    </r>
    <r>
      <rPr>
        <rFont val="Arial"/>
        <color rgb="FF202122"/>
        <sz val="11.0"/>
      </rPr>
      <t>Goby</t>
    </r>
    <r>
      <rPr>
        <rFont val="Arial"/>
        <color rgb="FF202122"/>
        <sz val="11.0"/>
      </rPr>
      <t xml:space="preserve"> </t>
    </r>
    <r>
      <rPr>
        <rFont val="Arial"/>
        <color rgb="FF202122"/>
        <sz val="11.0"/>
      </rPr>
      <t>Rainbow Trout</t>
    </r>
    <r>
      <rPr>
        <rFont val="Arial"/>
        <color rgb="FF202122"/>
        <sz val="11.0"/>
      </rPr>
      <t xml:space="preserve"> </t>
    </r>
    <r>
      <rPr>
        <rFont val="Arial"/>
        <color rgb="FF202122"/>
        <sz val="11.0"/>
      </rPr>
      <t>Sandfish</t>
    </r>
    <r>
      <rPr>
        <rFont val="Arial"/>
        <color rgb="FF202122"/>
        <sz val="11.0"/>
      </rPr>
      <t xml:space="preserve"> </t>
    </r>
    <r>
      <rPr>
        <rFont val="Arial"/>
        <color rgb="FF202122"/>
        <sz val="11.0"/>
      </rPr>
      <t>Shad</t>
    </r>
    <r>
      <rPr>
        <rFont val="Arial"/>
        <color rgb="FF202122"/>
        <sz val="11.0"/>
      </rPr>
      <t xml:space="preserve"> </t>
    </r>
    <r>
      <rPr>
        <rFont val="Arial"/>
        <color rgb="FF202122"/>
        <sz val="11.0"/>
      </rPr>
      <t>Sunfish</t>
    </r>
    <r>
      <rPr>
        <rFont val="Arial"/>
        <color rgb="FF202122"/>
        <sz val="11.0"/>
      </rPr>
      <t xml:space="preserve"> </t>
    </r>
    <r>
      <rPr>
        <rFont val="Arial"/>
        <color rgb="FF202122"/>
        <sz val="11.0"/>
      </rPr>
      <t>Tiger Trout</t>
    </r>
  </si>
  <si>
    <t>1% Owl Event Chance, 1% Strange Event Chance</t>
  </si>
  <si>
    <t>Mineral Dog Jacket</t>
  </si>
  <si>
    <t>It's infused with trace minerals from the ocean.</t>
  </si>
  <si>
    <t>Seafoam Pudding</t>
  </si>
  <si>
    <t>6% Meteorite Chance</t>
  </si>
  <si>
    <t>depth scaling stats (25), ores from rocks</t>
  </si>
  <si>
    <t>Mint Blouse</t>
  </si>
  <si>
    <t>A cute, light green blouse.</t>
  </si>
  <si>
    <t>Dandelion</t>
  </si>
  <si>
    <t>Morel Shirt</t>
  </si>
  <si>
    <t>This shirt features the iconic spring mushroom.</t>
  </si>
  <si>
    <t>Morel</t>
  </si>
  <si>
    <t>Navy Tuxedo</t>
  </si>
  <si>
    <t>An elegant top for formal events.</t>
  </si>
  <si>
    <t>The Zuzu City Express</t>
  </si>
  <si>
    <t>Popularity, 1.5x Attack, 1.5x Crit chance, 2x Weapon Speed, Parry Boost, Mercenery (Clear day: 1 speed)</t>
  </si>
  <si>
    <t>Neat Bow Shirt</t>
  </si>
  <si>
    <t>A neat button down shirt with a prominent bow tie.</t>
  </si>
  <si>
    <t>Yes (bow tie)</t>
  </si>
  <si>
    <t>Only obtainable as a random cosmetic item</t>
  </si>
  <si>
    <t>1 speed, 35 health, 35 energy, 70 weapon speed, Parry boost</t>
  </si>
  <si>
    <t>Necklace Shirt</t>
  </si>
  <si>
    <t>A shirt with a gold necklace.</t>
  </si>
  <si>
    <t>Refined Quartz</t>
  </si>
  <si>
    <t>Night Sky Shirt</t>
  </si>
  <si>
    <t>A shirt that reminds you of the night sky.</t>
  </si>
  <si>
    <t>Blueberry Tart</t>
  </si>
  <si>
    <r>
      <rPr>
        <rFont val="Arial"/>
        <color rgb="FF202122"/>
        <sz val="11.0"/>
      </rPr>
      <t>Bream</t>
    </r>
    <r>
      <rPr>
        <rFont val="Arial"/>
        <color rgb="FF202122"/>
        <sz val="11.0"/>
      </rPr>
      <t xml:space="preserve"> </t>
    </r>
    <r>
      <rPr>
        <rFont val="Arial"/>
        <color rgb="FF202122"/>
        <sz val="11.0"/>
      </rPr>
      <t>Catfish</t>
    </r>
    <r>
      <rPr>
        <rFont val="Arial"/>
        <color rgb="FF202122"/>
        <sz val="11.0"/>
      </rPr>
      <t xml:space="preserve"> </t>
    </r>
    <r>
      <rPr>
        <rFont val="Arial"/>
        <color rgb="FF202122"/>
        <sz val="11.0"/>
      </rPr>
      <t>Dorado</t>
    </r>
    <r>
      <rPr>
        <rFont val="Arial"/>
        <color rgb="FF202122"/>
        <sz val="11.0"/>
      </rPr>
      <t xml:space="preserve"> </t>
    </r>
    <r>
      <rPr>
        <rFont val="Arial"/>
        <color rgb="FF202122"/>
        <sz val="11.0"/>
      </rPr>
      <t>Ghostfish</t>
    </r>
    <r>
      <rPr>
        <rFont val="Arial"/>
        <color rgb="FF202122"/>
        <sz val="11.0"/>
      </rPr>
      <t xml:space="preserve"> </t>
    </r>
    <r>
      <rPr>
        <rFont val="Arial"/>
        <color rgb="FF202122"/>
        <sz val="11.0"/>
      </rPr>
      <t>Goby</t>
    </r>
    <r>
      <rPr>
        <rFont val="Arial"/>
        <color rgb="FF202122"/>
        <sz val="11.0"/>
      </rPr>
      <t xml:space="preserve"> </t>
    </r>
    <r>
      <rPr>
        <rFont val="Arial"/>
        <color rgb="FF202122"/>
        <sz val="11.0"/>
      </rPr>
      <t>Rainbow Trout</t>
    </r>
    <r>
      <rPr>
        <rFont val="Arial"/>
        <color rgb="FF202122"/>
        <sz val="11.0"/>
      </rPr>
      <t xml:space="preserve"> </t>
    </r>
    <r>
      <rPr>
        <rFont val="Arial"/>
        <color rgb="FF202122"/>
        <sz val="11.0"/>
      </rPr>
      <t>Sandfish</t>
    </r>
    <r>
      <rPr>
        <rFont val="Arial"/>
        <color rgb="FF202122"/>
        <sz val="11.0"/>
      </rPr>
      <t xml:space="preserve"> </t>
    </r>
    <r>
      <rPr>
        <rFont val="Arial"/>
        <color rgb="FF202122"/>
        <sz val="11.0"/>
      </rPr>
      <t>Shad</t>
    </r>
    <r>
      <rPr>
        <rFont val="Arial"/>
        <color rgb="FF202122"/>
        <sz val="11.0"/>
      </rPr>
      <t xml:space="preserve"> </t>
    </r>
    <r>
      <rPr>
        <rFont val="Arial"/>
        <color rgb="FF202122"/>
        <sz val="11.0"/>
      </rPr>
      <t>Sunfish</t>
    </r>
    <r>
      <rPr>
        <rFont val="Arial"/>
        <color rgb="FF202122"/>
        <sz val="11.0"/>
      </rPr>
      <t xml:space="preserve"> </t>
    </r>
    <r>
      <rPr>
        <rFont val="Arial"/>
        <color rgb="FF202122"/>
        <sz val="11.0"/>
      </rPr>
      <t>Tiger Trout</t>
    </r>
  </si>
  <si>
    <t>Oasis Gown</t>
  </si>
  <si>
    <t>The jewel of the desert.</t>
  </si>
  <si>
    <t>Tom Kha Soup</t>
  </si>
  <si>
    <t>25% sandy discount, (On Sandy Talk: 200 health)</t>
  </si>
  <si>
    <t>Ocean Shirt</t>
  </si>
  <si>
    <t>The shirt looks like underwater ripples.</t>
  </si>
  <si>
    <t>Ocean Stone</t>
  </si>
  <si>
    <t>10% willy</t>
  </si>
  <si>
    <t>Officer Uniform</t>
  </si>
  <si>
    <t>The classic uniform for an officer of the law.</t>
  </si>
  <si>
    <t>Glass Shards</t>
  </si>
  <si>
    <t>Burnt, 1.17 Popularity, 3 speed (Healthy: Spikey(15), 4 red glowing)</t>
  </si>
  <si>
    <t>Oil Stained Shirt</t>
  </si>
  <si>
    <t>It's already stained with oil for that greasy look.</t>
  </si>
  <si>
    <t>Oil</t>
  </si>
  <si>
    <t>Omni Shirt</t>
  </si>
  <si>
    <t>It's speckled with rainbow flecks!</t>
  </si>
  <si>
    <t>Omni Geode</t>
  </si>
  <si>
    <t>(On Clint talk: 60 friendship)</t>
  </si>
  <si>
    <t>Orange Bow Shirt</t>
  </si>
  <si>
    <t>A striped orange shirt with a big white bow.</t>
  </si>
  <si>
    <t>Winter Root</t>
  </si>
  <si>
    <t>Orange Gi</t>
  </si>
  <si>
    <t>A loose garment typically worn by martial artists.</t>
  </si>
  <si>
    <t>Yes (blue portion only)</t>
  </si>
  <si>
    <t>Vinegar</t>
  </si>
  <si>
    <t>2 defense, 3 attack</t>
  </si>
  <si>
    <t>Orange Shirt</t>
  </si>
  <si>
    <t>An orange shirt.</t>
  </si>
  <si>
    <t>Chanterelle</t>
  </si>
  <si>
    <t>Pendant Shirt</t>
  </si>
  <si>
    <t>A shirt with a big pendant.</t>
  </si>
  <si>
    <t>Stone Owl</t>
  </si>
  <si>
    <t>(Weapon Hammer: 6 attack, 10x knockback, Bombey, 2.25x attack multiplier, 0x weapon speed, -2 speed)</t>
  </si>
  <si>
    <t>2 Foraging, 1.17 Popularity</t>
  </si>
  <si>
    <t>Pink Striped Shirt</t>
  </si>
  <si>
    <t>A pink shirt with stripes.</t>
  </si>
  <si>
    <t>Bug Meat</t>
  </si>
  <si>
    <t>Plain Overalls</t>
  </si>
  <si>
    <t>Classic overalls with a shirt that can be dyed.</t>
  </si>
  <si>
    <t>Egg</t>
  </si>
  <si>
    <t>Plain Shirt</t>
  </si>
  <si>
    <t>A simple shirt.</t>
  </si>
  <si>
    <t>Wool</t>
  </si>
  <si>
    <t>Polka Dot Shirt</t>
  </si>
  <si>
    <t>A dark shirt with dyeable polka dots.</t>
  </si>
  <si>
    <t>Roe (any) Void Mayonnaise</t>
  </si>
  <si>
    <t>Pour-Over Shirt</t>
  </si>
  <si>
    <t>A familiar zig-zag pattern adorns this shirt. Ahhh... that smell.</t>
  </si>
  <si>
    <t>Coffee Triple Shot Espresso</t>
  </si>
  <si>
    <t>Prismatic Shirt</t>
  </si>
  <si>
    <t>It's shimmering with prismatic energy.</t>
  </si>
  <si>
    <t>Prismatic (rectangle on front)</t>
  </si>
  <si>
    <t>Prismatic Shard</t>
  </si>
  <si>
    <t>50 energy, 3 rainbow glow</t>
  </si>
  <si>
    <t>Prismatic Shirt (black sleeves)</t>
  </si>
  <si>
    <t>It's shimmering with prismatic energy. Has dark sleeves.</t>
  </si>
  <si>
    <t>50 health, 3 rainbow glow</t>
  </si>
  <si>
    <t>Prismatic Shirt (white sleeves)</t>
  </si>
  <si>
    <t>It's shimmering with prismatic energy. Has white sleeves.</t>
  </si>
  <si>
    <t>Autorevive, -10 defense, 3 rainbow glow</t>
  </si>
  <si>
    <t>Purple Blouse</t>
  </si>
  <si>
    <t>A stunning purple blouse.</t>
  </si>
  <si>
    <t>Iridium Krobus</t>
  </si>
  <si>
    <t>(Weapon Melee Sword: 3.5x crit chance, depth scaling stats x 2)</t>
  </si>
  <si>
    <t>Rain Coat</t>
  </si>
  <si>
    <t>The classic yellow rain coat.</t>
  </si>
  <si>
    <t>Crayfish Periwinkle Snail</t>
  </si>
  <si>
    <t>(Wet Weather: 10 defense, 10 immunity)</t>
  </si>
  <si>
    <t>Ranger Uniform</t>
  </si>
  <si>
    <t>The classic uniform for a park ranger.</t>
  </si>
  <si>
    <t>Trout Soup</t>
  </si>
  <si>
    <t>1.3x foraging xp</t>
  </si>
  <si>
    <t>Red Buttoned Vest</t>
  </si>
  <si>
    <t>It's a red shirt with dyeable sleeves.</t>
  </si>
  <si>
    <t>4 defense, Vampirism 6, soul sapping 15</t>
  </si>
  <si>
    <t>Red Flannel Shirt</t>
  </si>
  <si>
    <t>A flannel shirt with a red and blue pattern.</t>
  </si>
  <si>
    <t>Hashbrowns</t>
  </si>
  <si>
    <t>Red Hoodie</t>
  </si>
  <si>
    <t>A sporty red pullover with a hood.</t>
  </si>
  <si>
    <t>Magma Geode</t>
  </si>
  <si>
    <t>Red Striped Shirt</t>
  </si>
  <si>
    <t>A red shirt with white stripes.</t>
  </si>
  <si>
    <t>Cranberry Candy</t>
  </si>
  <si>
    <t>Red Tuxedo</t>
  </si>
  <si>
    <t>Red Plate</t>
  </si>
  <si>
    <t>Vampirism 6, soul sapping 15, 8 attack, -12 defense, popularity</t>
  </si>
  <si>
    <t>Regal Mantle</t>
  </si>
  <si>
    <t>A regal purple garment.</t>
  </si>
  <si>
    <t>Ancient Drum</t>
  </si>
  <si>
    <t>1 luck, yoba ring, 10% pierre discount</t>
  </si>
  <si>
    <t>Relic Shirt</t>
  </si>
  <si>
    <t>I found a golden relic and I've got the shirt to prove it!</t>
  </si>
  <si>
    <t>Golden Relic</t>
  </si>
  <si>
    <t>Fear, 14 attack</t>
  </si>
  <si>
    <t>Retro Rainbow Shirt</t>
  </si>
  <si>
    <t>A simple shirt with a faded rainbow pattern.</t>
  </si>
  <si>
    <t>Ice Cream</t>
  </si>
  <si>
    <t>Rusty Shirt</t>
  </si>
  <si>
    <t>It's made to look like the shirt is full of rust.</t>
  </si>
  <si>
    <t>Rusty Spoon</t>
  </si>
  <si>
    <t>Professional Forager, Sapping(10), speed 1, slime charmer ring, 2 Foraging</t>
  </si>
  <si>
    <t>Sailor Shirt</t>
  </si>
  <si>
    <t>Reminds you of the open sea.</t>
  </si>
  <si>
    <t>Fish pond commitment</t>
  </si>
  <si>
    <t>Sauce-Stained Shirt</t>
  </si>
  <si>
    <t>It's already covered in spaghetti sauce so you don't have to feel guilty about it!</t>
  </si>
  <si>
    <t>Spaghetti</t>
  </si>
  <si>
    <t>Lewis dissaproves</t>
  </si>
  <si>
    <t>Shirt And Belt</t>
  </si>
  <si>
    <t>A plain shirt with a brown belt.</t>
  </si>
  <si>
    <r>
      <rPr>
        <rFont val="Arial"/>
        <color rgb="FF202122"/>
        <sz val="11.0"/>
      </rPr>
      <t>Carrot</t>
    </r>
    <r>
      <rPr>
        <rFont val="Arial"/>
        <color rgb="FF202122"/>
        <sz val="11.0"/>
      </rPr>
      <t xml:space="preserve"> </t>
    </r>
    <r>
      <rPr>
        <rFont val="Arial"/>
        <color rgb="FF202122"/>
        <sz val="11.0"/>
      </rPr>
      <t>Cauliflower</t>
    </r>
    <r>
      <rPr>
        <rFont val="Arial"/>
        <color rgb="FF202122"/>
        <sz val="11.0"/>
      </rPr>
      <t xml:space="preserve"> </t>
    </r>
    <r>
      <rPr>
        <rFont val="Arial"/>
        <color rgb="FF202122"/>
        <sz val="11.0"/>
      </rPr>
      <t>Garlic</t>
    </r>
    <r>
      <rPr>
        <rFont val="Arial"/>
        <color rgb="FF202122"/>
        <sz val="11.0"/>
      </rPr>
      <t xml:space="preserve"> </t>
    </r>
    <r>
      <rPr>
        <rFont val="Arial"/>
        <color rgb="FF202122"/>
        <sz val="11.0"/>
      </rPr>
      <t>Green Bean</t>
    </r>
    <r>
      <rPr>
        <rFont val="Arial"/>
        <color rgb="FF202122"/>
        <sz val="11.0"/>
      </rPr>
      <t xml:space="preserve"> </t>
    </r>
    <r>
      <rPr>
        <rFont val="Arial"/>
        <color rgb="FF202122"/>
        <sz val="11.0"/>
      </rPr>
      <t>Hops</t>
    </r>
    <r>
      <rPr>
        <rFont val="Arial"/>
        <color rgb="FF202122"/>
        <sz val="11.0"/>
      </rPr>
      <t xml:space="preserve"> </t>
    </r>
    <r>
      <rPr>
        <rFont val="Arial"/>
        <color rgb="FF202122"/>
        <sz val="11.0"/>
      </rPr>
      <t>Kale</t>
    </r>
    <r>
      <rPr>
        <rFont val="Arial"/>
        <color rgb="FF202122"/>
        <sz val="11.0"/>
      </rPr>
      <t xml:space="preserve"> </t>
    </r>
    <r>
      <rPr>
        <rFont val="Arial"/>
        <color rgb="FF202122"/>
        <sz val="11.0"/>
      </rPr>
      <t>Parsnip</t>
    </r>
    <r>
      <rPr>
        <rFont val="Arial"/>
        <color rgb="FF202122"/>
        <sz val="11.0"/>
      </rPr>
      <t xml:space="preserve"> </t>
    </r>
    <r>
      <rPr>
        <rFont val="Arial"/>
        <color rgb="FF202122"/>
        <sz val="11.0"/>
      </rPr>
      <t>Potato</t>
    </r>
    <r>
      <rPr>
        <rFont val="Arial"/>
        <color rgb="FF202122"/>
        <sz val="11.0"/>
      </rPr>
      <t xml:space="preserve"> </t>
    </r>
    <r>
      <rPr>
        <rFont val="Arial"/>
        <color rgb="FF202122"/>
        <sz val="11.0"/>
      </rPr>
      <t>Taro Root</t>
    </r>
    <r>
      <rPr>
        <rFont val="Arial"/>
        <color rgb="FF202122"/>
        <sz val="11.0"/>
      </rPr>
      <t xml:space="preserve"> </t>
    </r>
    <r>
      <rPr>
        <rFont val="Arial"/>
        <color rgb="FF202122"/>
        <sz val="11.0"/>
      </rPr>
      <t>Tea Leaves</t>
    </r>
    <r>
      <rPr>
        <rFont val="Arial"/>
        <color rgb="FF202122"/>
        <sz val="11.0"/>
      </rPr>
      <t xml:space="preserve"> </t>
    </r>
    <r>
      <rPr>
        <rFont val="Arial"/>
        <color rgb="FF202122"/>
        <sz val="11.0"/>
      </rPr>
      <t>Unmilled Rice</t>
    </r>
  </si>
  <si>
    <t>Oil of Garlic, -3 speed</t>
  </si>
  <si>
    <t>Shirt And Tie</t>
  </si>
  <si>
    <t>A white dress shirt and a tie.</t>
  </si>
  <si>
    <t>Yes (necktie)</t>
  </si>
  <si>
    <t>Bruschetta</t>
  </si>
  <si>
    <t>Shirt O' The Sea</t>
  </si>
  <si>
    <t>It smells like the brine of the sea.</t>
  </si>
  <si>
    <t>Dish O' The Sea</t>
  </si>
  <si>
    <t>(ocean: 5 fishing, 1.5x fishing xp)</t>
  </si>
  <si>
    <t>Shirt with Bow</t>
  </si>
  <si>
    <t>This shirt comes with a little bow around the neck.</t>
  </si>
  <si>
    <t>Orpiment</t>
  </si>
  <si>
    <t>Short Jacket</t>
  </si>
  <si>
    <t>A short dyeable jacket over a shirt.</t>
  </si>
  <si>
    <t>Yes (jacket)</t>
  </si>
  <si>
    <t>Plum Pudding</t>
  </si>
  <si>
    <t>Shrimp Enthusiast Shirt</t>
  </si>
  <si>
    <t>For those whose appetites demand a steady supply of shrimp.</t>
  </si>
  <si>
    <t>Shrimp Cocktail</t>
  </si>
  <si>
    <t>Bait Produce(2)</t>
  </si>
  <si>
    <t>Silky Shirt</t>
  </si>
  <si>
    <t>It's made from a smooth silky substance.</t>
  </si>
  <si>
    <t>Radish Salad</t>
  </si>
  <si>
    <t>20% dodge chance, 6 immunity</t>
  </si>
  <si>
    <t>Skeleton Shirt</t>
  </si>
  <si>
    <t>A shirt with a skeletal rib cage printed on it.</t>
  </si>
  <si>
    <t>Can be chosen at character creation.
Can be dropped by Haunted Skulls.</t>
  </si>
  <si>
    <r>
      <rPr>
        <rFont val="Arial"/>
        <color rgb="FF202122"/>
        <sz val="11.0"/>
      </rPr>
      <t>Bone Fragment</t>
    </r>
    <r>
      <rPr>
        <rFont val="Arial"/>
        <color rgb="FF202122"/>
        <sz val="11.0"/>
      </rPr>
      <t xml:space="preserve"> </t>
    </r>
    <r>
      <rPr>
        <rFont val="Arial"/>
        <color rgb="FF202122"/>
        <sz val="11.0"/>
      </rPr>
      <t>Fossilized Leg</t>
    </r>
    <r>
      <rPr>
        <rFont val="Arial"/>
        <color rgb="FF202122"/>
        <sz val="11.0"/>
      </rPr>
      <t xml:space="preserve"> </t>
    </r>
    <r>
      <rPr>
        <rFont val="Arial"/>
        <color rgb="FF202122"/>
        <sz val="11.0"/>
      </rPr>
      <t>Fossilized Ribs</t>
    </r>
    <r>
      <rPr>
        <rFont val="Arial"/>
        <color rgb="FF202122"/>
        <sz val="11.0"/>
      </rPr>
      <t xml:space="preserve"> </t>
    </r>
    <r>
      <rPr>
        <rFont val="Arial"/>
        <color rgb="FF202122"/>
        <sz val="11.0"/>
      </rPr>
      <t>Fossilized Skull</t>
    </r>
    <r>
      <rPr>
        <rFont val="Arial"/>
        <color rgb="FF202122"/>
        <sz val="11.0"/>
      </rPr>
      <t xml:space="preserve"> </t>
    </r>
    <r>
      <rPr>
        <rFont val="Arial"/>
        <color rgb="FF202122"/>
        <sz val="11.0"/>
      </rPr>
      <t>Fossilized Spine</t>
    </r>
    <r>
      <rPr>
        <rFont val="Arial"/>
        <color rgb="FF202122"/>
        <sz val="11.0"/>
      </rPr>
      <t xml:space="preserve"> </t>
    </r>
    <r>
      <rPr>
        <rFont val="Arial"/>
        <color rgb="FF202122"/>
        <sz val="11.0"/>
      </rPr>
      <t>Fossilized Tail</t>
    </r>
    <r>
      <rPr>
        <rFont val="Arial"/>
        <color rgb="FF202122"/>
        <sz val="11.0"/>
      </rPr>
      <t xml:space="preserve"> </t>
    </r>
    <r>
      <rPr>
        <rFont val="Arial"/>
        <color rgb="FF202122"/>
        <sz val="11.0"/>
      </rPr>
      <t>Mummified Bat</t>
    </r>
    <r>
      <rPr>
        <rFont val="Arial"/>
        <color rgb="FF202122"/>
        <sz val="11.0"/>
      </rPr>
      <t xml:space="preserve"> </t>
    </r>
    <r>
      <rPr>
        <rFont val="Arial"/>
        <color rgb="FF202122"/>
        <sz val="11.0"/>
      </rPr>
      <t>Mummified Frog</t>
    </r>
    <r>
      <rPr>
        <rFont val="Arial"/>
        <color rgb="FF202122"/>
        <sz val="11.0"/>
      </rPr>
      <t xml:space="preserve"> </t>
    </r>
    <r>
      <rPr>
        <rFont val="Arial"/>
        <color rgb="FF202122"/>
        <sz val="11.0"/>
      </rPr>
      <t>Prehistoric Rib</t>
    </r>
    <r>
      <rPr>
        <rFont val="Arial"/>
        <color rgb="FF202122"/>
        <sz val="11.0"/>
      </rPr>
      <t xml:space="preserve"> </t>
    </r>
    <r>
      <rPr>
        <rFont val="Arial"/>
        <color rgb="FF202122"/>
        <sz val="11.0"/>
      </rPr>
      <t>Prehistoric Scapula</t>
    </r>
    <r>
      <rPr>
        <rFont val="Arial"/>
        <color rgb="FF202122"/>
        <sz val="11.0"/>
      </rPr>
      <t xml:space="preserve"> </t>
    </r>
    <r>
      <rPr>
        <rFont val="Arial"/>
        <color rgb="FF202122"/>
        <sz val="11.0"/>
      </rPr>
      <t>Prehistoric Vertebra</t>
    </r>
    <r>
      <rPr>
        <rFont val="Arial"/>
        <color rgb="FF202122"/>
        <sz val="11.0"/>
      </rPr>
      <t xml:space="preserve"> </t>
    </r>
    <r>
      <rPr>
        <rFont val="Arial"/>
        <color rgb="FF202122"/>
        <sz val="11.0"/>
      </rPr>
      <t>Skeletal Hand</t>
    </r>
    <r>
      <rPr>
        <rFont val="Arial"/>
        <color rgb="FF202122"/>
        <sz val="11.0"/>
      </rPr>
      <t xml:space="preserve"> </t>
    </r>
    <r>
      <rPr>
        <rFont val="Arial"/>
        <color rgb="FF202122"/>
        <sz val="11.0"/>
      </rPr>
      <t>Skeletal Tail</t>
    </r>
    <r>
      <rPr>
        <rFont val="Arial"/>
        <color rgb="FF202122"/>
        <sz val="11.0"/>
      </rPr>
      <t xml:space="preserve"> </t>
    </r>
    <r>
      <rPr>
        <rFont val="Arial"/>
        <color rgb="FF202122"/>
        <sz val="11.0"/>
      </rPr>
      <t>Snake Skull</t>
    </r>
    <r>
      <rPr>
        <rFont val="Arial"/>
        <color rgb="FF202122"/>
        <sz val="11.0"/>
      </rPr>
      <t xml:space="preserve"> </t>
    </r>
    <r>
      <rPr>
        <rFont val="Arial"/>
        <color rgb="FF202122"/>
        <sz val="11.0"/>
      </rPr>
      <t>Snake Vertebrae</t>
    </r>
  </si>
  <si>
    <t>Mercenery</t>
  </si>
  <si>
    <t>Skull Shirt</t>
  </si>
  <si>
    <t>A shirt with a menacing skull printed on it.</t>
  </si>
  <si>
    <t>Prehistoric Skull</t>
  </si>
  <si>
    <t>Depth Scaling Stats</t>
  </si>
  <si>
    <t>Shirt</t>
  </si>
  <si>
    <t>A wearable shirt. (Looks like a dino)</t>
  </si>
  <si>
    <r>
      <rPr>
        <rFont val="sans-serif"/>
        <color rgb="FF202122"/>
        <sz val="11.0"/>
      </rPr>
      <t>Emerald</t>
    </r>
  </si>
  <si>
    <t>Sleeveless Overalls</t>
  </si>
  <si>
    <t>Classic overalls with a sleeveless shirt that can be dyed.</t>
  </si>
  <si>
    <t>Large Milk</t>
  </si>
  <si>
    <t>Slime Shirt</t>
  </si>
  <si>
    <t>A shirt that looks like a big slime.</t>
  </si>
  <si>
    <t>Petrified Slime</t>
  </si>
  <si>
    <t>Slime Charmer Ring, 2 green glow</t>
  </si>
  <si>
    <t>Soft Arrow Shirt</t>
  </si>
  <si>
    <t>A soft-colored shirt with an upward arrow pattern.</t>
  </si>
  <si>
    <t>Arrowhead</t>
  </si>
  <si>
    <t>4 combat, 5 ranged power</t>
  </si>
  <si>
    <t>Sports Shirt</t>
  </si>
  <si>
    <t>Knock it out of the park with this classic look.</t>
  </si>
  <si>
    <t>Juice (any)</t>
  </si>
  <si>
    <t>Spring Shirt</t>
  </si>
  <si>
    <t>It's light, it's fresh, and it features the colors of spring.</t>
  </si>
  <si>
    <t>Rhubarb Pie</t>
  </si>
  <si>
    <t>BeeKeeper, (Sunny: 1 speed)(Spring:1 speed)</t>
  </si>
  <si>
    <t>Star Shirt</t>
  </si>
  <si>
    <t>The star is supposed to glow in the dark, but it doesn't.</t>
  </si>
  <si>
    <t>Yes (star)</t>
  </si>
  <si>
    <t>Star Shards</t>
  </si>
  <si>
    <t>7 glowing</t>
  </si>
  <si>
    <t>Steel Breastplate</t>
  </si>
  <si>
    <t>Decorative armor made from steel.</t>
  </si>
  <si>
    <t>Iron Bar</t>
  </si>
  <si>
    <t>2 defense, protective ring</t>
  </si>
  <si>
    <t>1 speed, -8 defense, Lewis disapproves (Island: 1.51 Popularity)</t>
  </si>
  <si>
    <t>Store Owner's Jacket</t>
  </si>
  <si>
    <t>A jacket that looks like it'd be worn by a small town merchant.</t>
  </si>
  <si>
    <t>Fried Calamari</t>
  </si>
  <si>
    <t>10% Pierre discount</t>
  </si>
  <si>
    <t>Strapped Top</t>
  </si>
  <si>
    <t>A top with a thin strap.</t>
  </si>
  <si>
    <t>Coral Nautilus Shell Sea Urchin</t>
  </si>
  <si>
    <t>Striped Shirt</t>
  </si>
  <si>
    <t>It's a shirt with faint stripes on it.</t>
  </si>
  <si>
    <t>Corn</t>
  </si>
  <si>
    <t>(On dwarf talk: 150 gold), 1.17 Popularity</t>
  </si>
  <si>
    <t>Studded Vest</t>
  </si>
  <si>
    <t>A black vest studded with metal spikes.</t>
  </si>
  <si>
    <t>Obsidian</t>
  </si>
  <si>
    <t>Spikey(10), 2 attack</t>
  </si>
  <si>
    <t>Sugar Shirt</t>
  </si>
  <si>
    <t>It's bursting with 'sweet energy'.</t>
  </si>
  <si>
    <t>Sugar</t>
  </si>
  <si>
    <t>Suit Top</t>
  </si>
  <si>
    <t>A formal top for fancy events and celebrations.</t>
  </si>
  <si>
    <t>Bouquet</t>
  </si>
  <si>
    <t>(wedding: popularity, 4 speed, 6 luck)</t>
  </si>
  <si>
    <t>Sunset Shirt</t>
  </si>
  <si>
    <t>A shirt inspired by the most evocative time of day.</t>
  </si>
  <si>
    <t>Glazed Yams</t>
  </si>
  <si>
    <t>(4pm to 8pm: 1 speed, 7 defense)</t>
  </si>
  <si>
    <t>Emily's Magic Shirt</t>
  </si>
  <si>
    <t>Made with love by Emily. Colored with all-natural dye!</t>
  </si>
  <si>
    <t>Emily 14 heart event</t>
  </si>
  <si>
    <t>Tan Striped Shirt</t>
  </si>
  <si>
    <t>A tan shirt with a white stripe going through the middle of it.</t>
  </si>
  <si>
    <t>Sap</t>
  </si>
  <si>
    <t>Tank Top</t>
  </si>
  <si>
    <t>A sleeveless shirt.</t>
  </si>
  <si>
    <t>Radish Red Cabbage Summer Squash</t>
  </si>
  <si>
    <t>Tea Shirt</t>
  </si>
  <si>
    <t>A shirt inspired by the popular beverage.</t>
  </si>
  <si>
    <t>Green Tea</t>
  </si>
  <si>
    <t>Toasted Shirt</t>
  </si>
  <si>
    <t>It looks lightly toasted.</t>
  </si>
  <si>
    <t>Cheese Cauliflower</t>
  </si>
  <si>
    <t>Toga Shirt</t>
  </si>
  <si>
    <t>It's an old design, but the airflow is really nice!</t>
  </si>
  <si>
    <t>Marble</t>
  </si>
  <si>
    <t>Tomato Shirt</t>
  </si>
  <si>
    <t>A shirt that answers the big question: 'Tomatoes are'... (but the rest is smudged).</t>
  </si>
  <si>
    <t>Tomato</t>
  </si>
  <si>
    <t>1.4x farming xp</t>
  </si>
  <si>
    <t>Tortilla Shirt</t>
  </si>
  <si>
    <t>A shirt that looks like the surface of a tortilla.</t>
  </si>
  <si>
    <t>Tortilla</t>
  </si>
  <si>
    <t>1.17 Popularity (On lewis talk: 50 stamina)</t>
  </si>
  <si>
    <t>Track Jacket</t>
  </si>
  <si>
    <t>A light jacket made from elastic material.</t>
  </si>
  <si>
    <t>Pancakes</t>
  </si>
  <si>
    <t xml:space="preserve">2 speed, -50 MaxHealth, 30 max energy, 1 still stamina regen </t>
  </si>
  <si>
    <t>Trash Can Shirt</t>
  </si>
  <si>
    <t>You're wearing a trash can.</t>
  </si>
  <si>
    <r>
      <rPr>
        <rFont val="Arial"/>
        <color rgb="FF202122"/>
        <sz val="11.0"/>
      </rPr>
      <t>Broken CD</t>
    </r>
    <r>
      <rPr>
        <rFont val="Arial"/>
        <color rgb="FF202122"/>
        <sz val="11.0"/>
      </rPr>
      <t xml:space="preserve"> </t>
    </r>
    <r>
      <rPr>
        <rFont val="Arial"/>
        <color rgb="FF202122"/>
        <sz val="11.0"/>
      </rPr>
      <t>Broken Glasses</t>
    </r>
    <r>
      <rPr>
        <rFont val="Arial"/>
        <color rgb="FF202122"/>
        <sz val="11.0"/>
      </rPr>
      <t xml:space="preserve"> </t>
    </r>
    <r>
      <rPr>
        <rFont val="Arial"/>
        <color rgb="FF202122"/>
        <sz val="11.0"/>
      </rPr>
      <t>Driftwood</t>
    </r>
    <r>
      <rPr>
        <rFont val="Arial"/>
        <color rgb="FF202122"/>
        <sz val="11.0"/>
      </rPr>
      <t xml:space="preserve"> </t>
    </r>
    <r>
      <rPr>
        <rFont val="Arial"/>
        <color rgb="FF202122"/>
        <sz val="11.0"/>
      </rPr>
      <t>Soggy Newspaper</t>
    </r>
    <r>
      <rPr>
        <rFont val="Arial"/>
        <color rgb="FF202122"/>
        <sz val="11.0"/>
      </rPr>
      <t xml:space="preserve"> </t>
    </r>
    <r>
      <rPr>
        <rFont val="Arial"/>
        <color rgb="FF202122"/>
        <sz val="11.0"/>
      </rPr>
      <t>Trash (item)</t>
    </r>
  </si>
  <si>
    <t>Recyler, 4 defense</t>
  </si>
  <si>
    <t>Trinket Shirt</t>
  </si>
  <si>
    <t>A shirt with large colored glass orbs attached to it.</t>
  </si>
  <si>
    <t>Artifact Trove</t>
  </si>
  <si>
    <t>Tropical Sunrise Shirt</t>
  </si>
  <si>
    <t>This shirt smells like coconut.</t>
  </si>
  <si>
    <t>Tropical Curry</t>
  </si>
  <si>
    <t>1.17 Popularity, 1.5x Attack, 1.5x Crit chance, 2x Weapon Speed, Parry Boost, Mercenery (Clear day: 1 speed)</t>
  </si>
  <si>
    <t>(6am-11am: oil of garlic, 1 speed), (while on island: 1 speed, ores from rocks)</t>
  </si>
  <si>
    <t>Tube Top</t>
  </si>
  <si>
    <t>A strapless top that wraps around the body.</t>
  </si>
  <si>
    <t>Sea Cucumber Super Cucumber</t>
  </si>
  <si>
    <t>Tunnelers Jersey</t>
  </si>
  <si>
    <t>It's a jersey for the Zuzu City Tunnelers.</t>
  </si>
  <si>
    <t>Pepper Poppers</t>
  </si>
  <si>
    <t>Turtleneck Sweater</t>
  </si>
  <si>
    <t>Keep that neck piping hot.</t>
  </si>
  <si>
    <r>
      <rPr>
        <rFont val="Arial"/>
        <color rgb="FF202122"/>
        <sz val="11.0"/>
      </rPr>
      <t>Copper Ore</t>
    </r>
    <r>
      <rPr>
        <rFont val="Arial"/>
        <color rgb="FF202122"/>
        <sz val="11.0"/>
      </rPr>
      <t xml:space="preserve"> </t>
    </r>
    <r>
      <rPr>
        <rFont val="Arial"/>
        <color rgb="FF202122"/>
        <sz val="11.0"/>
      </rPr>
      <t>Gold Ore</t>
    </r>
    <r>
      <rPr>
        <rFont val="Arial"/>
        <color rgb="FF202122"/>
        <sz val="11.0"/>
      </rPr>
      <t xml:space="preserve"> </t>
    </r>
    <r>
      <rPr>
        <rFont val="Arial"/>
        <color rgb="FF202122"/>
        <sz val="11.0"/>
      </rPr>
      <t>Iron Ore</t>
    </r>
    <r>
      <rPr>
        <rFont val="Arial"/>
        <color rgb="FF202122"/>
        <sz val="11.0"/>
      </rPr>
      <t xml:space="preserve"> </t>
    </r>
    <r>
      <rPr>
        <rFont val="Arial"/>
        <color rgb="FF202122"/>
        <sz val="11.0"/>
      </rPr>
      <t>Radioactive Ore</t>
    </r>
  </si>
  <si>
    <t>Tye Die Shirt</t>
  </si>
  <si>
    <t>A shirt that was tied up and then dipped into multiple colored dyes.</t>
  </si>
  <si>
    <t>5x weapon speed, Parry Boost, 1 health regen, 1 stamina regen</t>
  </si>
  <si>
    <t>Vacation Shirt</t>
  </si>
  <si>
    <t>It's a tourist shirt from the Fern Islands.</t>
  </si>
  <si>
    <t>Coconut</t>
  </si>
  <si>
    <t>Vintage Polo</t>
  </si>
  <si>
    <t>It's faded from age and smells like old closet.</t>
  </si>
  <si>
    <t>Hematite</t>
  </si>
  <si>
    <t>25 friendship on george/evelyn talk</t>
  </si>
  <si>
    <t>Warm Flannel Shirt</t>
  </si>
  <si>
    <t>A flannel shirt with a warm brown and rose color.</t>
  </si>
  <si>
    <t>Wheat Flour</t>
  </si>
  <si>
    <t>White Dot Shirt</t>
  </si>
  <si>
    <t>A dyeable shirt with white polka dots.</t>
  </si>
  <si>
    <t>Poppyseed Muffin</t>
  </si>
  <si>
    <t>White Gi</t>
  </si>
  <si>
    <t>Pale Broth</t>
  </si>
  <si>
    <t>2 defense, 3 attack, 1.5x crit chance</t>
  </si>
  <si>
    <t>White Overalls</t>
  </si>
  <si>
    <t>A nice clean variant of the classic farmer look.</t>
  </si>
  <si>
    <t>Rice</t>
  </si>
  <si>
    <t>White Overalls Shirt</t>
  </si>
  <si>
    <t>Classic overalls with a white shirt and belt.</t>
  </si>
  <si>
    <t>Milk</t>
  </si>
  <si>
    <t>Autopet all, loving rancher</t>
  </si>
  <si>
    <t>Work Shirt</t>
  </si>
  <si>
    <t>For long days in the fields.</t>
  </si>
  <si>
    <t>Stone</t>
  </si>
  <si>
    <r>
      <rPr>
        <rFont val="Arial"/>
        <color rgb="FF202122"/>
        <sz val="11.0"/>
      </rPr>
      <t>Carrot</t>
    </r>
    <r>
      <rPr>
        <rFont val="Arial"/>
        <color rgb="FF202122"/>
        <sz val="11.0"/>
      </rPr>
      <t xml:space="preserve"> </t>
    </r>
    <r>
      <rPr>
        <rFont val="Arial"/>
        <color rgb="FF202122"/>
        <sz val="11.0"/>
      </rPr>
      <t>Cauliflower</t>
    </r>
    <r>
      <rPr>
        <rFont val="Arial"/>
        <color rgb="FF202122"/>
        <sz val="11.0"/>
      </rPr>
      <t xml:space="preserve"> </t>
    </r>
    <r>
      <rPr>
        <rFont val="Arial"/>
        <color rgb="FF202122"/>
        <sz val="11.0"/>
      </rPr>
      <t>Garlic</t>
    </r>
    <r>
      <rPr>
        <rFont val="Arial"/>
        <color rgb="FF202122"/>
        <sz val="11.0"/>
      </rPr>
      <t xml:space="preserve"> </t>
    </r>
    <r>
      <rPr>
        <rFont val="Arial"/>
        <color rgb="FF202122"/>
        <sz val="11.0"/>
      </rPr>
      <t>Green Bean</t>
    </r>
    <r>
      <rPr>
        <rFont val="Arial"/>
        <color rgb="FF202122"/>
        <sz val="11.0"/>
      </rPr>
      <t xml:space="preserve"> </t>
    </r>
    <r>
      <rPr>
        <rFont val="Arial"/>
        <color rgb="FF202122"/>
        <sz val="11.0"/>
      </rPr>
      <t>Hops</t>
    </r>
    <r>
      <rPr>
        <rFont val="Arial"/>
        <color rgb="FF202122"/>
        <sz val="11.0"/>
      </rPr>
      <t xml:space="preserve"> </t>
    </r>
    <r>
      <rPr>
        <rFont val="Arial"/>
        <color rgb="FF202122"/>
        <sz val="11.0"/>
      </rPr>
      <t>Kale</t>
    </r>
    <r>
      <rPr>
        <rFont val="Arial"/>
        <color rgb="FF202122"/>
        <sz val="11.0"/>
      </rPr>
      <t xml:space="preserve"> </t>
    </r>
    <r>
      <rPr>
        <rFont val="Arial"/>
        <color rgb="FF202122"/>
        <sz val="11.0"/>
      </rPr>
      <t>Parsnip</t>
    </r>
    <r>
      <rPr>
        <rFont val="Arial"/>
        <color rgb="FF202122"/>
        <sz val="11.0"/>
      </rPr>
      <t xml:space="preserve"> </t>
    </r>
    <r>
      <rPr>
        <rFont val="Arial"/>
        <color rgb="FF202122"/>
        <sz val="11.0"/>
      </rPr>
      <t>Potato</t>
    </r>
    <r>
      <rPr>
        <rFont val="Arial"/>
        <color rgb="FF202122"/>
        <sz val="11.0"/>
      </rPr>
      <t xml:space="preserve"> </t>
    </r>
    <r>
      <rPr>
        <rFont val="Arial"/>
        <color rgb="FF202122"/>
        <sz val="11.0"/>
      </rPr>
      <t>Taro Root</t>
    </r>
    <r>
      <rPr>
        <rFont val="Arial"/>
        <color rgb="FF202122"/>
        <sz val="11.0"/>
      </rPr>
      <t xml:space="preserve"> </t>
    </r>
    <r>
      <rPr>
        <rFont val="Arial"/>
        <color rgb="FF202122"/>
        <sz val="11.0"/>
      </rPr>
      <t>Tea Leaves</t>
    </r>
    <r>
      <rPr>
        <rFont val="Arial"/>
        <color rgb="FF202122"/>
        <sz val="11.0"/>
      </rPr>
      <t xml:space="preserve"> </t>
    </r>
    <r>
      <rPr>
        <rFont val="Arial"/>
        <color rgb="FF202122"/>
        <sz val="11.0"/>
      </rPr>
      <t>Unmilled Rice</t>
    </r>
  </si>
  <si>
    <t>Wumbus Shirt</t>
  </si>
  <si>
    <t>A shirt featuring a strange green guy.</t>
  </si>
  <si>
    <t>Strange Doll (green)</t>
  </si>
  <si>
    <t>(Green rain: 6 speed and 5x crit chance)</t>
  </si>
  <si>
    <t>Yellow and Green Shirt</t>
  </si>
  <si>
    <t>A yellow shirt with a green stripe.</t>
  </si>
  <si>
    <t>Omelet</t>
  </si>
  <si>
    <t>Yellow Suit</t>
  </si>
  <si>
    <t>It's a bold statement to wear this suit.</t>
  </si>
  <si>
    <t>Mango Sticky Rice</t>
  </si>
  <si>
    <t>10% discount at most stores</t>
  </si>
  <si>
    <t>Yoba Shirt</t>
  </si>
  <si>
    <t>A shirt featuring a prominent 'sign of the vessel'.</t>
  </si>
  <si>
    <t>Pyramid Decal</t>
  </si>
  <si>
    <t>Yoba ring, auto revive</t>
  </si>
  <si>
    <t>Surveyer Shirt</t>
  </si>
  <si>
    <t>55 health, 3 rainbow glow</t>
  </si>
  <si>
    <t>2 foraging, professional forager, 1 speed</t>
  </si>
  <si>
    <t>55 energy, 3 rainbow glow</t>
  </si>
  <si>
    <t>Name</t>
  </si>
  <si>
    <t>Recipe (Cloth + )</t>
  </si>
  <si>
    <t>At Start?</t>
  </si>
  <si>
    <t>Tier</t>
  </si>
  <si>
    <t>Farmer Pants</t>
  </si>
  <si>
    <t>Comfortable and durable for long hours in the field.</t>
  </si>
  <si>
    <r>
      <rPr>
        <rFont val="Arial"/>
        <color rgb="FF202122"/>
        <sz val="11.0"/>
      </rPr>
      <t>Cranberries</t>
    </r>
    <r>
      <rPr>
        <rFont val="Arial"/>
        <color rgb="FF202122"/>
        <sz val="11.0"/>
      </rPr>
      <t xml:space="preserve">, </t>
    </r>
    <r>
      <rPr>
        <rFont val="Arial"/>
        <color rgb="FF202122"/>
        <sz val="11.0"/>
      </rPr>
      <t>Pineapple</t>
    </r>
    <r>
      <rPr>
        <rFont val="Arial"/>
        <color rgb="FF202122"/>
        <sz val="11.0"/>
      </rPr>
      <t xml:space="preserve">, </t>
    </r>
    <r>
      <rPr>
        <rFont val="Arial"/>
        <color rgb="FF202122"/>
        <sz val="11.0"/>
      </rPr>
      <t>Powdermelon</t>
    </r>
    <r>
      <rPr>
        <rFont val="Arial"/>
        <color rgb="FF202122"/>
        <sz val="11.0"/>
      </rPr>
      <t xml:space="preserve">, </t>
    </r>
    <r>
      <rPr>
        <rFont val="Arial"/>
        <color rgb="FF202122"/>
        <sz val="11.0"/>
      </rPr>
      <t>Strawberry</t>
    </r>
    <r>
      <rPr>
        <rFont val="Arial"/>
        <color rgb="FF202122"/>
        <sz val="11.0"/>
      </rPr>
      <t xml:space="preserve">, </t>
    </r>
    <r>
      <rPr>
        <rFont val="Arial"/>
        <color rgb="FF202122"/>
        <sz val="11.0"/>
      </rPr>
      <t>Wild Plum</t>
    </r>
  </si>
  <si>
    <t>1 farming, 1.15x farming xp</t>
  </si>
  <si>
    <t>Shorts</t>
  </si>
  <si>
    <t>Perfect for a hot summer's day... your legs will thank you.</t>
  </si>
  <si>
    <r>
      <rPr>
        <rFont val="Arial"/>
        <color rgb="FF202122"/>
        <sz val="11.0"/>
      </rPr>
      <t>Bone Fragment</t>
    </r>
    <r>
      <rPr>
        <rFont val="Arial"/>
        <color rgb="FF202122"/>
        <sz val="11.0"/>
      </rPr>
      <t xml:space="preserve"> </t>
    </r>
    <r>
      <rPr>
        <rFont val="Arial"/>
        <color rgb="FF202122"/>
        <sz val="11.0"/>
      </rPr>
      <t>Fossilized Leg</t>
    </r>
    <r>
      <rPr>
        <rFont val="Arial"/>
        <color rgb="FF202122"/>
        <sz val="11.0"/>
      </rPr>
      <t xml:space="preserve"> </t>
    </r>
    <r>
      <rPr>
        <rFont val="Arial"/>
        <color rgb="FF202122"/>
        <sz val="11.0"/>
      </rPr>
      <t>Fossilized Ribs</t>
    </r>
    <r>
      <rPr>
        <rFont val="Arial"/>
        <color rgb="FF202122"/>
        <sz val="11.0"/>
      </rPr>
      <t xml:space="preserve"> </t>
    </r>
    <r>
      <rPr>
        <rFont val="Arial"/>
        <color rgb="FF202122"/>
        <sz val="11.0"/>
      </rPr>
      <t>Fossilized Skull</t>
    </r>
    <r>
      <rPr>
        <rFont val="Arial"/>
        <color rgb="FF202122"/>
        <sz val="11.0"/>
      </rPr>
      <t xml:space="preserve"> </t>
    </r>
    <r>
      <rPr>
        <rFont val="Arial"/>
        <color rgb="FF202122"/>
        <sz val="11.0"/>
      </rPr>
      <t>Fossilized Spine</t>
    </r>
    <r>
      <rPr>
        <rFont val="Arial"/>
        <color rgb="FF202122"/>
        <sz val="11.0"/>
      </rPr>
      <t xml:space="preserve"> </t>
    </r>
    <r>
      <rPr>
        <rFont val="Arial"/>
        <color rgb="FF202122"/>
        <sz val="11.0"/>
      </rPr>
      <t>Fossilized Tail</t>
    </r>
    <r>
      <rPr>
        <rFont val="Arial"/>
        <color rgb="FF202122"/>
        <sz val="11.0"/>
      </rPr>
      <t xml:space="preserve"> </t>
    </r>
    <r>
      <rPr>
        <rFont val="Arial"/>
        <color rgb="FF202122"/>
        <sz val="11.0"/>
      </rPr>
      <t>Mummified Bat</t>
    </r>
    <r>
      <rPr>
        <rFont val="Arial"/>
        <color rgb="FF202122"/>
        <sz val="11.0"/>
      </rPr>
      <t xml:space="preserve"> </t>
    </r>
    <r>
      <rPr>
        <rFont val="Arial"/>
        <color rgb="FF202122"/>
        <sz val="11.0"/>
      </rPr>
      <t>Mummified Frog</t>
    </r>
    <r>
      <rPr>
        <rFont val="Arial"/>
        <color rgb="FF202122"/>
        <sz val="11.0"/>
      </rPr>
      <t xml:space="preserve"> </t>
    </r>
    <r>
      <rPr>
        <rFont val="Arial"/>
        <color rgb="FF202122"/>
        <sz val="11.0"/>
      </rPr>
      <t>Prehistoric Rib</t>
    </r>
    <r>
      <rPr>
        <rFont val="Arial"/>
        <color rgb="FF202122"/>
        <sz val="11.0"/>
      </rPr>
      <t xml:space="preserve"> </t>
    </r>
    <r>
      <rPr>
        <rFont val="Arial"/>
        <color rgb="FF202122"/>
        <sz val="11.0"/>
      </rPr>
      <t>Prehistoric Scapula</t>
    </r>
    <r>
      <rPr>
        <rFont val="Arial"/>
        <color rgb="FF202122"/>
        <sz val="11.0"/>
      </rPr>
      <t xml:space="preserve"> </t>
    </r>
    <r>
      <rPr>
        <rFont val="Arial"/>
        <color rgb="FF202122"/>
        <sz val="11.0"/>
      </rPr>
      <t>Prehistoric Vertebra</t>
    </r>
    <r>
      <rPr>
        <rFont val="Arial"/>
        <color rgb="FF202122"/>
        <sz val="11.0"/>
      </rPr>
      <t xml:space="preserve"> </t>
    </r>
    <r>
      <rPr>
        <rFont val="Arial"/>
        <color rgb="FF202122"/>
        <sz val="11.0"/>
      </rPr>
      <t>Skeletal Hand</t>
    </r>
    <r>
      <rPr>
        <rFont val="Arial"/>
        <color rgb="FF202122"/>
        <sz val="11.0"/>
      </rPr>
      <t xml:space="preserve"> </t>
    </r>
    <r>
      <rPr>
        <rFont val="Arial"/>
        <color rgb="FF202122"/>
        <sz val="11.0"/>
      </rPr>
      <t>Skeletal Tail</t>
    </r>
    <r>
      <rPr>
        <rFont val="Arial"/>
        <color rgb="FF202122"/>
        <sz val="11.0"/>
      </rPr>
      <t xml:space="preserve"> </t>
    </r>
    <r>
      <rPr>
        <rFont val="Arial"/>
        <color rgb="FF202122"/>
        <sz val="11.0"/>
      </rPr>
      <t>Snake Skull</t>
    </r>
    <r>
      <rPr>
        <rFont val="Arial"/>
        <color rgb="FF202122"/>
        <sz val="11.0"/>
      </rPr>
      <t xml:space="preserve"> </t>
    </r>
    <r>
      <rPr>
        <rFont val="Arial"/>
        <color rgb="FF202122"/>
        <sz val="11.0"/>
      </rPr>
      <t>Snake Vertebrae</t>
    </r>
  </si>
  <si>
    <r>
      <rPr>
        <rFont val="Arial"/>
        <color rgb="FF202122"/>
        <sz val="11.0"/>
      </rPr>
      <t>Blueberry</t>
    </r>
    <r>
      <rPr>
        <rFont val="Arial"/>
        <color rgb="FF202122"/>
        <sz val="11.0"/>
      </rPr>
      <t xml:space="preserve">, </t>
    </r>
    <r>
      <rPr>
        <rFont val="Arial"/>
        <color rgb="FF202122"/>
        <sz val="11.0"/>
      </rPr>
      <t>Grape</t>
    </r>
    <r>
      <rPr>
        <rFont val="Arial"/>
        <color rgb="FF202122"/>
        <sz val="11.0"/>
      </rPr>
      <t xml:space="preserve">, </t>
    </r>
    <r>
      <rPr>
        <rFont val="Arial"/>
        <color rgb="FF202122"/>
        <sz val="11.0"/>
      </rPr>
      <t>Hot, Pepper</t>
    </r>
    <r>
      <rPr>
        <rFont val="Arial"/>
        <color rgb="FF202122"/>
        <sz val="11.0"/>
      </rPr>
      <t xml:space="preserve">, </t>
    </r>
    <r>
      <rPr>
        <rFont val="Arial"/>
        <color rgb="FF202122"/>
        <sz val="11.0"/>
      </rPr>
      <t>Melon</t>
    </r>
  </si>
  <si>
    <t>1 foraging, 1.15x foraging xp</t>
  </si>
  <si>
    <t>Long Dress</t>
  </si>
  <si>
    <t>A long, flowy dress.</t>
  </si>
  <si>
    <r>
      <rPr>
        <rFont val="Arial"/>
        <color rgb="FF202122"/>
        <sz val="11.0"/>
      </rPr>
      <t>Fairy Rose</t>
    </r>
    <r>
      <rPr>
        <rFont val="Arial"/>
        <color rgb="FF202122"/>
        <sz val="11.0"/>
      </rPr>
      <t xml:space="preserve">, </t>
    </r>
    <r>
      <rPr>
        <rFont val="Arial"/>
        <color rgb="FF202122"/>
        <sz val="11.0"/>
      </rPr>
      <t>Sunflower</t>
    </r>
  </si>
  <si>
    <t>1 mining, 1.15x mining xp</t>
  </si>
  <si>
    <t>Skirt</t>
  </si>
  <si>
    <t>A cute skirt.</t>
  </si>
  <si>
    <t>Blue Jazz Tulip</t>
  </si>
  <si>
    <r>
      <rPr>
        <rFont val="sans-serif"/>
        <color rgb="FF202122"/>
        <sz val="11.0"/>
      </rPr>
      <t>Emerald</t>
    </r>
  </si>
  <si>
    <t>1 fishing, 1.15x fishing xp</t>
  </si>
  <si>
    <t>Pleated Skirt</t>
  </si>
  <si>
    <t>A cute pleated skirt.</t>
  </si>
  <si>
    <r>
      <rPr>
        <rFont val="Arial"/>
        <color rgb="FF202122"/>
        <sz val="11.0"/>
      </rPr>
      <t>Poppy</t>
    </r>
    <r>
      <rPr>
        <rFont val="Arial"/>
        <color rgb="FF202122"/>
        <sz val="11.0"/>
      </rPr>
      <t xml:space="preserve">, </t>
    </r>
    <r>
      <rPr>
        <rFont val="Arial"/>
        <color rgb="FF202122"/>
        <sz val="11.0"/>
      </rPr>
      <t>Summer, Spangle</t>
    </r>
  </si>
  <si>
    <t>-1 defense, 1 speed</t>
  </si>
  <si>
    <t>Dinosaur Pants</t>
  </si>
  <si>
    <t>These pants were thought to have gone extinct a long time ago!</t>
  </si>
  <si>
    <t>Dinosaur Mayonnaise</t>
  </si>
  <si>
    <t>3 defense, 4 attack, -1 speed</t>
  </si>
  <si>
    <t>Luau Skirt</t>
  </si>
  <si>
    <t>A skirt destined to make you the 'luau' the party!</t>
  </si>
  <si>
    <t>5% dodge chance</t>
  </si>
  <si>
    <t>Grass Skirt</t>
  </si>
  <si>
    <t>A skirt made of dried grass.</t>
  </si>
  <si>
    <t>Hay</t>
  </si>
  <si>
    <t>Sapping(5)</t>
  </si>
  <si>
    <t>Genie Pants</t>
  </si>
  <si>
    <t>Pants that balloon out near the bottom. Your wish has been answered!</t>
  </si>
  <si>
    <r>
      <rPr>
        <rFont val="Arial"/>
        <color rgb="FF202122"/>
        <sz val="11.0"/>
      </rPr>
      <t>Ancient Fruit</t>
    </r>
    <r>
      <rPr>
        <rFont val="Arial"/>
        <color rgb="FF202122"/>
        <sz val="11.0"/>
      </rPr>
      <t xml:space="preserve">, </t>
    </r>
    <r>
      <rPr>
        <rFont val="Arial"/>
        <color rgb="FF202122"/>
        <sz val="11.0"/>
      </rPr>
      <t>Starfruit</t>
    </r>
  </si>
  <si>
    <t>Vampirism 6, soul sapping 15, 8 attack, -12 defense, 1.17 popularity</t>
  </si>
  <si>
    <t>1 Luck</t>
  </si>
  <si>
    <t>Baggy Pants</t>
  </si>
  <si>
    <t>A loose pair of pants.</t>
  </si>
  <si>
    <t>Slime Egg (any color)</t>
  </si>
  <si>
    <t>2 combat, 1.2x combat xp</t>
  </si>
  <si>
    <t>Simple Dress</t>
  </si>
  <si>
    <t>A soft, smooth, medium length dress.</t>
  </si>
  <si>
    <t>Honey (any)</t>
  </si>
  <si>
    <t>1 attack, 1.1x crit chance</t>
  </si>
  <si>
    <t>Relaxed Fit Pants</t>
  </si>
  <si>
    <t>These pants have a little more room for the legs.</t>
  </si>
  <si>
    <r>
      <rPr>
        <rFont val="Arial"/>
        <color rgb="FF202122"/>
        <sz val="11.0"/>
      </rPr>
      <t>Apple</t>
    </r>
    <r>
      <rPr>
        <rFont val="Arial"/>
        <color rgb="FF202122"/>
        <sz val="11.0"/>
      </rPr>
      <t xml:space="preserve">, </t>
    </r>
    <r>
      <rPr>
        <rFont val="Arial"/>
        <color rgb="FF202122"/>
        <sz val="11.0"/>
      </rPr>
      <t>Apricot</t>
    </r>
    <r>
      <rPr>
        <rFont val="Arial"/>
        <color rgb="FF202122"/>
        <sz val="11.0"/>
      </rPr>
      <t xml:space="preserve">, </t>
    </r>
    <r>
      <rPr>
        <rFont val="Arial"/>
        <color rgb="FF202122"/>
        <sz val="11.0"/>
      </rPr>
      <t>Banana</t>
    </r>
    <r>
      <rPr>
        <rFont val="Arial"/>
        <color rgb="FF202122"/>
        <sz val="11.0"/>
      </rPr>
      <t xml:space="preserve">, </t>
    </r>
    <r>
      <rPr>
        <rFont val="Arial"/>
        <color rgb="FF202122"/>
        <sz val="11.0"/>
      </rPr>
      <t>Cherry</t>
    </r>
    <r>
      <rPr>
        <rFont val="Arial"/>
        <color rgb="FF202122"/>
        <sz val="11.0"/>
      </rPr>
      <t xml:space="preserve">, </t>
    </r>
    <r>
      <rPr>
        <rFont val="Arial"/>
        <color rgb="FF202122"/>
        <sz val="11.0"/>
      </rPr>
      <t>Mango</t>
    </r>
    <r>
      <rPr>
        <rFont val="Arial"/>
        <color rgb="FF202122"/>
        <sz val="11.0"/>
      </rPr>
      <t xml:space="preserve">, </t>
    </r>
    <r>
      <rPr>
        <rFont val="Arial"/>
        <color rgb="FF202122"/>
        <sz val="11.0"/>
      </rPr>
      <t>Pomegranate</t>
    </r>
  </si>
  <si>
    <t>2 defense, 1 attack</t>
  </si>
  <si>
    <t>Relaxed Fit Shorts</t>
  </si>
  <si>
    <t>These shorts have a little more room for the legs.</t>
  </si>
  <si>
    <r>
      <rPr>
        <rFont val="Arial"/>
        <color rgb="FF202122"/>
        <sz val="11.0"/>
      </rPr>
      <t>Orange</t>
    </r>
    <r>
      <rPr>
        <rFont val="Arial"/>
        <color rgb="FF202122"/>
        <sz val="11.0"/>
      </rPr>
      <t xml:space="preserve">, </t>
    </r>
    <r>
      <rPr>
        <rFont val="Arial"/>
        <color rgb="FF202122"/>
        <sz val="11.0"/>
      </rPr>
      <t>Peach</t>
    </r>
  </si>
  <si>
    <t>2 attack, 1 defense</t>
  </si>
  <si>
    <t>Prismatic Pants</t>
  </si>
  <si>
    <t>Pants that shimmer with prismatic energy.</t>
  </si>
  <si>
    <t>30 health, 3 rainbow glow</t>
  </si>
  <si>
    <t>Prismatic Genie Pants</t>
  </si>
  <si>
    <t>40 max energy, 3 rainbow glow</t>
  </si>
  <si>
    <t>Tight Fit Pants</t>
  </si>
  <si>
    <t>A very tight pair of pants</t>
  </si>
  <si>
    <t>1 speed, 1 attack, 1 defense, 1.1x attack</t>
  </si>
  <si>
    <t>Street Smarts</t>
  </si>
  <si>
    <t>Trimmed Lucky Purple Shorts</t>
  </si>
  <si>
    <t>Ayo</t>
  </si>
  <si>
    <t>Mayors shorts</t>
  </si>
  <si>
    <t>Popularity, Lewis Disapproves</t>
  </si>
  <si>
    <r>
      <rPr>
        <rFont val="Arial"/>
        <color rgb="FF202122"/>
        <sz val="11.0"/>
      </rPr>
      <t>Carrot</t>
    </r>
    <r>
      <rPr>
        <rFont val="Arial"/>
        <color rgb="FF202122"/>
        <sz val="11.0"/>
      </rPr>
      <t xml:space="preserve"> </t>
    </r>
    <r>
      <rPr>
        <rFont val="Arial"/>
        <color rgb="FF202122"/>
        <sz val="11.0"/>
      </rPr>
      <t>Cauliflower</t>
    </r>
    <r>
      <rPr>
        <rFont val="Arial"/>
        <color rgb="FF202122"/>
        <sz val="11.0"/>
      </rPr>
      <t xml:space="preserve"> </t>
    </r>
    <r>
      <rPr>
        <rFont val="Arial"/>
        <color rgb="FF202122"/>
        <sz val="11.0"/>
      </rPr>
      <t>Garlic</t>
    </r>
    <r>
      <rPr>
        <rFont val="Arial"/>
        <color rgb="FF202122"/>
        <sz val="11.0"/>
      </rPr>
      <t xml:space="preserve"> </t>
    </r>
    <r>
      <rPr>
        <rFont val="Arial"/>
        <color rgb="FF202122"/>
        <sz val="11.0"/>
      </rPr>
      <t>Green Bean</t>
    </r>
    <r>
      <rPr>
        <rFont val="Arial"/>
        <color rgb="FF202122"/>
        <sz val="11.0"/>
      </rPr>
      <t xml:space="preserve"> </t>
    </r>
    <r>
      <rPr>
        <rFont val="Arial"/>
        <color rgb="FF202122"/>
        <sz val="11.0"/>
      </rPr>
      <t>Hops</t>
    </r>
    <r>
      <rPr>
        <rFont val="Arial"/>
        <color rgb="FF202122"/>
        <sz val="11.0"/>
      </rPr>
      <t xml:space="preserve"> </t>
    </r>
    <r>
      <rPr>
        <rFont val="Arial"/>
        <color rgb="FF202122"/>
        <sz val="11.0"/>
      </rPr>
      <t>Kale</t>
    </r>
    <r>
      <rPr>
        <rFont val="Arial"/>
        <color rgb="FF202122"/>
        <sz val="11.0"/>
      </rPr>
      <t xml:space="preserve"> </t>
    </r>
    <r>
      <rPr>
        <rFont val="Arial"/>
        <color rgb="FF202122"/>
        <sz val="11.0"/>
      </rPr>
      <t>Parsnip</t>
    </r>
    <r>
      <rPr>
        <rFont val="Arial"/>
        <color rgb="FF202122"/>
        <sz val="11.0"/>
      </rPr>
      <t xml:space="preserve"> </t>
    </r>
    <r>
      <rPr>
        <rFont val="Arial"/>
        <color rgb="FF202122"/>
        <sz val="11.0"/>
      </rPr>
      <t>Potato</t>
    </r>
    <r>
      <rPr>
        <rFont val="Arial"/>
        <color rgb="FF202122"/>
        <sz val="11.0"/>
      </rPr>
      <t xml:space="preserve"> </t>
    </r>
    <r>
      <rPr>
        <rFont val="Arial"/>
        <color rgb="FF202122"/>
        <sz val="11.0"/>
      </rPr>
      <t>Taro Root</t>
    </r>
    <r>
      <rPr>
        <rFont val="Arial"/>
        <color rgb="FF202122"/>
        <sz val="11.0"/>
      </rPr>
      <t xml:space="preserve"> </t>
    </r>
    <r>
      <rPr>
        <rFont val="Arial"/>
        <color rgb="FF202122"/>
        <sz val="11.0"/>
      </rPr>
      <t>Tea Leaves</t>
    </r>
    <r>
      <rPr>
        <rFont val="Arial"/>
        <color rgb="FF202122"/>
        <sz val="11.0"/>
      </rPr>
      <t xml:space="preserve"> </t>
    </r>
    <r>
      <rPr>
        <rFont val="Arial"/>
        <color rgb="FF202122"/>
        <sz val="11.0"/>
      </rPr>
      <t>Unmilled Rice</t>
    </r>
  </si>
  <si>
    <t>Sneakers</t>
  </si>
  <si>
    <t>1.4x weapon speed</t>
  </si>
  <si>
    <t>Rubber Boots</t>
  </si>
  <si>
    <t>Slime charmer ring</t>
  </si>
  <si>
    <t>Leather Boots</t>
  </si>
  <si>
    <t>1 still stamina regen</t>
  </si>
  <si>
    <t>Worker Boots</t>
  </si>
  <si>
    <t>2 magnetism</t>
  </si>
  <si>
    <t>Combat Boots</t>
  </si>
  <si>
    <t>Parry boost</t>
  </si>
  <si>
    <t>Tundra Boots</t>
  </si>
  <si>
    <t>1 mining</t>
  </si>
  <si>
    <t>Thermal Boots</t>
  </si>
  <si>
    <r>
      <rPr>
        <rFont val="Arial"/>
        <color rgb="FF202122"/>
        <sz val="11.0"/>
      </rPr>
      <t>Carrot</t>
    </r>
    <r>
      <rPr>
        <rFont val="Arial"/>
        <color rgb="FF202122"/>
        <sz val="11.0"/>
      </rPr>
      <t xml:space="preserve"> </t>
    </r>
    <r>
      <rPr>
        <rFont val="Arial"/>
        <color rgb="FF202122"/>
        <sz val="11.0"/>
      </rPr>
      <t>Cauliflower</t>
    </r>
    <r>
      <rPr>
        <rFont val="Arial"/>
        <color rgb="FF202122"/>
        <sz val="11.0"/>
      </rPr>
      <t xml:space="preserve"> </t>
    </r>
    <r>
      <rPr>
        <rFont val="Arial"/>
        <color rgb="FF202122"/>
        <sz val="11.0"/>
      </rPr>
      <t>Garlic</t>
    </r>
    <r>
      <rPr>
        <rFont val="Arial"/>
        <color rgb="FF202122"/>
        <sz val="11.0"/>
      </rPr>
      <t xml:space="preserve"> </t>
    </r>
    <r>
      <rPr>
        <rFont val="Arial"/>
        <color rgb="FF202122"/>
        <sz val="11.0"/>
      </rPr>
      <t>Green Bean</t>
    </r>
    <r>
      <rPr>
        <rFont val="Arial"/>
        <color rgb="FF202122"/>
        <sz val="11.0"/>
      </rPr>
      <t xml:space="preserve"> </t>
    </r>
    <r>
      <rPr>
        <rFont val="Arial"/>
        <color rgb="FF202122"/>
        <sz val="11.0"/>
      </rPr>
      <t>Hops</t>
    </r>
    <r>
      <rPr>
        <rFont val="Arial"/>
        <color rgb="FF202122"/>
        <sz val="11.0"/>
      </rPr>
      <t xml:space="preserve"> </t>
    </r>
    <r>
      <rPr>
        <rFont val="Arial"/>
        <color rgb="FF202122"/>
        <sz val="11.0"/>
      </rPr>
      <t>Kale</t>
    </r>
    <r>
      <rPr>
        <rFont val="Arial"/>
        <color rgb="FF202122"/>
        <sz val="11.0"/>
      </rPr>
      <t xml:space="preserve"> </t>
    </r>
    <r>
      <rPr>
        <rFont val="Arial"/>
        <color rgb="FF202122"/>
        <sz val="11.0"/>
      </rPr>
      <t>Parsnip</t>
    </r>
    <r>
      <rPr>
        <rFont val="Arial"/>
        <color rgb="FF202122"/>
        <sz val="11.0"/>
      </rPr>
      <t xml:space="preserve"> </t>
    </r>
    <r>
      <rPr>
        <rFont val="Arial"/>
        <color rgb="FF202122"/>
        <sz val="11.0"/>
      </rPr>
      <t>Potato</t>
    </r>
    <r>
      <rPr>
        <rFont val="Arial"/>
        <color rgb="FF202122"/>
        <sz val="11.0"/>
      </rPr>
      <t xml:space="preserve"> </t>
    </r>
    <r>
      <rPr>
        <rFont val="Arial"/>
        <color rgb="FF202122"/>
        <sz val="11.0"/>
      </rPr>
      <t>Taro Root</t>
    </r>
    <r>
      <rPr>
        <rFont val="Arial"/>
        <color rgb="FF202122"/>
        <sz val="11.0"/>
      </rPr>
      <t xml:space="preserve"> </t>
    </r>
    <r>
      <rPr>
        <rFont val="Arial"/>
        <color rgb="FF202122"/>
        <sz val="11.0"/>
      </rPr>
      <t>Tea Leaves</t>
    </r>
    <r>
      <rPr>
        <rFont val="Arial"/>
        <color rgb="FF202122"/>
        <sz val="11.0"/>
      </rPr>
      <t xml:space="preserve"> </t>
    </r>
    <r>
      <rPr>
        <rFont val="Arial"/>
        <color rgb="FF202122"/>
        <sz val="11.0"/>
      </rPr>
      <t>Unmilled Rice</t>
    </r>
  </si>
  <si>
    <t>Firewalker boots</t>
  </si>
  <si>
    <t>35 max energy</t>
  </si>
  <si>
    <t>Space boots</t>
  </si>
  <si>
    <t>10% crit chance</t>
  </si>
  <si>
    <t>Cowboy Boots</t>
  </si>
  <si>
    <t>Cinderclown shoes</t>
  </si>
  <si>
    <t>1 luck, 5 magnetism</t>
  </si>
  <si>
    <t>Leprechaun Shoes</t>
  </si>
  <si>
    <t>Dark Boots</t>
  </si>
  <si>
    <t>1.35x attack boost</t>
  </si>
  <si>
    <t>DaragonScale Boots</t>
  </si>
  <si>
    <t>5% crit chance, 20% crit damage</t>
  </si>
  <si>
    <t>Mermaid Boots</t>
  </si>
  <si>
    <t>2 fishing, 2 immunity</t>
  </si>
  <si>
    <t>Crystal Shoes</t>
  </si>
  <si>
    <t>1 speed, 30 weapon speed</t>
  </si>
  <si>
    <t>Effect List</t>
  </si>
  <si>
    <t>Dependent (changing) factor</t>
  </si>
  <si>
    <t>LessImpactfulClothes?</t>
  </si>
  <si>
    <t>Value</t>
  </si>
  <si>
    <t>Info</t>
  </si>
  <si>
    <t>New?</t>
  </si>
  <si>
    <t>Speed</t>
  </si>
  <si>
    <t>x amount</t>
  </si>
  <si>
    <t>45% less added</t>
  </si>
  <si>
    <t>Adds 0.75 in game speed per 1 x</t>
  </si>
  <si>
    <t>Changes</t>
  </si>
  <si>
    <r>
      <rPr>
        <rFont val="Arial"/>
        <color rgb="FF202122"/>
        <sz val="11.0"/>
      </rPr>
      <t>Bone Fragment</t>
    </r>
    <r>
      <rPr>
        <rFont val="Arial"/>
        <color rgb="FF202122"/>
        <sz val="11.0"/>
      </rPr>
      <t xml:space="preserve"> </t>
    </r>
    <r>
      <rPr>
        <rFont val="Arial"/>
        <color rgb="FF202122"/>
        <sz val="11.0"/>
      </rPr>
      <t>Fossilized Leg</t>
    </r>
    <r>
      <rPr>
        <rFont val="Arial"/>
        <color rgb="FF202122"/>
        <sz val="11.0"/>
      </rPr>
      <t xml:space="preserve"> </t>
    </r>
    <r>
      <rPr>
        <rFont val="Arial"/>
        <color rgb="FF202122"/>
        <sz val="11.0"/>
      </rPr>
      <t>Fossilized Ribs</t>
    </r>
    <r>
      <rPr>
        <rFont val="Arial"/>
        <color rgb="FF202122"/>
        <sz val="11.0"/>
      </rPr>
      <t xml:space="preserve"> </t>
    </r>
    <r>
      <rPr>
        <rFont val="Arial"/>
        <color rgb="FF202122"/>
        <sz val="11.0"/>
      </rPr>
      <t>Fossilized Skull</t>
    </r>
    <r>
      <rPr>
        <rFont val="Arial"/>
        <color rgb="FF202122"/>
        <sz val="11.0"/>
      </rPr>
      <t xml:space="preserve"> </t>
    </r>
    <r>
      <rPr>
        <rFont val="Arial"/>
        <color rgb="FF202122"/>
        <sz val="11.0"/>
      </rPr>
      <t>Fossilized Spine</t>
    </r>
    <r>
      <rPr>
        <rFont val="Arial"/>
        <color rgb="FF202122"/>
        <sz val="11.0"/>
      </rPr>
      <t xml:space="preserve"> </t>
    </r>
    <r>
      <rPr>
        <rFont val="Arial"/>
        <color rgb="FF202122"/>
        <sz val="11.0"/>
      </rPr>
      <t>Fossilized Tail</t>
    </r>
    <r>
      <rPr>
        <rFont val="Arial"/>
        <color rgb="FF202122"/>
        <sz val="11.0"/>
      </rPr>
      <t xml:space="preserve"> </t>
    </r>
    <r>
      <rPr>
        <rFont val="Arial"/>
        <color rgb="FF202122"/>
        <sz val="11.0"/>
      </rPr>
      <t>Mummified Bat</t>
    </r>
    <r>
      <rPr>
        <rFont val="Arial"/>
        <color rgb="FF202122"/>
        <sz val="11.0"/>
      </rPr>
      <t xml:space="preserve"> </t>
    </r>
    <r>
      <rPr>
        <rFont val="Arial"/>
        <color rgb="FF202122"/>
        <sz val="11.0"/>
      </rPr>
      <t>Mummified Frog</t>
    </r>
    <r>
      <rPr>
        <rFont val="Arial"/>
        <color rgb="FF202122"/>
        <sz val="11.0"/>
      </rPr>
      <t xml:space="preserve"> </t>
    </r>
    <r>
      <rPr>
        <rFont val="Arial"/>
        <color rgb="FF202122"/>
        <sz val="11.0"/>
      </rPr>
      <t>Prehistoric Rib</t>
    </r>
    <r>
      <rPr>
        <rFont val="Arial"/>
        <color rgb="FF202122"/>
        <sz val="11.0"/>
      </rPr>
      <t xml:space="preserve"> </t>
    </r>
    <r>
      <rPr>
        <rFont val="Arial"/>
        <color rgb="FF202122"/>
        <sz val="11.0"/>
      </rPr>
      <t>Prehistoric Scapula</t>
    </r>
    <r>
      <rPr>
        <rFont val="Arial"/>
        <color rgb="FF202122"/>
        <sz val="11.0"/>
      </rPr>
      <t xml:space="preserve"> </t>
    </r>
    <r>
      <rPr>
        <rFont val="Arial"/>
        <color rgb="FF202122"/>
        <sz val="11.0"/>
      </rPr>
      <t>Prehistoric Vertebra</t>
    </r>
    <r>
      <rPr>
        <rFont val="Arial"/>
        <color rgb="FF202122"/>
        <sz val="11.0"/>
      </rPr>
      <t xml:space="preserve"> </t>
    </r>
    <r>
      <rPr>
        <rFont val="Arial"/>
        <color rgb="FF202122"/>
        <sz val="11.0"/>
      </rPr>
      <t>Skeletal Hand</t>
    </r>
    <r>
      <rPr>
        <rFont val="Arial"/>
        <color rgb="FF202122"/>
        <sz val="11.0"/>
      </rPr>
      <t xml:space="preserve"> </t>
    </r>
    <r>
      <rPr>
        <rFont val="Arial"/>
        <color rgb="FF202122"/>
        <sz val="11.0"/>
      </rPr>
      <t>Skeletal Tail</t>
    </r>
    <r>
      <rPr>
        <rFont val="Arial"/>
        <color rgb="FF202122"/>
        <sz val="11.0"/>
      </rPr>
      <t xml:space="preserve"> </t>
    </r>
    <r>
      <rPr>
        <rFont val="Arial"/>
        <color rgb="FF202122"/>
        <sz val="11.0"/>
      </rPr>
      <t>Snake Skull</t>
    </r>
    <r>
      <rPr>
        <rFont val="Arial"/>
        <color rgb="FF202122"/>
        <sz val="11.0"/>
      </rPr>
      <t xml:space="preserve"> </t>
    </r>
    <r>
      <rPr>
        <rFont val="Arial"/>
        <color rgb="FF202122"/>
        <sz val="11.0"/>
      </rPr>
      <t>Snake Vertebrae</t>
    </r>
  </si>
  <si>
    <t>Attack</t>
  </si>
  <si>
    <t>Attack Mult</t>
  </si>
  <si>
    <t>x %</t>
  </si>
  <si>
    <t>Crit Chance Mult</t>
  </si>
  <si>
    <t xml:space="preserve">x % </t>
  </si>
  <si>
    <t>Crit Damage Mult</t>
  </si>
  <si>
    <t>Defense</t>
  </si>
  <si>
    <t>Immunity</t>
  </si>
  <si>
    <t>Weapon Knockback</t>
  </si>
  <si>
    <r>
      <rPr>
        <rFont val="sans-serif"/>
        <color rgb="FF202122"/>
        <sz val="11.0"/>
      </rPr>
      <t>Emerald</t>
    </r>
  </si>
  <si>
    <r>
      <rPr>
        <rFont val="Arial"/>
        <color rgb="FF202122"/>
        <sz val="11.0"/>
      </rPr>
      <t>Bone Fragment</t>
    </r>
    <r>
      <rPr>
        <rFont val="Arial"/>
        <color rgb="FF202122"/>
        <sz val="11.0"/>
      </rPr>
      <t xml:space="preserve"> </t>
    </r>
    <r>
      <rPr>
        <rFont val="Arial"/>
        <color rgb="FF202122"/>
        <sz val="11.0"/>
      </rPr>
      <t>Fossilized Leg</t>
    </r>
    <r>
      <rPr>
        <rFont val="Arial"/>
        <color rgb="FF202122"/>
        <sz val="11.0"/>
      </rPr>
      <t xml:space="preserve"> </t>
    </r>
    <r>
      <rPr>
        <rFont val="Arial"/>
        <color rgb="FF202122"/>
        <sz val="11.0"/>
      </rPr>
      <t>Fossilized Ribs</t>
    </r>
    <r>
      <rPr>
        <rFont val="Arial"/>
        <color rgb="FF202122"/>
        <sz val="11.0"/>
      </rPr>
      <t xml:space="preserve"> </t>
    </r>
    <r>
      <rPr>
        <rFont val="Arial"/>
        <color rgb="FF202122"/>
        <sz val="11.0"/>
      </rPr>
      <t>Fossilized Skull</t>
    </r>
    <r>
      <rPr>
        <rFont val="Arial"/>
        <color rgb="FF202122"/>
        <sz val="11.0"/>
      </rPr>
      <t xml:space="preserve"> </t>
    </r>
    <r>
      <rPr>
        <rFont val="Arial"/>
        <color rgb="FF202122"/>
        <sz val="11.0"/>
      </rPr>
      <t>Fossilized Spine</t>
    </r>
    <r>
      <rPr>
        <rFont val="Arial"/>
        <color rgb="FF202122"/>
        <sz val="11.0"/>
      </rPr>
      <t xml:space="preserve"> </t>
    </r>
    <r>
      <rPr>
        <rFont val="Arial"/>
        <color rgb="FF202122"/>
        <sz val="11.0"/>
      </rPr>
      <t>Fossilized Tail</t>
    </r>
    <r>
      <rPr>
        <rFont val="Arial"/>
        <color rgb="FF202122"/>
        <sz val="11.0"/>
      </rPr>
      <t xml:space="preserve"> </t>
    </r>
    <r>
      <rPr>
        <rFont val="Arial"/>
        <color rgb="FF202122"/>
        <sz val="11.0"/>
      </rPr>
      <t>Mummified Bat</t>
    </r>
    <r>
      <rPr>
        <rFont val="Arial"/>
        <color rgb="FF202122"/>
        <sz val="11.0"/>
      </rPr>
      <t xml:space="preserve"> </t>
    </r>
    <r>
      <rPr>
        <rFont val="Arial"/>
        <color rgb="FF202122"/>
        <sz val="11.0"/>
      </rPr>
      <t>Mummified Frog</t>
    </r>
    <r>
      <rPr>
        <rFont val="Arial"/>
        <color rgb="FF202122"/>
        <sz val="11.0"/>
      </rPr>
      <t xml:space="preserve"> </t>
    </r>
    <r>
      <rPr>
        <rFont val="Arial"/>
        <color rgb="FF202122"/>
        <sz val="11.0"/>
      </rPr>
      <t>Prehistoric Rib</t>
    </r>
    <r>
      <rPr>
        <rFont val="Arial"/>
        <color rgb="FF202122"/>
        <sz val="11.0"/>
      </rPr>
      <t xml:space="preserve"> </t>
    </r>
    <r>
      <rPr>
        <rFont val="Arial"/>
        <color rgb="FF202122"/>
        <sz val="11.0"/>
      </rPr>
      <t>Prehistoric Scapula</t>
    </r>
    <r>
      <rPr>
        <rFont val="Arial"/>
        <color rgb="FF202122"/>
        <sz val="11.0"/>
      </rPr>
      <t xml:space="preserve"> </t>
    </r>
    <r>
      <rPr>
        <rFont val="Arial"/>
        <color rgb="FF202122"/>
        <sz val="11.0"/>
      </rPr>
      <t>Prehistoric Vertebra</t>
    </r>
    <r>
      <rPr>
        <rFont val="Arial"/>
        <color rgb="FF202122"/>
        <sz val="11.0"/>
      </rPr>
      <t xml:space="preserve"> </t>
    </r>
    <r>
      <rPr>
        <rFont val="Arial"/>
        <color rgb="FF202122"/>
        <sz val="11.0"/>
      </rPr>
      <t>Skeletal Hand</t>
    </r>
    <r>
      <rPr>
        <rFont val="Arial"/>
        <color rgb="FF202122"/>
        <sz val="11.0"/>
      </rPr>
      <t xml:space="preserve"> </t>
    </r>
    <r>
      <rPr>
        <rFont val="Arial"/>
        <color rgb="FF202122"/>
        <sz val="11.0"/>
      </rPr>
      <t>Skeletal Tail</t>
    </r>
    <r>
      <rPr>
        <rFont val="Arial"/>
        <color rgb="FF202122"/>
        <sz val="11.0"/>
      </rPr>
      <t xml:space="preserve"> </t>
    </r>
    <r>
      <rPr>
        <rFont val="Arial"/>
        <color rgb="FF202122"/>
        <sz val="11.0"/>
      </rPr>
      <t>Snake Skull</t>
    </r>
    <r>
      <rPr>
        <rFont val="Arial"/>
        <color rgb="FF202122"/>
        <sz val="11.0"/>
      </rPr>
      <t xml:space="preserve"> </t>
    </r>
    <r>
      <rPr>
        <rFont val="Arial"/>
        <color rgb="FF202122"/>
        <sz val="11.0"/>
      </rPr>
      <t>Snake Vertebrae</t>
    </r>
  </si>
  <si>
    <t>x % amount</t>
  </si>
  <si>
    <t>Skill Level Increase</t>
  </si>
  <si>
    <t>Gain 1 attack every 25 floors and 1 speed every 50</t>
  </si>
  <si>
    <t>Weapon Speed</t>
  </si>
  <si>
    <t>Magnetism</t>
  </si>
  <si>
    <t>Fishing bar boost</t>
  </si>
  <si>
    <t>45 % smaller bonus bar</t>
  </si>
  <si>
    <t>3 Attack</t>
  </si>
  <si>
    <t>Fishing bar size scales with # of fish caught</t>
  </si>
  <si>
    <t>Autorevive</t>
  </si>
  <si>
    <t>Once per two days</t>
  </si>
  <si>
    <t>10 Attack</t>
  </si>
  <si>
    <t>Revive yourself once per day</t>
  </si>
  <si>
    <t>Autowater</t>
  </si>
  <si>
    <t>No change (Lower speed and farming already nerfs this)</t>
  </si>
  <si>
    <t>Water crops you walk over, costs 1-0.444 at lvl 10 farming energy per crop</t>
  </si>
  <si>
    <t>Construction discount</t>
  </si>
  <si>
    <t>x decimal amount</t>
  </si>
  <si>
    <r>
      <rPr>
        <rFont val="sans-serif"/>
        <color rgb="FF202122"/>
        <sz val="11.0"/>
      </rPr>
      <t>Emerald</t>
    </r>
  </si>
  <si>
    <t>45% lower discount</t>
  </si>
  <si>
    <t>Gain a x*100% discount for buildings</t>
  </si>
  <si>
    <t>Dodge chance</t>
  </si>
  <si>
    <t>x % chance</t>
  </si>
  <si>
    <t>45% lower chance</t>
  </si>
  <si>
    <t>Gain x% chance to dodge incoming damage</t>
  </si>
  <si>
    <t xml:space="preserve">Max health </t>
  </si>
  <si>
    <t>45% less bonus health</t>
  </si>
  <si>
    <t>Increase max health by x</t>
  </si>
  <si>
    <t>Max stamina</t>
  </si>
  <si>
    <t>45% less bonus stamina</t>
  </si>
  <si>
    <t>Increase max stamina by x</t>
  </si>
  <si>
    <t>Fishing treasure chance</t>
  </si>
  <si>
    <t>50% less bonus chest rate</t>
  </si>
  <si>
    <t>2 Attack</t>
  </si>
  <si>
    <t>Increase chance of getting fishing chest</t>
  </si>
  <si>
    <t>45% less bonus friendship</t>
  </si>
  <si>
    <t>Usually 1.17, multiples friendship gained by 1+x/100.</t>
  </si>
  <si>
    <t>Fishing treasure kept</t>
  </si>
  <si>
    <t>No change</t>
  </si>
  <si>
    <t>Keep treasures found from fish you cant catch</t>
  </si>
  <si>
    <t>0 Attack</t>
  </si>
  <si>
    <t>Skill experience Mult</t>
  </si>
  <si>
    <t>x Decimal amount</t>
  </si>
  <si>
    <t>45% less bonus xp</t>
  </si>
  <si>
    <t>Get an extra x*100% xp for a given skill</t>
  </si>
  <si>
    <t>Makes sword ability cooldown basically 0</t>
  </si>
  <si>
    <t>Pet animal on touch</t>
  </si>
  <si>
    <t>Pets animals in a 3 by 3 radius around you</t>
  </si>
  <si>
    <t>Slingshot power</t>
  </si>
  <si>
    <t>x attack</t>
  </si>
  <si>
    <t>45% less attack</t>
  </si>
  <si>
    <t>Gain x attack while using slingshot</t>
  </si>
  <si>
    <t>Shop discount</t>
  </si>
  <si>
    <t>decimal discount</t>
  </si>
  <si>
    <t>Includes clint, willy, pierre, robin, construction, dwarf, krobus, marnie, jojamarket, adventure guild</t>
  </si>
  <si>
    <r>
      <rPr>
        <rFont val="Arial"/>
        <color rgb="FF202122"/>
        <sz val="11.0"/>
      </rPr>
      <t>Broken CD</t>
    </r>
    <r>
      <rPr>
        <rFont val="Arial"/>
        <color rgb="FF202122"/>
        <sz val="11.0"/>
      </rPr>
      <t xml:space="preserve"> </t>
    </r>
    <r>
      <rPr>
        <rFont val="Arial"/>
        <color rgb="FF202122"/>
        <sz val="11.0"/>
      </rPr>
      <t>Broken Glasses</t>
    </r>
    <r>
      <rPr>
        <rFont val="Arial"/>
        <color rgb="FF202122"/>
        <sz val="11.0"/>
      </rPr>
      <t xml:space="preserve"> </t>
    </r>
    <r>
      <rPr>
        <rFont val="Arial"/>
        <color rgb="FF202122"/>
        <sz val="11.0"/>
      </rPr>
      <t>Driftwood</t>
    </r>
    <r>
      <rPr>
        <rFont val="Arial"/>
        <color rgb="FF202122"/>
        <sz val="11.0"/>
      </rPr>
      <t xml:space="preserve"> </t>
    </r>
    <r>
      <rPr>
        <rFont val="Arial"/>
        <color rgb="FF202122"/>
        <sz val="11.0"/>
      </rPr>
      <t>Soggy Newspaper</t>
    </r>
    <r>
      <rPr>
        <rFont val="Arial"/>
        <color rgb="FF202122"/>
        <sz val="11.0"/>
      </rPr>
      <t xml:space="preserve"> </t>
    </r>
    <r>
      <rPr>
        <rFont val="Arial"/>
        <color rgb="FF202122"/>
        <sz val="11.0"/>
      </rPr>
      <t>Trash (item)</t>
    </r>
  </si>
  <si>
    <t>Depends, 0.1</t>
  </si>
  <si>
    <t>Gain a x*100% discount for a given shop</t>
  </si>
  <si>
    <t>Rings</t>
  </si>
  <si>
    <t>x ring</t>
  </si>
  <si>
    <t>Includes yoba ring, sturdy ring, burglars ring, thorns ring, slime charmer ring</t>
  </si>
  <si>
    <t>Depends on ring</t>
  </si>
  <si>
    <t>Health regen (normal and still)</t>
  </si>
  <si>
    <t>seconds to be still: 0 seconds for always, regen interval, x amount</t>
  </si>
  <si>
    <t>45% less regen</t>
  </si>
  <si>
    <t>1 - 1 - 2</t>
  </si>
  <si>
    <t>Get x health every y seconds while standing still if z &gt; 0</t>
  </si>
  <si>
    <t>Stamina regen (normal and still)</t>
  </si>
  <si>
    <t>1 - 1 - 4</t>
  </si>
  <si>
    <t>Get x energy every y seconds while standing still if z &gt; 0</t>
  </si>
  <si>
    <t>Vampirism</t>
  </si>
  <si>
    <t>x health</t>
  </si>
  <si>
    <t>45% less healed</t>
  </si>
  <si>
    <t>Get x health on monster kill</t>
  </si>
  <si>
    <t>Soul sapping</t>
  </si>
  <si>
    <t>x energy</t>
  </si>
  <si>
    <t>45% less energized</t>
  </si>
  <si>
    <t>Get x energy on monster kill</t>
  </si>
  <si>
    <t>Spikey</t>
  </si>
  <si>
    <t>x base damage</t>
  </si>
  <si>
    <t>45% less total damage</t>
  </si>
  <si>
    <t>Upon being hit, damage enemies directly nearby with x + 1.3x (damage received + defense)</t>
  </si>
  <si>
    <t>Bombey</t>
  </si>
  <si>
    <t>x damage</t>
  </si>
  <si>
    <t>No change (Lowered attack already nerfs this)</t>
  </si>
  <si>
    <t>After killing an enemy, create an explosion which size scales with your attack stat, dealing x damage</t>
  </si>
  <si>
    <t>Bait production</t>
  </si>
  <si>
    <t>x steps</t>
  </si>
  <si>
    <t>45% more steps</t>
  </si>
  <si>
    <t>Generates bait every x steps, with every 10th bait being deluxe</t>
  </si>
  <si>
    <t>45% less valuable aged roe</t>
  </si>
  <si>
    <t>6 Attack</t>
  </si>
  <si>
    <t>Converts roe into (1-2 based on fishing level)x sell price iridium quality aged roe on pickup</t>
  </si>
  <si>
    <t>Sapping</t>
  </si>
  <si>
    <t>45% lower change</t>
  </si>
  <si>
    <t>Breaking trees and large stumps has an x chance to give the player a random tapped sap (Increased chance with sapper profession)</t>
  </si>
  <si>
    <t>every 7 rocks instead</t>
  </si>
  <si>
    <t>Every 5 rocks broken gives the player an ore dependent on depth</t>
  </si>
  <si>
    <t>45% less money</t>
  </si>
  <si>
    <t>Sells foragables picked up for 2-4x sell price scaling with foraging level (not truffles)</t>
  </si>
  <si>
    <t>Recyler</t>
  </si>
  <si>
    <t>Recycles trash for money (scaling with fishing level) and deluxe bait</t>
  </si>
  <si>
    <t>Mercenary</t>
  </si>
  <si>
    <t>Sells monster loot picked up for 2.5x sell price scaling with combat level</t>
  </si>
  <si>
    <t>Loving Rancher</t>
  </si>
  <si>
    <t>45% lower chance of gifts</t>
  </si>
  <si>
    <t>Tending to animals (Ducks, Sheep, Goats, Chickens, Cows, Rabbits, Void chicks, dinos, Ostriches) causes them to give special presents from time to time (Look at table below) Also guarentees iridium quality animal produce if you meet the iridium quality criteria and hand collect the produce.</t>
  </si>
  <si>
    <t>45% less discount</t>
  </si>
  <si>
    <t>Gain robin discount scaling with items crafted (max 80%, though I think 67% is limit)</t>
  </si>
  <si>
    <t>15% lower chance of gifts</t>
  </si>
  <si>
    <t>4 Attack</t>
  </si>
  <si>
    <t>Bees sometimes pollinate the surrounding flora, when collecting honey you can get seeds or flowers (Depends on honey type, Some scaling with foraging and farming)</t>
  </si>
  <si>
    <t>Glowing</t>
  </si>
  <si>
    <t>x radius</t>
  </si>
  <si>
    <t>Glows a unique color with radius x.</t>
  </si>
  <si>
    <t>On Npc Talk</t>
  </si>
  <si>
    <r>
      <rPr>
        <rFont val="Arial"/>
        <color rgb="FF202122"/>
        <sz val="11.0"/>
      </rPr>
      <t>Copper Ore</t>
    </r>
    <r>
      <rPr>
        <rFont val="Arial"/>
        <color rgb="FF202122"/>
        <sz val="11.0"/>
      </rPr>
      <t xml:space="preserve"> </t>
    </r>
    <r>
      <rPr>
        <rFont val="Arial"/>
        <color rgb="FF202122"/>
        <sz val="11.0"/>
      </rPr>
      <t>Gold Ore</t>
    </r>
    <r>
      <rPr>
        <rFont val="Arial"/>
        <color rgb="FF202122"/>
        <sz val="11.0"/>
      </rPr>
      <t xml:space="preserve"> </t>
    </r>
    <r>
      <rPr>
        <rFont val="Arial"/>
        <color rgb="FF202122"/>
        <sz val="11.0"/>
      </rPr>
      <t>Iron Ore</t>
    </r>
    <r>
      <rPr>
        <rFont val="Arial"/>
        <color rgb="FF202122"/>
        <sz val="11.0"/>
      </rPr>
      <t xml:space="preserve"> </t>
    </r>
    <r>
      <rPr>
        <rFont val="Arial"/>
        <color rgb="FF202122"/>
        <sz val="11.0"/>
      </rPr>
      <t>Radioactive Ore</t>
    </r>
  </si>
  <si>
    <t>x npc, y amount, z type</t>
  </si>
  <si>
    <t>45% less (amount)</t>
  </si>
  <si>
    <t>Once per day, talking to npc x gives y z (Friendship, stamina, health, or money)</t>
  </si>
  <si>
    <t>Nauseous</t>
  </si>
  <si>
    <t>Makes you unable to eat (Means other sources of nauseous dont do anything)</t>
  </si>
  <si>
    <t>Darkness</t>
  </si>
  <si>
    <t>Makes the world dark (Means other sources of darkness dont do anything)</t>
  </si>
  <si>
    <t>Makes you immune to debuffs</t>
  </si>
  <si>
    <t>Oil of Garlic Effect</t>
  </si>
  <si>
    <t>(wedding: 1.17 popularity, 4 speed, 6 luck)</t>
  </si>
  <si>
    <t>Makes monsters not spawn</t>
  </si>
  <si>
    <t>Slimed</t>
  </si>
  <si>
    <t>Reduces speed (Means other sources of slimed dont do anything)</t>
  </si>
  <si>
    <t>Example of ItemPickup:</t>
  </si>
  <si>
    <t>Monster Musk</t>
  </si>
  <si>
    <t>Makes more monsters spawn</t>
  </si>
  <si>
    <t>{</t>
  </si>
  <si>
    <t>Tipsy</t>
  </si>
  <si>
    <t>Reduces speed and makes your inputs scrambled sometimes (Means other sources of tipsy dont do anything)</t>
  </si>
  <si>
    <t>"Itemproduce": {</t>
  </si>
  <si>
    <t>Burnt</t>
  </si>
  <si>
    <t>Reduces attack, speed, and defense (Means other sources of burnt dont do anything)</t>
  </si>
  <si>
    <t>"Steps": 10,</t>
  </si>
  <si>
    <t>Farm Events Chance</t>
  </si>
  <si>
    <t>x event, y chance</t>
  </si>
  <si>
    <t>45% Lowered chance</t>
  </si>
  <si>
    <t>Gives an additional chance for or against a certain farm event occuring (Fairy, Witch, UFO, Meteorite, Owl)</t>
  </si>
  <si>
    <t>"displayName": "bombs",</t>
  </si>
  <si>
    <t>Trinket Effects</t>
  </si>
  <si>
    <t>x trinket</t>
  </si>
  <si>
    <t>Applies a given trinket effect</t>
  </si>
  <si>
    <t>"qId": "(O)441"</t>
  </si>
  <si>
    <t>Fear</t>
  </si>
  <si>
    <t>Reduces attack (Means other sources of fear dont do anything)</t>
  </si>
  <si>
    <t>}</t>
  </si>
  <si>
    <t>Item Pickup</t>
  </si>
  <si>
    <t>x steps, y display name, z item</t>
  </si>
  <si>
    <t>Pickup item z every x steps</t>
  </si>
  <si>
    <t>},</t>
  </si>
  <si>
    <t>Conditions:</t>
  </si>
  <si>
    <t>Conditions do not change</t>
  </si>
  <si>
    <t>Weather</t>
  </si>
  <si>
    <t>Condition of an effect during a certain weather</t>
  </si>
  <si>
    <t>Location</t>
  </si>
  <si>
    <t>Condition of an effect while in a certain location</t>
  </si>
  <si>
    <t>Season</t>
  </si>
  <si>
    <t>Condition of an effect during a certain season</t>
  </si>
  <si>
    <t xml:space="preserve">Health   </t>
  </si>
  <si>
    <t>Condition of an effect while at a certain health</t>
  </si>
  <si>
    <t>Time</t>
  </si>
  <si>
    <t>Condition of an effect between two times</t>
  </si>
  <si>
    <t>Item Held</t>
  </si>
  <si>
    <t>Condition of an effect while holding a given item</t>
  </si>
  <si>
    <t>MeleePower</t>
  </si>
  <si>
    <t>Condition of an effect while holding a type of melee weapon</t>
  </si>
  <si>
    <t>Set Bonus Info</t>
  </si>
  <si>
    <t>To Get the bonus for a set you first need one item from the set in every clothing type that has an item with the set (Eg: You need only the shirt and hat for jolly, but you need shirt hat and pants for prairie friend</t>
  </si>
  <si>
    <t>Set bonuses are custom!!! You can absolutely add your own set bonuses using the same three json files as those used to add regular effects. They also allow for you to chose the icon to represent the set bonus.</t>
  </si>
  <si>
    <r>
      <rPr>
        <rFont val="Arial"/>
        <color rgb="FF202122"/>
        <sz val="11.0"/>
      </rPr>
      <t>Broken CD</t>
    </r>
    <r>
      <rPr>
        <rFont val="Arial"/>
        <color rgb="FF202122"/>
        <sz val="11.0"/>
      </rPr>
      <t xml:space="preserve"> </t>
    </r>
    <r>
      <rPr>
        <rFont val="Arial"/>
        <color rgb="FF202122"/>
        <sz val="11.0"/>
      </rPr>
      <t>Broken Glasses</t>
    </r>
    <r>
      <rPr>
        <rFont val="Arial"/>
        <color rgb="FF202122"/>
        <sz val="11.0"/>
      </rPr>
      <t xml:space="preserve"> </t>
    </r>
    <r>
      <rPr>
        <rFont val="Arial"/>
        <color rgb="FF202122"/>
        <sz val="11.0"/>
      </rPr>
      <t>Driftwood</t>
    </r>
    <r>
      <rPr>
        <rFont val="Arial"/>
        <color rgb="FF202122"/>
        <sz val="11.0"/>
      </rPr>
      <t xml:space="preserve"> </t>
    </r>
    <r>
      <rPr>
        <rFont val="Arial"/>
        <color rgb="FF202122"/>
        <sz val="11.0"/>
      </rPr>
      <t>Soggy Newspaper</t>
    </r>
    <r>
      <rPr>
        <rFont val="Arial"/>
        <color rgb="FF202122"/>
        <sz val="11.0"/>
      </rPr>
      <t xml:space="preserve"> </t>
    </r>
    <r>
      <rPr>
        <rFont val="Arial"/>
        <color rgb="FF202122"/>
        <sz val="11.0"/>
      </rPr>
      <t>Trash (item)</t>
    </r>
  </si>
  <si>
    <t>Name:</t>
  </si>
  <si>
    <t>Hat</t>
  </si>
  <si>
    <t xml:space="preserve">Shirt </t>
  </si>
  <si>
    <t>Pants</t>
  </si>
  <si>
    <t>Notes</t>
  </si>
  <si>
    <t>Ores from rocks, 4 mining, 3 defense</t>
  </si>
  <si>
    <t>Shirt (1144)</t>
  </si>
  <si>
    <t>3 speed, 2.2x attack multiplier</t>
  </si>
  <si>
    <t>Mercenery (When underground using any infinity Weapon: 4 speed)</t>
  </si>
  <si>
    <t xml:space="preserve">10 attack, - 10 defense, (Underground: 5 speed) </t>
  </si>
  <si>
    <t>Skeleton OR Skull shirt</t>
  </si>
  <si>
    <t>1 speed, (1 depth scaling stats OR mercenery - whichever the shirt dosnt have), (Fall: popularity)</t>
  </si>
  <si>
    <t>Emily's Magic Turban</t>
  </si>
  <si>
    <t>2 speed, 2 luck, Magic Hair Dye</t>
  </si>
  <si>
    <t>Goodnight shirt</t>
  </si>
  <si>
    <t>10 yellow glow, 3 speed, debuff immunity</t>
  </si>
  <si>
    <t>Recyler, Recyler, FishingChest+</t>
  </si>
  <si>
    <t>Tight Pants</t>
  </si>
  <si>
    <t>2 speed, 15 vampirism, 15 soul sapping</t>
  </si>
  <si>
    <t>2 speed, 12 defense</t>
  </si>
  <si>
    <t>LaurelWreathCrown</t>
  </si>
  <si>
    <t>3 speed, 3 luck, (On Pierre talk: 1000g)</t>
  </si>
  <si>
    <t>Autorevive, 2 speed, 2 depth scaling</t>
  </si>
  <si>
    <t>(Winter: 1 speed, 2 popularity)</t>
  </si>
  <si>
    <t>3 speed, 3 fishing</t>
  </si>
  <si>
    <r>
      <rPr>
        <rFont val="Arial"/>
        <color rgb="FF202122"/>
        <sz val="11.0"/>
      </rPr>
      <t>Cranberries</t>
    </r>
    <r>
      <rPr>
        <rFont val="Arial"/>
        <color rgb="FF202122"/>
        <sz val="11.0"/>
      </rPr>
      <t xml:space="preserve">, </t>
    </r>
    <r>
      <rPr>
        <rFont val="Arial"/>
        <color rgb="FF202122"/>
        <sz val="11.0"/>
      </rPr>
      <t>Pineapple</t>
    </r>
    <r>
      <rPr>
        <rFont val="Arial"/>
        <color rgb="FF202122"/>
        <sz val="11.0"/>
      </rPr>
      <t xml:space="preserve">, </t>
    </r>
    <r>
      <rPr>
        <rFont val="Arial"/>
        <color rgb="FF202122"/>
        <sz val="11.0"/>
      </rPr>
      <t>Powdermelon</t>
    </r>
    <r>
      <rPr>
        <rFont val="Arial"/>
        <color rgb="FF202122"/>
        <sz val="11.0"/>
      </rPr>
      <t xml:space="preserve">, </t>
    </r>
    <r>
      <rPr>
        <rFont val="Arial"/>
        <color rgb="FF202122"/>
        <sz val="11.0"/>
      </rPr>
      <t>Strawberry</t>
    </r>
    <r>
      <rPr>
        <rFont val="Arial"/>
        <color rgb="FF202122"/>
        <sz val="11.0"/>
      </rPr>
      <t xml:space="preserve">, </t>
    </r>
    <r>
      <rPr>
        <rFont val="Arial"/>
        <color rgb="FF202122"/>
        <sz val="11.0"/>
      </rPr>
      <t>Wild Plum</t>
    </r>
  </si>
  <si>
    <t>(On Elliott talk: 40 friendship) (Ocean: 4 fishing, 1.5x fishing)</t>
  </si>
  <si>
    <r>
      <rPr>
        <rFont val="Arial"/>
        <color rgb="FF202122"/>
        <sz val="11.0"/>
      </rPr>
      <t>Broken CD</t>
    </r>
    <r>
      <rPr>
        <rFont val="Arial"/>
        <color rgb="FF202122"/>
        <sz val="11.0"/>
      </rPr>
      <t xml:space="preserve"> </t>
    </r>
    <r>
      <rPr>
        <rFont val="Arial"/>
        <color rgb="FF202122"/>
        <sz val="11.0"/>
      </rPr>
      <t>Broken Glasses</t>
    </r>
    <r>
      <rPr>
        <rFont val="Arial"/>
        <color rgb="FF202122"/>
        <sz val="11.0"/>
      </rPr>
      <t xml:space="preserve"> </t>
    </r>
    <r>
      <rPr>
        <rFont val="Arial"/>
        <color rgb="FF202122"/>
        <sz val="11.0"/>
      </rPr>
      <t>Driftwood</t>
    </r>
    <r>
      <rPr>
        <rFont val="Arial"/>
        <color rgb="FF202122"/>
        <sz val="11.0"/>
      </rPr>
      <t xml:space="preserve"> </t>
    </r>
    <r>
      <rPr>
        <rFont val="Arial"/>
        <color rgb="FF202122"/>
        <sz val="11.0"/>
      </rPr>
      <t>Soggy Newspaper</t>
    </r>
    <r>
      <rPr>
        <rFont val="Arial"/>
        <color rgb="FF202122"/>
        <sz val="11.0"/>
      </rPr>
      <t xml:space="preserve"> </t>
    </r>
    <r>
      <rPr>
        <rFont val="Arial"/>
        <color rgb="FF202122"/>
        <sz val="11.0"/>
      </rPr>
      <t>Trash (item)</t>
    </r>
  </si>
  <si>
    <t>Chef hat</t>
  </si>
  <si>
    <t>Chef coat</t>
  </si>
  <si>
    <t>1 speed, 5 defense, 2 popularity, (While using penny's fryer: 25 attack)</t>
  </si>
  <si>
    <t>(Spring: 3 luck, popularity)</t>
  </si>
  <si>
    <t>Loving Rancher, 3 farming</t>
  </si>
  <si>
    <r>
      <rPr>
        <rFont val="Arial"/>
        <color rgb="FF202122"/>
        <sz val="11.0"/>
      </rPr>
      <t>Copper Ore</t>
    </r>
    <r>
      <rPr>
        <rFont val="Arial"/>
        <color rgb="FF202122"/>
        <sz val="11.0"/>
      </rPr>
      <t xml:space="preserve"> </t>
    </r>
    <r>
      <rPr>
        <rFont val="Arial"/>
        <color rgb="FF202122"/>
        <sz val="11.0"/>
      </rPr>
      <t>Gold Ore</t>
    </r>
    <r>
      <rPr>
        <rFont val="Arial"/>
        <color rgb="FF202122"/>
        <sz val="11.0"/>
      </rPr>
      <t xml:space="preserve"> </t>
    </r>
    <r>
      <rPr>
        <rFont val="Arial"/>
        <color rgb="FF202122"/>
        <sz val="11.0"/>
      </rPr>
      <t>Iron Ore</t>
    </r>
    <r>
      <rPr>
        <rFont val="Arial"/>
        <color rgb="FF202122"/>
        <sz val="11.0"/>
      </rPr>
      <t xml:space="preserve"> </t>
    </r>
    <r>
      <rPr>
        <rFont val="Arial"/>
        <color rgb="FF202122"/>
        <sz val="11.0"/>
      </rPr>
      <t>Radioactive Ore</t>
    </r>
  </si>
  <si>
    <t>Magic Quiver, Ice Rod, 2 speed, 20 magnetism</t>
  </si>
  <si>
    <r>
      <rPr>
        <rFont val="Arial"/>
        <color rgb="FF202122"/>
        <sz val="11.0"/>
      </rPr>
      <t>Blueberry</t>
    </r>
    <r>
      <rPr>
        <rFont val="Arial"/>
        <color rgb="FF202122"/>
        <sz val="11.0"/>
      </rPr>
      <t xml:space="preserve">, </t>
    </r>
    <r>
      <rPr>
        <rFont val="Arial"/>
        <color rgb="FF202122"/>
        <sz val="11.0"/>
      </rPr>
      <t>Grape</t>
    </r>
    <r>
      <rPr>
        <rFont val="Arial"/>
        <color rgb="FF202122"/>
        <sz val="11.0"/>
      </rPr>
      <t xml:space="preserve">, </t>
    </r>
    <r>
      <rPr>
        <rFont val="Arial"/>
        <color rgb="FF202122"/>
        <sz val="11.0"/>
      </rPr>
      <t>Hot, Pepper</t>
    </r>
    <r>
      <rPr>
        <rFont val="Arial"/>
        <color rgb="FF202122"/>
        <sz val="11.0"/>
      </rPr>
      <t xml:space="preserve">, </t>
    </r>
    <r>
      <rPr>
        <rFont val="Arial"/>
        <color rgb="FF202122"/>
        <sz val="11.0"/>
      </rPr>
      <t>Melon</t>
    </r>
  </si>
  <si>
    <t>Gnomes hat</t>
  </si>
  <si>
    <t>Green Tunic OR Lime Green Tunic</t>
  </si>
  <si>
    <t>Frog, Fairy, Parrot</t>
  </si>
  <si>
    <t>Tie Dye Shirt</t>
  </si>
  <si>
    <t>Popularity, Lewis kills you on talk</t>
  </si>
  <si>
    <t>1 speed, fish pond commitment, ores from rocks</t>
  </si>
  <si>
    <r>
      <rPr>
        <rFont val="Arial"/>
        <color rgb="FF202122"/>
        <sz val="11.0"/>
      </rPr>
      <t>Fairy Rose</t>
    </r>
    <r>
      <rPr>
        <rFont val="Arial"/>
        <color rgb="FF202122"/>
        <sz val="11.0"/>
      </rPr>
      <t xml:space="preserve">, </t>
    </r>
    <r>
      <rPr>
        <rFont val="Arial"/>
        <color rgb="FF202122"/>
        <sz val="11.0"/>
      </rPr>
      <t>Sunflower</t>
    </r>
  </si>
  <si>
    <t>One WIth Nature</t>
  </si>
  <si>
    <t>Leafy Shirt</t>
  </si>
  <si>
    <t>Professional Forager, 2 speed, Beekeeper, 10 sapping</t>
  </si>
  <si>
    <t>Prismatic Shirt (DarkSleeve)</t>
  </si>
  <si>
    <t>Burglar ring, protective ring, still stamina regen and still health regen</t>
  </si>
  <si>
    <t>35% bookseller discount</t>
  </si>
  <si>
    <t>4 speed, 1.5x popularity and Tipsy Effect</t>
  </si>
  <si>
    <t>Loving rancher, 3 farming, (On Shane talk: 70 friendship)</t>
  </si>
  <si>
    <r>
      <rPr>
        <rFont val="Arial"/>
        <color rgb="FF202122"/>
        <sz val="11.0"/>
      </rPr>
      <t>Poppy</t>
    </r>
    <r>
      <rPr>
        <rFont val="Arial"/>
        <color rgb="FF202122"/>
        <sz val="11.0"/>
      </rPr>
      <t xml:space="preserve">, </t>
    </r>
    <r>
      <rPr>
        <rFont val="Arial"/>
        <color rgb="FF202122"/>
        <sz val="11.0"/>
      </rPr>
      <t>Summer, Spangle</t>
    </r>
  </si>
  <si>
    <r>
      <rPr>
        <rFont val="Arial"/>
        <color rgb="FF202122"/>
        <sz val="11.0"/>
      </rPr>
      <t>Copper Ore</t>
    </r>
    <r>
      <rPr>
        <rFont val="Arial"/>
        <color rgb="FF202122"/>
        <sz val="11.0"/>
      </rPr>
      <t xml:space="preserve"> </t>
    </r>
    <r>
      <rPr>
        <rFont val="Arial"/>
        <color rgb="FF202122"/>
        <sz val="11.0"/>
      </rPr>
      <t>Gold Ore</t>
    </r>
    <r>
      <rPr>
        <rFont val="Arial"/>
        <color rgb="FF202122"/>
        <sz val="11.0"/>
      </rPr>
      <t xml:space="preserve"> </t>
    </r>
    <r>
      <rPr>
        <rFont val="Arial"/>
        <color rgb="FF202122"/>
        <sz val="11.0"/>
      </rPr>
      <t>Iron Ore</t>
    </r>
    <r>
      <rPr>
        <rFont val="Arial"/>
        <color rgb="FF202122"/>
        <sz val="11.0"/>
      </rPr>
      <t xml:space="preserve"> </t>
    </r>
    <r>
      <rPr>
        <rFont val="Arial"/>
        <color rgb="FF202122"/>
        <sz val="11.0"/>
      </rPr>
      <t>Radioactive Ore</t>
    </r>
  </si>
  <si>
    <t>Loving Rancher Loot Table</t>
  </si>
  <si>
    <t>Animal</t>
  </si>
  <si>
    <t>Items</t>
  </si>
  <si>
    <t>Items within the same |(item),(item),| usually have the same chance, except for chicken ostrich egg</t>
  </si>
  <si>
    <t>Cow</t>
  </si>
  <si>
    <t>Large Milk,| Cheese, Cheese Cauliflower,| Ancient Fruit, Starfruit,| Golden Animal Cracker, Sweet Gem Berry,| Diamond, Prismatic Shard</t>
  </si>
  <si>
    <t>Goat</t>
  </si>
  <si>
    <t>Large Goat Milk,| Goat Cheese,| Hay, Grass Starter,| Blue Grass Starter, Golden Animal Cracker,| Diamond, Prismatic Shard</t>
  </si>
  <si>
    <t>Sheep</t>
  </si>
  <si>
    <r>
      <rPr>
        <rFont val="Arial"/>
        <color rgb="FF202122"/>
        <sz val="11.0"/>
      </rPr>
      <t>Ancient Fruit</t>
    </r>
    <r>
      <rPr>
        <rFont val="Arial"/>
        <color rgb="FF202122"/>
        <sz val="11.0"/>
      </rPr>
      <t xml:space="preserve">, </t>
    </r>
    <r>
      <rPr>
        <rFont val="Arial"/>
        <color rgb="FF202122"/>
        <sz val="11.0"/>
      </rPr>
      <t>Starfruit</t>
    </r>
  </si>
  <si>
    <t>Wool,| Cloth,| Cloth,| Blue Grass Starter, Golden Animal Cracker,| Diamond, Prismatic Shard</t>
  </si>
  <si>
    <t>Chickens</t>
  </si>
  <si>
    <t>Large W Egg,| Fried Egg, Large B Egg,| Void Egg, Omelet,| Mayo,| Ostrich Egg, Prismatic Shard</t>
  </si>
  <si>
    <t>Void Chicken</t>
  </si>
  <si>
    <t>Void Egg,| Void Mayo, Void Essence,| Void Mayo, Void Salmon,| Void Mayo, Fire Opal,| Iridium Bar, Prismatic Shard</t>
  </si>
  <si>
    <t>Duck</t>
  </si>
  <si>
    <t>Duck Egg,| Duck feather,| Duck Mayo,| Golden Pumpkin, Stardrop Tea,| Ostrich Egg, prismatic Shard</t>
  </si>
  <si>
    <t>Dinosaur</t>
  </si>
  <si>
    <t>Dino Mayo,| Dino Mayo,| Dino Mayo,| Dino Mayo,| Dino Mayo, Prismatic Shard</t>
  </si>
  <si>
    <t>Rabbit</t>
  </si>
  <si>
    <t>Wool,| Wool,| Cloth,| Rabbits Foot,| Diamond, Prismatic Shard</t>
  </si>
  <si>
    <t>Ostrich</t>
  </si>
  <si>
    <t>Ostrich Egg,| Mayo, Stardrop Tea,| Mayo, prismatic Shard,| Golden Animal Cracker,| Golden Animal Cracker, Stardrop Tea</t>
  </si>
  <si>
    <t xml:space="preserve">The chances are in decreasing order, where you get one item in each tier depending on chance, this chance increases </t>
  </si>
  <si>
    <t>with farming level, rancher profession, and depending on animal either coopmaster or shepherd profession as well (both for ostriches)</t>
  </si>
  <si>
    <t>Chances in the same tier between animals do not neccesarily have the same %, for example dinos have higher chances than chickens</t>
  </si>
  <si>
    <r>
      <rPr>
        <rFont val="Arial"/>
        <color rgb="FF202122"/>
        <sz val="11.0"/>
      </rPr>
      <t>Apple</t>
    </r>
    <r>
      <rPr>
        <rFont val="Arial"/>
        <color rgb="FF202122"/>
        <sz val="11.0"/>
      </rPr>
      <t xml:space="preserve">, </t>
    </r>
    <r>
      <rPr>
        <rFont val="Arial"/>
        <color rgb="FF202122"/>
        <sz val="11.0"/>
      </rPr>
      <t>Apricot</t>
    </r>
    <r>
      <rPr>
        <rFont val="Arial"/>
        <color rgb="FF202122"/>
        <sz val="11.0"/>
      </rPr>
      <t xml:space="preserve">, </t>
    </r>
    <r>
      <rPr>
        <rFont val="Arial"/>
        <color rgb="FF202122"/>
        <sz val="11.0"/>
      </rPr>
      <t>Banana</t>
    </r>
    <r>
      <rPr>
        <rFont val="Arial"/>
        <color rgb="FF202122"/>
        <sz val="11.0"/>
      </rPr>
      <t xml:space="preserve">, </t>
    </r>
    <r>
      <rPr>
        <rFont val="Arial"/>
        <color rgb="FF202122"/>
        <sz val="11.0"/>
      </rPr>
      <t>Cherry</t>
    </r>
    <r>
      <rPr>
        <rFont val="Arial"/>
        <color rgb="FF202122"/>
        <sz val="11.0"/>
      </rPr>
      <t xml:space="preserve">, </t>
    </r>
    <r>
      <rPr>
        <rFont val="Arial"/>
        <color rgb="FF202122"/>
        <sz val="11.0"/>
      </rPr>
      <t>Mango</t>
    </r>
    <r>
      <rPr>
        <rFont val="Arial"/>
        <color rgb="FF202122"/>
        <sz val="11.0"/>
      </rPr>
      <t xml:space="preserve">, </t>
    </r>
    <r>
      <rPr>
        <rFont val="Arial"/>
        <color rgb="FF202122"/>
        <sz val="11.0"/>
      </rPr>
      <t>Pomegranate</t>
    </r>
  </si>
  <si>
    <r>
      <rPr>
        <rFont val="Arial"/>
        <color rgb="FF202122"/>
        <sz val="11.0"/>
      </rPr>
      <t>Orange</t>
    </r>
    <r>
      <rPr>
        <rFont val="Arial"/>
        <color rgb="FF202122"/>
        <sz val="11.0"/>
      </rPr>
      <t xml:space="preserve">, </t>
    </r>
    <r>
      <rPr>
        <rFont val="Arial"/>
        <color rgb="FF202122"/>
        <sz val="11.0"/>
      </rPr>
      <t>Peach</t>
    </r>
  </si>
  <si>
    <r>
      <rPr>
        <rFont val="Arial"/>
        <color rgb="FF202122"/>
        <sz val="11.0"/>
      </rPr>
      <t>Cranberries</t>
    </r>
    <r>
      <rPr>
        <rFont val="Arial"/>
        <color rgb="FF202122"/>
        <sz val="11.0"/>
      </rPr>
      <t xml:space="preserve">, </t>
    </r>
    <r>
      <rPr>
        <rFont val="Arial"/>
        <color rgb="FF202122"/>
        <sz val="11.0"/>
      </rPr>
      <t>Pineapple</t>
    </r>
    <r>
      <rPr>
        <rFont val="Arial"/>
        <color rgb="FF202122"/>
        <sz val="11.0"/>
      </rPr>
      <t xml:space="preserve">, </t>
    </r>
    <r>
      <rPr>
        <rFont val="Arial"/>
        <color rgb="FF202122"/>
        <sz val="11.0"/>
      </rPr>
      <t>Powdermelon</t>
    </r>
    <r>
      <rPr>
        <rFont val="Arial"/>
        <color rgb="FF202122"/>
        <sz val="11.0"/>
      </rPr>
      <t xml:space="preserve">, </t>
    </r>
    <r>
      <rPr>
        <rFont val="Arial"/>
        <color rgb="FF202122"/>
        <sz val="11.0"/>
      </rPr>
      <t>Strawberry</t>
    </r>
    <r>
      <rPr>
        <rFont val="Arial"/>
        <color rgb="FF202122"/>
        <sz val="11.0"/>
      </rPr>
      <t xml:space="preserve">, </t>
    </r>
    <r>
      <rPr>
        <rFont val="Arial"/>
        <color rgb="FF202122"/>
        <sz val="11.0"/>
      </rPr>
      <t>Wild Plum</t>
    </r>
  </si>
  <si>
    <r>
      <rPr>
        <rFont val="Arial"/>
        <color rgb="FF202122"/>
        <sz val="11.0"/>
      </rPr>
      <t>Blueberry</t>
    </r>
    <r>
      <rPr>
        <rFont val="Arial"/>
        <color rgb="FF202122"/>
        <sz val="11.0"/>
      </rPr>
      <t xml:space="preserve">, </t>
    </r>
    <r>
      <rPr>
        <rFont val="Arial"/>
        <color rgb="FF202122"/>
        <sz val="11.0"/>
      </rPr>
      <t>Grape</t>
    </r>
    <r>
      <rPr>
        <rFont val="Arial"/>
        <color rgb="FF202122"/>
        <sz val="11.0"/>
      </rPr>
      <t xml:space="preserve">, </t>
    </r>
    <r>
      <rPr>
        <rFont val="Arial"/>
        <color rgb="FF202122"/>
        <sz val="11.0"/>
      </rPr>
      <t>Hot, Pepper</t>
    </r>
    <r>
      <rPr>
        <rFont val="Arial"/>
        <color rgb="FF202122"/>
        <sz val="11.0"/>
      </rPr>
      <t xml:space="preserve">, </t>
    </r>
    <r>
      <rPr>
        <rFont val="Arial"/>
        <color rgb="FF202122"/>
        <sz val="11.0"/>
      </rPr>
      <t>Melon</t>
    </r>
  </si>
  <si>
    <r>
      <rPr>
        <rFont val="Arial"/>
        <color rgb="FF202122"/>
        <sz val="11.0"/>
      </rPr>
      <t>Fairy Rose</t>
    </r>
    <r>
      <rPr>
        <rFont val="Arial"/>
        <color rgb="FF202122"/>
        <sz val="11.0"/>
      </rPr>
      <t xml:space="preserve">, </t>
    </r>
    <r>
      <rPr>
        <rFont val="Arial"/>
        <color rgb="FF202122"/>
        <sz val="11.0"/>
      </rPr>
      <t>Sunflower</t>
    </r>
  </si>
  <si>
    <r>
      <rPr>
        <rFont val="Arial"/>
        <color rgb="FF202122"/>
        <sz val="11.0"/>
      </rPr>
      <t>Poppy</t>
    </r>
    <r>
      <rPr>
        <rFont val="Arial"/>
        <color rgb="FF202122"/>
        <sz val="11.0"/>
      </rPr>
      <t xml:space="preserve">, </t>
    </r>
    <r>
      <rPr>
        <rFont val="Arial"/>
        <color rgb="FF202122"/>
        <sz val="11.0"/>
      </rPr>
      <t>Summer, Spangle</t>
    </r>
  </si>
  <si>
    <r>
      <rPr>
        <rFont val="Arial"/>
        <color rgb="FF202122"/>
        <sz val="11.0"/>
      </rPr>
      <t>Cranberries</t>
    </r>
    <r>
      <rPr>
        <rFont val="Arial"/>
        <color rgb="FF202122"/>
        <sz val="11.0"/>
      </rPr>
      <t xml:space="preserve">, </t>
    </r>
    <r>
      <rPr>
        <rFont val="Arial"/>
        <color rgb="FF202122"/>
        <sz val="11.0"/>
      </rPr>
      <t>Pineapple</t>
    </r>
    <r>
      <rPr>
        <rFont val="Arial"/>
        <color rgb="FF202122"/>
        <sz val="11.0"/>
      </rPr>
      <t xml:space="preserve">, </t>
    </r>
    <r>
      <rPr>
        <rFont val="Arial"/>
        <color rgb="FF202122"/>
        <sz val="11.0"/>
      </rPr>
      <t>Powdermelon</t>
    </r>
    <r>
      <rPr>
        <rFont val="Arial"/>
        <color rgb="FF202122"/>
        <sz val="11.0"/>
      </rPr>
      <t xml:space="preserve">, </t>
    </r>
    <r>
      <rPr>
        <rFont val="Arial"/>
        <color rgb="FF202122"/>
        <sz val="11.0"/>
      </rPr>
      <t>Strawberry</t>
    </r>
    <r>
      <rPr>
        <rFont val="Arial"/>
        <color rgb="FF202122"/>
        <sz val="11.0"/>
      </rPr>
      <t xml:space="preserve">, </t>
    </r>
    <r>
      <rPr>
        <rFont val="Arial"/>
        <color rgb="FF202122"/>
        <sz val="11.0"/>
      </rPr>
      <t>Wild Plum</t>
    </r>
  </si>
  <si>
    <r>
      <rPr>
        <rFont val="Arial"/>
        <color rgb="FF202122"/>
        <sz val="11.0"/>
      </rPr>
      <t>Blueberry</t>
    </r>
    <r>
      <rPr>
        <rFont val="Arial"/>
        <color rgb="FF202122"/>
        <sz val="11.0"/>
      </rPr>
      <t xml:space="preserve">, </t>
    </r>
    <r>
      <rPr>
        <rFont val="Arial"/>
        <color rgb="FF202122"/>
        <sz val="11.0"/>
      </rPr>
      <t>Grape</t>
    </r>
    <r>
      <rPr>
        <rFont val="Arial"/>
        <color rgb="FF202122"/>
        <sz val="11.0"/>
      </rPr>
      <t xml:space="preserve">, </t>
    </r>
    <r>
      <rPr>
        <rFont val="Arial"/>
        <color rgb="FF202122"/>
        <sz val="11.0"/>
      </rPr>
      <t>Hot, Pepper</t>
    </r>
    <r>
      <rPr>
        <rFont val="Arial"/>
        <color rgb="FF202122"/>
        <sz val="11.0"/>
      </rPr>
      <t xml:space="preserve">, </t>
    </r>
    <r>
      <rPr>
        <rFont val="Arial"/>
        <color rgb="FF202122"/>
        <sz val="11.0"/>
      </rPr>
      <t>Melon</t>
    </r>
  </si>
  <si>
    <r>
      <rPr>
        <rFont val="Arial"/>
        <color rgb="FF202122"/>
        <sz val="11.0"/>
      </rPr>
      <t>Fairy Rose</t>
    </r>
    <r>
      <rPr>
        <rFont val="Arial"/>
        <color rgb="FF202122"/>
        <sz val="11.0"/>
      </rPr>
      <t xml:space="preserve">, </t>
    </r>
    <r>
      <rPr>
        <rFont val="Arial"/>
        <color rgb="FF202122"/>
        <sz val="11.0"/>
      </rPr>
      <t>Sunflower</t>
    </r>
  </si>
  <si>
    <r>
      <rPr>
        <rFont val="Arial"/>
        <color rgb="FF202122"/>
        <sz val="11.0"/>
      </rPr>
      <t>Ancient Fruit</t>
    </r>
    <r>
      <rPr>
        <rFont val="Arial"/>
        <color rgb="FF202122"/>
        <sz val="11.0"/>
      </rPr>
      <t xml:space="preserve">, </t>
    </r>
    <r>
      <rPr>
        <rFont val="Arial"/>
        <color rgb="FF202122"/>
        <sz val="11.0"/>
      </rPr>
      <t>Starfruit</t>
    </r>
  </si>
  <si>
    <r>
      <rPr>
        <rFont val="Arial"/>
        <color rgb="FF202122"/>
        <sz val="11.0"/>
      </rPr>
      <t>Poppy</t>
    </r>
    <r>
      <rPr>
        <rFont val="Arial"/>
        <color rgb="FF202122"/>
        <sz val="11.0"/>
      </rPr>
      <t xml:space="preserve">, </t>
    </r>
    <r>
      <rPr>
        <rFont val="Arial"/>
        <color rgb="FF202122"/>
        <sz val="11.0"/>
      </rPr>
      <t>Summer, Spangle</t>
    </r>
  </si>
  <si>
    <r>
      <rPr>
        <rFont val="Arial"/>
        <color rgb="FF202122"/>
        <sz val="11.0"/>
      </rPr>
      <t>Apple</t>
    </r>
    <r>
      <rPr>
        <rFont val="Arial"/>
        <color rgb="FF202122"/>
        <sz val="11.0"/>
      </rPr>
      <t xml:space="preserve">, </t>
    </r>
    <r>
      <rPr>
        <rFont val="Arial"/>
        <color rgb="FF202122"/>
        <sz val="11.0"/>
      </rPr>
      <t>Apricot</t>
    </r>
    <r>
      <rPr>
        <rFont val="Arial"/>
        <color rgb="FF202122"/>
        <sz val="11.0"/>
      </rPr>
      <t xml:space="preserve">, </t>
    </r>
    <r>
      <rPr>
        <rFont val="Arial"/>
        <color rgb="FF202122"/>
        <sz val="11.0"/>
      </rPr>
      <t>Banana</t>
    </r>
    <r>
      <rPr>
        <rFont val="Arial"/>
        <color rgb="FF202122"/>
        <sz val="11.0"/>
      </rPr>
      <t xml:space="preserve">, </t>
    </r>
    <r>
      <rPr>
        <rFont val="Arial"/>
        <color rgb="FF202122"/>
        <sz val="11.0"/>
      </rPr>
      <t>Cherry</t>
    </r>
    <r>
      <rPr>
        <rFont val="Arial"/>
        <color rgb="FF202122"/>
        <sz val="11.0"/>
      </rPr>
      <t xml:space="preserve">, </t>
    </r>
    <r>
      <rPr>
        <rFont val="Arial"/>
        <color rgb="FF202122"/>
        <sz val="11.0"/>
      </rPr>
      <t>Mango</t>
    </r>
    <r>
      <rPr>
        <rFont val="Arial"/>
        <color rgb="FF202122"/>
        <sz val="11.0"/>
      </rPr>
      <t xml:space="preserve">, </t>
    </r>
    <r>
      <rPr>
        <rFont val="Arial"/>
        <color rgb="FF202122"/>
        <sz val="11.0"/>
      </rPr>
      <t>Pomegranate</t>
    </r>
  </si>
  <si>
    <r>
      <rPr>
        <rFont val="Arial"/>
        <color rgb="FF202122"/>
        <sz val="11.0"/>
      </rPr>
      <t>Orange</t>
    </r>
    <r>
      <rPr>
        <rFont val="Arial"/>
        <color rgb="FF202122"/>
        <sz val="11.0"/>
      </rPr>
      <t xml:space="preserve">, </t>
    </r>
    <r>
      <rPr>
        <rFont val="Arial"/>
        <color rgb="FF202122"/>
        <sz val="11.0"/>
      </rPr>
      <t>Peach</t>
    </r>
  </si>
  <si>
    <r>
      <rPr>
        <rFont val="Arial"/>
        <color rgb="FF202122"/>
        <sz val="11.0"/>
      </rPr>
      <t>Ancient Fruit</t>
    </r>
    <r>
      <rPr>
        <rFont val="Arial"/>
        <color rgb="FF202122"/>
        <sz val="11.0"/>
      </rPr>
      <t xml:space="preserve">, </t>
    </r>
    <r>
      <rPr>
        <rFont val="Arial"/>
        <color rgb="FF202122"/>
        <sz val="11.0"/>
      </rPr>
      <t>Starfruit</t>
    </r>
  </si>
  <si>
    <t>30 energy, 3 rainbow glow</t>
  </si>
  <si>
    <t>1.17 Popularity, Lewis Disapproves</t>
  </si>
  <si>
    <r>
      <rPr>
        <rFont val="Arial"/>
        <color rgb="FF202122"/>
        <sz val="11.0"/>
      </rPr>
      <t>Apple</t>
    </r>
    <r>
      <rPr>
        <rFont val="Arial"/>
        <color rgb="FF202122"/>
        <sz val="11.0"/>
      </rPr>
      <t xml:space="preserve">, </t>
    </r>
    <r>
      <rPr>
        <rFont val="Arial"/>
        <color rgb="FF202122"/>
        <sz val="11.0"/>
      </rPr>
      <t>Apricot</t>
    </r>
    <r>
      <rPr>
        <rFont val="Arial"/>
        <color rgb="FF202122"/>
        <sz val="11.0"/>
      </rPr>
      <t xml:space="preserve">, </t>
    </r>
    <r>
      <rPr>
        <rFont val="Arial"/>
        <color rgb="FF202122"/>
        <sz val="11.0"/>
      </rPr>
      <t>Banana</t>
    </r>
    <r>
      <rPr>
        <rFont val="Arial"/>
        <color rgb="FF202122"/>
        <sz val="11.0"/>
      </rPr>
      <t xml:space="preserve">, </t>
    </r>
    <r>
      <rPr>
        <rFont val="Arial"/>
        <color rgb="FF202122"/>
        <sz val="11.0"/>
      </rPr>
      <t>Cherry</t>
    </r>
    <r>
      <rPr>
        <rFont val="Arial"/>
        <color rgb="FF202122"/>
        <sz val="11.0"/>
      </rPr>
      <t xml:space="preserve">, </t>
    </r>
    <r>
      <rPr>
        <rFont val="Arial"/>
        <color rgb="FF202122"/>
        <sz val="11.0"/>
      </rPr>
      <t>Mango</t>
    </r>
    <r>
      <rPr>
        <rFont val="Arial"/>
        <color rgb="FF202122"/>
        <sz val="11.0"/>
      </rPr>
      <t xml:space="preserve">, </t>
    </r>
    <r>
      <rPr>
        <rFont val="Arial"/>
        <color rgb="FF202122"/>
        <sz val="11.0"/>
      </rPr>
      <t>Pomegranate</t>
    </r>
  </si>
  <si>
    <r>
      <rPr>
        <rFont val="Arial"/>
        <color rgb="FF202122"/>
        <sz val="11.0"/>
      </rPr>
      <t>Orange</t>
    </r>
    <r>
      <rPr>
        <rFont val="Arial"/>
        <color rgb="FF202122"/>
        <sz val="11.0"/>
      </rPr>
      <t xml:space="preserve">, </t>
    </r>
    <r>
      <rPr>
        <rFont val="Arial"/>
        <color rgb="FF202122"/>
        <sz val="11.0"/>
      </rPr>
      <t>Peach</t>
    </r>
  </si>
  <si>
    <t>Emily's Magic Boots</t>
  </si>
  <si>
    <t>1.2 Popularity</t>
  </si>
  <si>
    <t>Genie Shoes</t>
  </si>
  <si>
    <t>80% Knockback</t>
  </si>
  <si>
    <t>15 attack, -3 health every second, (Underground: 6 speed) NOTE:If you die with this on, you will die over and over till day end</t>
  </si>
  <si>
    <t>Mystery Boost</t>
  </si>
  <si>
    <t>45% less bonus chance</t>
  </si>
  <si>
    <t>Increased Chance of Getting Mystery Boxes (50% by default)</t>
  </si>
  <si>
    <t xml:space="preserve">10 attack, - 40 health, (Underground: 5 speed) </t>
  </si>
  <si>
    <r>
      <rPr>
        <rFont val="Arial"/>
        <color rgb="FF202122"/>
        <sz val="11.0"/>
      </rPr>
      <t xml:space="preserve">Purchase for  100 from </t>
    </r>
    <r>
      <rPr>
        <rFont val="Arial"/>
        <color rgb="FF202122"/>
        <sz val="11.0"/>
      </rPr>
      <t>Elliott's shop</t>
    </r>
    <r>
      <rPr>
        <rFont val="Arial"/>
        <color rgb="FF202122"/>
        <sz val="11.0"/>
      </rPr>
      <t xml:space="preserve"> at the </t>
    </r>
    <r>
      <rPr>
        <rFont val="Arial"/>
        <color rgb="FF202122"/>
        <sz val="11.0"/>
      </rPr>
      <t>Desert Festival</t>
    </r>
    <r>
      <rPr>
        <rFont val="Arial"/>
        <color rgb="FF202122"/>
        <sz val="11.0"/>
      </rPr>
      <t>.</t>
    </r>
  </si>
  <si>
    <t>(Winter: 1 speed, 1.34 popularity)</t>
  </si>
  <si>
    <t>1 speed, 5 defense, 1.34 popularity, (While using penny's fryer: 25 attack)</t>
  </si>
  <si>
    <t>(Spring: 3 luck, 1.17 popularity)</t>
  </si>
  <si>
    <r>
      <rPr>
        <rFont val="Arial"/>
        <color rgb="FF202122"/>
        <sz val="11.0"/>
      </rPr>
      <t xml:space="preserve">Purchase for 8,000 in Qi's </t>
    </r>
    <r>
      <rPr>
        <rFont val="Arial"/>
        <color rgb="FF202122"/>
        <sz val="11.0"/>
        <u/>
      </rPr>
      <t>Casino</t>
    </r>
    <r>
      <rPr>
        <rFont val="Arial"/>
        <color rgb="FF202122"/>
        <sz val="11.0"/>
      </rPr>
      <t>.</t>
    </r>
  </si>
  <si>
    <t>Frog, Fairy, Parrot, 1 speed</t>
  </si>
  <si>
    <t>1.17 Popularity, Lewis kills you on talk</t>
  </si>
  <si>
    <r>
      <rPr>
        <rFont val="Arial"/>
        <color rgb="FF202122"/>
        <sz val="11.0"/>
      </rPr>
      <t xml:space="preserve">Reach a 5-heart </t>
    </r>
    <r>
      <rPr>
        <rFont val="Arial"/>
        <color rgb="FF202122"/>
        <sz val="11.0"/>
        <u/>
      </rPr>
      <t>friend</t>
    </r>
    <r>
      <rPr>
        <rFont val="Arial"/>
        <color rgb="FF202122"/>
        <sz val="11.0"/>
      </rPr>
      <t xml:space="preserve"> level with 4 people.</t>
    </r>
  </si>
  <si>
    <t>35% bookseller discount, Mystery Boost</t>
  </si>
  <si>
    <r>
      <rPr>
        <rFont val="Arial"/>
        <color rgb="FF202122"/>
        <sz val="11.0"/>
      </rPr>
      <t xml:space="preserve">Monster drop from </t>
    </r>
    <r>
      <rPr>
        <rFont val="Arial"/>
        <color rgb="FF202122"/>
        <sz val="11.0"/>
        <u/>
      </rPr>
      <t>Metal Heads</t>
    </r>
    <r>
      <rPr>
        <rFont val="Arial"/>
        <color rgb="FF202122"/>
        <sz val="11.0"/>
      </rPr>
      <t>.</t>
    </r>
  </si>
  <si>
    <r>
      <rPr>
        <rFont val="Arial"/>
        <color rgb="FF202122"/>
        <sz val="11.0"/>
      </rPr>
      <t xml:space="preserve">Can be obtained from the </t>
    </r>
    <r>
      <rPr>
        <rFont val="Arial"/>
        <color rgb="FF202122"/>
        <sz val="11.0"/>
        <u/>
      </rPr>
      <t>Prize Machine</t>
    </r>
    <r>
      <rPr>
        <rFont val="Arial"/>
        <color rgb="FF202122"/>
        <sz val="11.0"/>
      </rPr>
      <t>.</t>
    </r>
  </si>
  <si>
    <r>
      <rPr>
        <rFont val="Arial"/>
        <color rgb="FF202122"/>
        <sz val="11.0"/>
      </rPr>
      <t xml:space="preserve">Reach the bottom of the 'dangerous' </t>
    </r>
    <r>
      <rPr>
        <rFont val="Arial"/>
        <color rgb="FF202122"/>
        <sz val="11.0"/>
        <u/>
      </rPr>
      <t>mines</t>
    </r>
    <r>
      <rPr>
        <rFont val="Arial"/>
        <color rgb="FF202122"/>
        <sz val="11.0"/>
      </rPr>
      <t>.</t>
    </r>
  </si>
  <si>
    <r>
      <rPr>
        <rFont val="Arial"/>
        <color rgb="FF202122"/>
        <sz val="11.0"/>
      </rPr>
      <t xml:space="preserve">Catch 10 different </t>
    </r>
    <r>
      <rPr>
        <rFont val="Arial"/>
        <color rgb="FF202122"/>
        <sz val="11.0"/>
        <u/>
      </rPr>
      <t>fish</t>
    </r>
    <r>
      <rPr>
        <rFont val="Arial"/>
        <color rgb="FF202122"/>
        <sz val="11.0"/>
      </rPr>
      <t>.</t>
    </r>
  </si>
  <si>
    <r>
      <rPr>
        <rFont val="Arial"/>
        <color rgb="FF0645AD"/>
        <sz val="11.0"/>
      </rPr>
      <t>Monster Eradication Goal</t>
    </r>
    <r>
      <rPr>
        <rFont val="Arial"/>
        <color rgb="FF0645AD"/>
        <sz val="11.0"/>
      </rPr>
      <t xml:space="preserve"> - Defeat 50 </t>
    </r>
    <r>
      <rPr>
        <rFont val="Arial"/>
        <color rgb="FF0645AD"/>
        <sz val="11.0"/>
      </rPr>
      <t>Skeletons</t>
    </r>
    <r>
      <rPr>
        <rFont val="Arial"/>
        <color rgb="FF0645AD"/>
        <sz val="11.0"/>
      </rPr>
      <t>.</t>
    </r>
  </si>
  <si>
    <r>
      <rPr>
        <rFont val="Arial"/>
        <color rgb="FF202122"/>
        <sz val="11.0"/>
      </rPr>
      <t xml:space="preserve">Reach a 5-heart </t>
    </r>
    <r>
      <rPr>
        <rFont val="Arial"/>
        <color rgb="FF202122"/>
        <sz val="11.0"/>
        <u/>
      </rPr>
      <t>friend</t>
    </r>
    <r>
      <rPr>
        <rFont val="Arial"/>
        <color rgb="FF202122"/>
        <sz val="11.0"/>
      </rPr>
      <t xml:space="preserve"> level with 10 people.</t>
    </r>
  </si>
  <si>
    <r>
      <rPr>
        <rFont val="Arial"/>
        <color rgb="FF202122"/>
        <sz val="11.0"/>
      </rPr>
      <t xml:space="preserve">Purchase for 8,000g from the </t>
    </r>
    <r>
      <rPr>
        <rFont val="Arial"/>
        <color rgb="FF202122"/>
        <sz val="11.0"/>
        <u/>
      </rPr>
      <t>Traveling Cart</t>
    </r>
    <r>
      <rPr>
        <rFont val="Arial"/>
        <color rgb="FF202122"/>
        <sz val="11.0"/>
      </rPr>
      <t xml:space="preserve"> (10% chance to be sold).</t>
    </r>
  </si>
  <si>
    <r>
      <rPr>
        <rFont val="Arial"/>
        <color rgb="FF202122"/>
        <sz val="11.0"/>
      </rPr>
      <t xml:space="preserve">1% chance of obtaining when chopping down a </t>
    </r>
    <r>
      <rPr>
        <rFont val="Arial"/>
        <color rgb="FF202122"/>
        <sz val="11.0"/>
        <u/>
      </rPr>
      <t>Mushroom Tree</t>
    </r>
    <r>
      <rPr>
        <rFont val="Arial"/>
        <color rgb="FF202122"/>
        <sz val="11.0"/>
      </rPr>
      <t>.</t>
    </r>
  </si>
  <si>
    <r>
      <rPr>
        <rFont val="Arial"/>
        <color rgb="FF202122"/>
        <sz val="11.0"/>
      </rPr>
      <t xml:space="preserve">Purchase for  120 from the </t>
    </r>
    <r>
      <rPr>
        <rFont val="Arial"/>
        <color rgb="FF202122"/>
        <sz val="11.0"/>
      </rPr>
      <t>Calico Egg Merchant</t>
    </r>
    <r>
      <rPr>
        <rFont val="Arial"/>
        <color rgb="FF202122"/>
        <sz val="11.0"/>
      </rPr>
      <t xml:space="preserve"> at the </t>
    </r>
    <r>
      <rPr>
        <rFont val="Arial"/>
        <color rgb="FF202122"/>
        <sz val="11.0"/>
      </rPr>
      <t>Desert Festival</t>
    </r>
    <r>
      <rPr>
        <rFont val="Arial"/>
        <color rgb="FF202122"/>
        <sz val="11.0"/>
      </rPr>
      <t>.</t>
    </r>
  </si>
  <si>
    <r>
      <rPr>
        <rFont val="Arial"/>
        <color rgb="FF202122"/>
        <sz val="11.0"/>
      </rPr>
      <t xml:space="preserve">0.001% chance to find while cutting </t>
    </r>
    <r>
      <rPr>
        <rFont val="Arial"/>
        <color rgb="FF202122"/>
        <sz val="11.0"/>
      </rPr>
      <t>weeds</t>
    </r>
    <r>
      <rPr>
        <rFont val="Arial"/>
        <color rgb="FF202122"/>
        <sz val="11.0"/>
      </rPr>
      <t xml:space="preserve">.
0.01% chance of dropping from </t>
    </r>
    <r>
      <rPr>
        <rFont val="Arial"/>
        <color rgb="FF202122"/>
        <sz val="11.0"/>
      </rPr>
      <t>Wilderness Golems</t>
    </r>
    <r>
      <rPr>
        <rFont val="Arial"/>
        <color rgb="FF202122"/>
        <sz val="11.0"/>
      </rPr>
      <t>.</t>
    </r>
  </si>
  <si>
    <r>
      <rPr>
        <rFont val="Arial"/>
        <color rgb="FF202122"/>
        <sz val="11.0"/>
      </rPr>
      <t xml:space="preserve">Drops from the pot of gold by the rainbow next to the </t>
    </r>
    <r>
      <rPr>
        <rFont val="Arial"/>
        <color rgb="FF202122"/>
        <sz val="11.0"/>
      </rPr>
      <t>Abandoned House</t>
    </r>
    <r>
      <rPr>
        <rFont val="Arial"/>
        <color rgb="FF202122"/>
        <sz val="11.0"/>
      </rPr>
      <t xml:space="preserve"> on </t>
    </r>
    <r>
      <rPr>
        <rFont val="Arial"/>
        <color rgb="FF202122"/>
        <sz val="11.0"/>
      </rPr>
      <t>Spring</t>
    </r>
    <r>
      <rPr>
        <rFont val="Arial"/>
        <color rgb="FF202122"/>
        <sz val="11.0"/>
      </rPr>
      <t xml:space="preserve"> 17th.</t>
    </r>
  </si>
  <si>
    <r>
      <rPr>
        <rFont val="Arial"/>
        <color rgb="FF0645AD"/>
        <sz val="11.0"/>
      </rPr>
      <t>Monster Eradication Goal</t>
    </r>
    <r>
      <rPr>
        <rFont val="Arial"/>
        <color rgb="FF0645AD"/>
        <sz val="11.0"/>
      </rPr>
      <t xml:space="preserve"> - Defeat 50 </t>
    </r>
    <r>
      <rPr>
        <rFont val="Arial"/>
        <color rgb="FF0645AD"/>
        <sz val="11.0"/>
      </rPr>
      <t>Pepper Rex</t>
    </r>
    <r>
      <rPr>
        <rFont val="Arial"/>
        <color rgb="FF0645AD"/>
        <sz val="11.0"/>
      </rPr>
      <t>.</t>
    </r>
  </si>
  <si>
    <t>10 immunity, Magic Quiver,(Fall: 25 dodge change, 20 ranged power, popularity, 6 magnetism)</t>
  </si>
  <si>
    <r>
      <rPr>
        <rFont val="Arial"/>
        <color rgb="FF0645AD"/>
        <sz val="11.0"/>
      </rPr>
      <t>Desert Trader</t>
    </r>
    <r>
      <rPr>
        <rFont val="Arial"/>
        <color rgb="FF0645AD"/>
        <sz val="11.0"/>
      </rPr>
      <t xml:space="preserve"> in exchange for 50 </t>
    </r>
    <r>
      <rPr>
        <rFont val="Arial"/>
        <color rgb="FF0645AD"/>
        <sz val="11.0"/>
      </rPr>
      <t>Omni Geodes</t>
    </r>
    <r>
      <rPr>
        <rFont val="Arial"/>
        <color rgb="FF0645AD"/>
        <sz val="11.0"/>
      </rPr>
      <t>.</t>
    </r>
  </si>
  <si>
    <t>10 immunity, Yoba ring,(Fall: 25 dodge change, 20 ranged power, popularity, 6 magnetism)</t>
  </si>
  <si>
    <r>
      <rPr>
        <rFont val="Arial"/>
        <color rgb="FF202122"/>
        <sz val="11.0"/>
      </rPr>
      <t xml:space="preserve">Purchase for  100 from </t>
    </r>
    <r>
      <rPr>
        <rFont val="Arial"/>
        <color rgb="FF202122"/>
        <sz val="11.0"/>
      </rPr>
      <t>Elliott's shop</t>
    </r>
    <r>
      <rPr>
        <rFont val="Arial"/>
        <color rgb="FF202122"/>
        <sz val="11.0"/>
      </rPr>
      <t xml:space="preserve"> at the </t>
    </r>
    <r>
      <rPr>
        <rFont val="Arial"/>
        <color rgb="FF202122"/>
        <sz val="11.0"/>
      </rPr>
      <t>Desert Festival</t>
    </r>
    <r>
      <rPr>
        <rFont val="Arial"/>
        <color rgb="FF202122"/>
        <sz val="11.0"/>
      </rPr>
      <t>.</t>
    </r>
  </si>
  <si>
    <r>
      <rPr>
        <rFont val="Arial"/>
        <color rgb="FF202122"/>
        <sz val="11.0"/>
      </rPr>
      <t xml:space="preserve">Purchase for 8,000 in Qi's </t>
    </r>
    <r>
      <rPr>
        <rFont val="Arial"/>
        <color rgb="FF202122"/>
        <sz val="11.0"/>
        <u/>
      </rPr>
      <t>Casino</t>
    </r>
    <r>
      <rPr>
        <rFont val="Arial"/>
        <color rgb="FF202122"/>
        <sz val="11.0"/>
      </rPr>
      <t>.</t>
    </r>
  </si>
  <si>
    <r>
      <rPr>
        <rFont val="Arial"/>
        <color rgb="FF202122"/>
        <sz val="11.0"/>
      </rPr>
      <t xml:space="preserve">Obtained as a reward for submitting an </t>
    </r>
    <r>
      <rPr>
        <rFont val="Arial"/>
        <color rgb="FF202122"/>
        <sz val="11.0"/>
      </rPr>
      <t>egg rating</t>
    </r>
    <r>
      <rPr>
        <rFont val="Arial"/>
        <color rgb="FF202122"/>
        <sz val="11.0"/>
      </rPr>
      <t xml:space="preserve"> of 25-54 to </t>
    </r>
    <r>
      <rPr>
        <rFont val="Arial"/>
        <color rgb="FF202122"/>
        <sz val="11.0"/>
      </rPr>
      <t>Gil</t>
    </r>
    <r>
      <rPr>
        <rFont val="Arial"/>
        <color rgb="FF202122"/>
        <sz val="11.0"/>
      </rPr>
      <t xml:space="preserve"> during </t>
    </r>
    <r>
      <rPr>
        <rFont val="Arial"/>
        <color rgb="FF202122"/>
        <sz val="11.0"/>
      </rPr>
      <t>Desert Festival</t>
    </r>
    <r>
      <rPr>
        <rFont val="Arial"/>
        <color rgb="FF202122"/>
        <sz val="11.0"/>
      </rPr>
      <t>.</t>
    </r>
  </si>
  <si>
    <r>
      <rPr>
        <rFont val="Arial"/>
        <color rgb="FF202122"/>
        <sz val="11.0"/>
      </rPr>
      <t xml:space="preserve">Reach a 5-heart </t>
    </r>
    <r>
      <rPr>
        <rFont val="Arial"/>
        <color rgb="FF202122"/>
        <sz val="11.0"/>
        <u/>
      </rPr>
      <t>friend</t>
    </r>
    <r>
      <rPr>
        <rFont val="Arial"/>
        <color rgb="FF202122"/>
        <sz val="11.0"/>
      </rPr>
      <t xml:space="preserve"> level with 4 people.</t>
    </r>
  </si>
  <si>
    <r>
      <rPr>
        <rFont val="Arial"/>
        <color rgb="FF202122"/>
        <sz val="11.0"/>
      </rPr>
      <t xml:space="preserve">Purchase for  100 from </t>
    </r>
    <r>
      <rPr>
        <rFont val="Arial"/>
        <color rgb="FF202122"/>
        <sz val="11.0"/>
      </rPr>
      <t>Elliott's shop</t>
    </r>
    <r>
      <rPr>
        <rFont val="Arial"/>
        <color rgb="FF202122"/>
        <sz val="11.0"/>
      </rPr>
      <t xml:space="preserve"> at the </t>
    </r>
    <r>
      <rPr>
        <rFont val="Arial"/>
        <color rgb="FF202122"/>
        <sz val="11.0"/>
      </rPr>
      <t>Desert Festival</t>
    </r>
    <r>
      <rPr>
        <rFont val="Arial"/>
        <color rgb="FF202122"/>
        <sz val="11.0"/>
      </rPr>
      <t>.</t>
    </r>
  </si>
  <si>
    <t>(wet weather: popularity, popularity, 4 speed) Frog companion</t>
  </si>
  <si>
    <t>1 defense, 2 attack, 1 speed, 2 foraging</t>
  </si>
  <si>
    <r>
      <rPr>
        <rFont val="Arial"/>
        <color rgb="FF202122"/>
        <sz val="11.0"/>
      </rPr>
      <t xml:space="preserve">Purchase for 8,000 in Qi's </t>
    </r>
    <r>
      <rPr>
        <rFont val="Arial"/>
        <color rgb="FF202122"/>
        <sz val="11.0"/>
        <u/>
      </rPr>
      <t>Casino</t>
    </r>
    <r>
      <rPr>
        <rFont val="Arial"/>
        <color rgb="FF202122"/>
        <sz val="11.0"/>
      </rPr>
      <t>.</t>
    </r>
  </si>
  <si>
    <t>1 foraging, 2 attack, slimed, 6 speed (island: 1 speed, 1.3x attack)</t>
  </si>
  <si>
    <r>
      <rPr>
        <rFont val="Arial"/>
        <color rgb="FF202122"/>
        <sz val="11.0"/>
      </rPr>
      <t xml:space="preserve">Reach a 5-heart </t>
    </r>
    <r>
      <rPr>
        <rFont val="Arial"/>
        <color rgb="FF202122"/>
        <sz val="11.0"/>
        <u/>
      </rPr>
      <t>friend</t>
    </r>
    <r>
      <rPr>
        <rFont val="Arial"/>
        <color rgb="FF202122"/>
        <sz val="11.0"/>
      </rPr>
      <t xml:space="preserve"> level with 4 people.</t>
    </r>
  </si>
  <si>
    <r>
      <rPr>
        <rFont val="Arial"/>
        <color rgb="FF202122"/>
        <sz val="11.0"/>
      </rPr>
      <t xml:space="preserve">Monster drop from </t>
    </r>
    <r>
      <rPr>
        <rFont val="Arial"/>
        <color rgb="FF202122"/>
        <sz val="11.0"/>
        <u/>
      </rPr>
      <t>Metal Heads</t>
    </r>
    <r>
      <rPr>
        <rFont val="Arial"/>
        <color rgb="FF202122"/>
        <sz val="11.0"/>
      </rPr>
      <t>.</t>
    </r>
  </si>
  <si>
    <t>(6am - 3pm: 2 speed) (3pm-2am:-1 speed)</t>
  </si>
  <si>
    <r>
      <rPr>
        <rFont val="Arial"/>
        <color rgb="FF202122"/>
        <sz val="11.0"/>
      </rPr>
      <t xml:space="preserve">Reach a 5-heart </t>
    </r>
    <r>
      <rPr>
        <rFont val="Arial"/>
        <color rgb="FF202122"/>
        <sz val="11.0"/>
        <u/>
      </rPr>
      <t>friend</t>
    </r>
    <r>
      <rPr>
        <rFont val="Arial"/>
        <color rgb="FF202122"/>
        <sz val="11.0"/>
      </rPr>
      <t xml:space="preserve"> level with 20 people.</t>
    </r>
  </si>
  <si>
    <r>
      <rPr>
        <rFont val="Arial"/>
        <color rgb="FF202122"/>
        <sz val="11.0"/>
      </rPr>
      <t xml:space="preserve">Can be obtained from the </t>
    </r>
    <r>
      <rPr>
        <rFont val="Arial"/>
        <color rgb="FF202122"/>
        <sz val="11.0"/>
        <u/>
      </rPr>
      <t>Prize Machine</t>
    </r>
    <r>
      <rPr>
        <rFont val="Arial"/>
        <color rgb="FF202122"/>
        <sz val="11.0"/>
      </rPr>
      <t>.</t>
    </r>
  </si>
  <si>
    <r>
      <rPr>
        <rFont val="Arial"/>
        <color rgb="FF202122"/>
        <sz val="11.0"/>
      </rPr>
      <t xml:space="preserve">Monster drop from </t>
    </r>
    <r>
      <rPr>
        <rFont val="Arial"/>
        <color rgb="FF202122"/>
        <sz val="11.0"/>
        <u/>
      </rPr>
      <t>Metal Heads</t>
    </r>
    <r>
      <rPr>
        <rFont val="Arial"/>
        <color rgb="FF202122"/>
        <sz val="11.0"/>
      </rPr>
      <t>.</t>
    </r>
  </si>
  <si>
    <r>
      <rPr>
        <rFont val="Arial"/>
        <color rgb="FF202122"/>
        <sz val="11.0"/>
      </rPr>
      <t xml:space="preserve">Reach the bottom of the 'dangerous' </t>
    </r>
    <r>
      <rPr>
        <rFont val="Arial"/>
        <color rgb="FF202122"/>
        <sz val="11.0"/>
        <u/>
      </rPr>
      <t>mines</t>
    </r>
    <r>
      <rPr>
        <rFont val="Arial"/>
        <color rgb="FF202122"/>
        <sz val="11.0"/>
      </rPr>
      <t>.</t>
    </r>
  </si>
  <si>
    <r>
      <rPr>
        <rFont val="Arial"/>
        <color rgb="FF202122"/>
        <sz val="11.0"/>
      </rPr>
      <t xml:space="preserve">Catch 10 different </t>
    </r>
    <r>
      <rPr>
        <rFont val="Arial"/>
        <color rgb="FF202122"/>
        <sz val="11.0"/>
        <u/>
      </rPr>
      <t>fish</t>
    </r>
    <r>
      <rPr>
        <rFont val="Arial"/>
        <color rgb="FF202122"/>
        <sz val="11.0"/>
      </rPr>
      <t>.</t>
    </r>
  </si>
  <si>
    <r>
      <rPr>
        <rFont val="Arial"/>
        <color rgb="FF0645AD"/>
        <sz val="11.0"/>
      </rPr>
      <t>Monster Eradication Goal</t>
    </r>
    <r>
      <rPr>
        <rFont val="Arial"/>
        <color rgb="FF0645AD"/>
        <sz val="11.0"/>
      </rPr>
      <t xml:space="preserve"> - Defeat 50 </t>
    </r>
    <r>
      <rPr>
        <rFont val="Arial"/>
        <color rgb="FF0645AD"/>
        <sz val="11.0"/>
      </rPr>
      <t>Skeletons</t>
    </r>
    <r>
      <rPr>
        <rFont val="Arial"/>
        <color rgb="FF0645AD"/>
        <sz val="11.0"/>
      </rPr>
      <t>.</t>
    </r>
  </si>
  <si>
    <r>
      <rPr>
        <rFont val="Arial"/>
        <color rgb="FF202122"/>
        <sz val="11.0"/>
      </rPr>
      <t xml:space="preserve">Can be obtained from the </t>
    </r>
    <r>
      <rPr>
        <rFont val="Arial"/>
        <color rgb="FF202122"/>
        <sz val="11.0"/>
        <u/>
      </rPr>
      <t>Prize Machine</t>
    </r>
    <r>
      <rPr>
        <rFont val="Arial"/>
        <color rgb="FF202122"/>
        <sz val="11.0"/>
      </rPr>
      <t>.</t>
    </r>
  </si>
  <si>
    <r>
      <rPr>
        <rFont val="Arial"/>
        <color rgb="FF202122"/>
        <sz val="11.0"/>
      </rPr>
      <t xml:space="preserve">Reach a 5-heart </t>
    </r>
    <r>
      <rPr>
        <rFont val="Arial"/>
        <color rgb="FF202122"/>
        <sz val="11.0"/>
        <u/>
      </rPr>
      <t>friend</t>
    </r>
    <r>
      <rPr>
        <rFont val="Arial"/>
        <color rgb="FF202122"/>
        <sz val="11.0"/>
      </rPr>
      <t xml:space="preserve"> level with 10 people.</t>
    </r>
  </si>
  <si>
    <t>50 health, (winter: 1 speed, popularity, 30% dodge)</t>
  </si>
  <si>
    <r>
      <rPr>
        <rFont val="Arial"/>
        <color rgb="FF202122"/>
        <sz val="11.0"/>
      </rPr>
      <t xml:space="preserve">Reach the bottom of the 'dangerous' </t>
    </r>
    <r>
      <rPr>
        <rFont val="Arial"/>
        <color rgb="FF202122"/>
        <sz val="11.0"/>
        <u/>
      </rPr>
      <t>mines</t>
    </r>
    <r>
      <rPr>
        <rFont val="Arial"/>
        <color rgb="FF202122"/>
        <sz val="11.0"/>
      </rPr>
      <t>.</t>
    </r>
  </si>
  <si>
    <r>
      <rPr>
        <rFont val="Arial"/>
        <color rgb="FF202122"/>
        <sz val="11.0"/>
      </rPr>
      <t xml:space="preserve">Purchase from the </t>
    </r>
    <r>
      <rPr>
        <rFont val="Arial"/>
        <color rgb="FF202122"/>
        <sz val="11.0"/>
      </rPr>
      <t>Magic Shop Boat</t>
    </r>
    <r>
      <rPr>
        <rFont val="Arial"/>
        <color rgb="FF202122"/>
        <sz val="11.0"/>
      </rPr>
      <t xml:space="preserve"> at the </t>
    </r>
    <r>
      <rPr>
        <rFont val="Arial"/>
        <color rgb="FF202122"/>
        <sz val="11.0"/>
      </rPr>
      <t>Night Market</t>
    </r>
    <r>
      <rPr>
        <rFont val="Arial"/>
        <color rgb="FF202122"/>
        <sz val="11.0"/>
      </rPr>
      <t>.</t>
    </r>
  </si>
  <si>
    <r>
      <rPr>
        <rFont val="Arial"/>
        <color rgb="FF202122"/>
        <sz val="11.0"/>
      </rPr>
      <t xml:space="preserve">Purchase for 8,000g from the </t>
    </r>
    <r>
      <rPr>
        <rFont val="Arial"/>
        <color rgb="FF202122"/>
        <sz val="11.0"/>
        <u/>
      </rPr>
      <t>Traveling Cart</t>
    </r>
    <r>
      <rPr>
        <rFont val="Arial"/>
        <color rgb="FF202122"/>
        <sz val="11.0"/>
      </rPr>
      <t xml:space="preserve"> (10% chance to be sold).</t>
    </r>
  </si>
  <si>
    <r>
      <rPr>
        <rFont val="Arial"/>
        <color rgb="FF202122"/>
        <sz val="11.0"/>
      </rPr>
      <t xml:space="preserve">Catch 10 different </t>
    </r>
    <r>
      <rPr>
        <rFont val="Arial"/>
        <color rgb="FF202122"/>
        <sz val="11.0"/>
        <u/>
      </rPr>
      <t>fish</t>
    </r>
    <r>
      <rPr>
        <rFont val="Arial"/>
        <color rgb="FF202122"/>
        <sz val="11.0"/>
      </rPr>
      <t>.</t>
    </r>
  </si>
  <si>
    <r>
      <rPr>
        <rFont val="Arial"/>
        <color rgb="FF202122"/>
        <sz val="11.0"/>
      </rPr>
      <t xml:space="preserve">Reach a 10-heart </t>
    </r>
    <r>
      <rPr>
        <rFont val="Arial"/>
        <color rgb="FF202122"/>
        <sz val="11.0"/>
        <u/>
      </rPr>
      <t>friend</t>
    </r>
    <r>
      <rPr>
        <rFont val="Arial"/>
        <color rgb="FF202122"/>
        <sz val="11.0"/>
      </rPr>
      <t xml:space="preserve"> level with 8 people.</t>
    </r>
  </si>
  <si>
    <r>
      <rPr>
        <rFont val="Arial"/>
        <color rgb="FF202122"/>
        <sz val="11.0"/>
      </rPr>
      <t xml:space="preserve">Obtained as a reward from the </t>
    </r>
    <r>
      <rPr>
        <rFont val="Arial"/>
        <color rgb="FF202122"/>
        <sz val="11.0"/>
        <u/>
      </rPr>
      <t>Trout Derby</t>
    </r>
    <r>
      <rPr>
        <rFont val="Arial"/>
        <color rgb="FF202122"/>
        <sz val="11.0"/>
      </rPr>
      <t>.</t>
    </r>
  </si>
  <si>
    <r>
      <rPr>
        <rFont val="Arial"/>
        <color rgb="FF0645AD"/>
        <sz val="11.0"/>
      </rPr>
      <t>Monster Eradication Goal</t>
    </r>
    <r>
      <rPr>
        <rFont val="Arial"/>
        <color rgb="FF0645AD"/>
        <sz val="11.0"/>
      </rPr>
      <t xml:space="preserve"> - Defeat 50 </t>
    </r>
    <r>
      <rPr>
        <rFont val="Arial"/>
        <color rgb="FF0645AD"/>
        <sz val="11.0"/>
      </rPr>
      <t>Skeletons</t>
    </r>
    <r>
      <rPr>
        <rFont val="Arial"/>
        <color rgb="FF0645AD"/>
        <sz val="11.0"/>
      </rPr>
      <t>.</t>
    </r>
  </si>
  <si>
    <r>
      <rPr>
        <rFont val="Arial"/>
        <color rgb="FF202122"/>
        <sz val="11.0"/>
      </rPr>
      <t xml:space="preserve">Reach a 5-heart </t>
    </r>
    <r>
      <rPr>
        <rFont val="Arial"/>
        <color rgb="FF202122"/>
        <sz val="11.0"/>
        <u/>
      </rPr>
      <t>friend</t>
    </r>
    <r>
      <rPr>
        <rFont val="Arial"/>
        <color rgb="FF202122"/>
        <sz val="11.0"/>
      </rPr>
      <t xml:space="preserve"> level with 10 people.</t>
    </r>
  </si>
  <si>
    <r>
      <rPr>
        <rFont val="Arial"/>
        <color rgb="FF202122"/>
        <sz val="11.0"/>
      </rPr>
      <t xml:space="preserve">Purchase for 8,000g from the </t>
    </r>
    <r>
      <rPr>
        <rFont val="Arial"/>
        <color rgb="FF202122"/>
        <sz val="11.0"/>
        <u/>
      </rPr>
      <t>Traveling Cart</t>
    </r>
    <r>
      <rPr>
        <rFont val="Arial"/>
        <color rgb="FF202122"/>
        <sz val="11.0"/>
      </rPr>
      <t xml:space="preserve"> (10% chance to be sold).</t>
    </r>
  </si>
  <si>
    <t>Autopet pig</t>
  </si>
  <si>
    <r>
      <rPr>
        <rFont val="Arial"/>
        <color rgb="FF202122"/>
        <sz val="11.0"/>
      </rPr>
      <t xml:space="preserve">Donate 40 different items to The </t>
    </r>
    <r>
      <rPr>
        <rFont val="Arial"/>
        <color rgb="FF202122"/>
        <sz val="11.0"/>
        <u/>
      </rPr>
      <t>Museum</t>
    </r>
    <r>
      <rPr>
        <rFont val="Arial"/>
        <color rgb="FF202122"/>
        <sz val="11.0"/>
      </rPr>
      <t>.</t>
    </r>
  </si>
  <si>
    <r>
      <rPr>
        <rFont val="Arial"/>
        <color rgb="FF0645AD"/>
        <sz val="11.0"/>
      </rPr>
      <t>Monster Eradication Goal</t>
    </r>
    <r>
      <rPr>
        <rFont val="Arial"/>
        <color rgb="FF0645AD"/>
        <sz val="11.0"/>
      </rPr>
      <t xml:space="preserve"> - Defeat 100 </t>
    </r>
    <r>
      <rPr>
        <rFont val="Arial"/>
        <color rgb="FF0645AD"/>
        <sz val="11.0"/>
      </rPr>
      <t>Mummies</t>
    </r>
    <r>
      <rPr>
        <rFont val="Arial"/>
        <color rgb="FF0645AD"/>
        <sz val="11.0"/>
      </rPr>
      <t>.</t>
    </r>
  </si>
  <si>
    <r>
      <rPr>
        <rFont val="Arial"/>
        <color rgb="FF202122"/>
        <sz val="11.0"/>
      </rPr>
      <t xml:space="preserve">1% chance of obtaining when chopping down a </t>
    </r>
    <r>
      <rPr>
        <rFont val="Arial"/>
        <color rgb="FF202122"/>
        <sz val="11.0"/>
        <u/>
      </rPr>
      <t>Mushroom Tree</t>
    </r>
    <r>
      <rPr>
        <rFont val="Arial"/>
        <color rgb="FF202122"/>
        <sz val="11.0"/>
      </rPr>
      <t>.</t>
    </r>
  </si>
  <si>
    <r>
      <rPr>
        <rFont val="Arial"/>
        <color rgb="FF202122"/>
        <sz val="11.0"/>
      </rPr>
      <t xml:space="preserve">Purchase for  120 from the </t>
    </r>
    <r>
      <rPr>
        <rFont val="Arial"/>
        <color rgb="FF202122"/>
        <sz val="11.0"/>
      </rPr>
      <t>Calico Egg Merchant</t>
    </r>
    <r>
      <rPr>
        <rFont val="Arial"/>
        <color rgb="FF202122"/>
        <sz val="11.0"/>
      </rPr>
      <t xml:space="preserve"> at the </t>
    </r>
    <r>
      <rPr>
        <rFont val="Arial"/>
        <color rgb="FF202122"/>
        <sz val="11.0"/>
      </rPr>
      <t>Desert Festival</t>
    </r>
    <r>
      <rPr>
        <rFont val="Arial"/>
        <color rgb="FF202122"/>
        <sz val="11.0"/>
      </rPr>
      <t>.</t>
    </r>
  </si>
  <si>
    <r>
      <rPr>
        <rFont val="Arial"/>
        <color rgb="FF202122"/>
        <sz val="11.0"/>
      </rPr>
      <t>A variant of the male version may be obtained from the Makeover Stall at the Desert Festival</t>
    </r>
    <r>
      <rPr>
        <rFont val="Arial"/>
        <color rgb="FF202122"/>
        <sz val="11.0"/>
        <u/>
      </rPr>
      <t>[3]</t>
    </r>
    <r>
      <rPr>
        <rFont val="Arial"/>
        <color rgb="FF202122"/>
        <sz val="11.0"/>
      </rPr>
      <t xml:space="preserve"> - this variant has an effect</t>
    </r>
  </si>
  <si>
    <r>
      <rPr>
        <rFont val="Arial"/>
        <color rgb="FF202122"/>
        <sz val="11.0"/>
      </rPr>
      <t>Beer</t>
    </r>
    <r>
      <rPr>
        <rFont val="Arial"/>
        <color rgb="FF202122"/>
        <sz val="11.0"/>
      </rPr>
      <t xml:space="preserve"> </t>
    </r>
    <r>
      <rPr>
        <rFont val="Arial"/>
        <color rgb="FF202122"/>
        <sz val="11.0"/>
      </rPr>
      <t>Mead</t>
    </r>
    <r>
      <rPr>
        <rFont val="Arial"/>
        <color rgb="FF202122"/>
        <sz val="11.0"/>
      </rPr>
      <t xml:space="preserve"> </t>
    </r>
    <r>
      <rPr>
        <rFont val="Arial"/>
        <color rgb="FF202122"/>
        <sz val="11.0"/>
      </rPr>
      <t>Pale Ale</t>
    </r>
    <r>
      <rPr>
        <rFont val="Arial"/>
        <color rgb="FF202122"/>
        <sz val="11.0"/>
      </rPr>
      <t xml:space="preserve"> </t>
    </r>
    <r>
      <rPr>
        <rFont val="Arial"/>
        <color rgb="FF202122"/>
        <sz val="11.0"/>
      </rPr>
      <t>Piña Colada</t>
    </r>
    <r>
      <rPr>
        <rFont val="Arial"/>
        <color rgb="FF202122"/>
        <sz val="11.0"/>
      </rPr>
      <t xml:space="preserve"> </t>
    </r>
    <r>
      <rPr>
        <rFont val="Arial"/>
        <color rgb="FF202122"/>
        <sz val="11.0"/>
      </rPr>
      <t>Wine</t>
    </r>
    <r>
      <rPr>
        <rFont val="Arial"/>
        <color rgb="FF202122"/>
        <sz val="11.0"/>
      </rPr>
      <t xml:space="preserve"> (any)</t>
    </r>
  </si>
  <si>
    <t>2 defense, 20% dwarf discount (underground: 50 health, 50 energy)</t>
  </si>
  <si>
    <r>
      <rPr>
        <rFont val="Arial"/>
        <color rgb="FF202122"/>
        <sz val="11.0"/>
      </rPr>
      <t xml:space="preserve">1% chance of obtaining when chopping down a </t>
    </r>
    <r>
      <rPr>
        <rFont val="Arial"/>
        <color rgb="FF202122"/>
        <sz val="11.0"/>
        <u/>
      </rPr>
      <t>Mushroom Tree</t>
    </r>
    <r>
      <rPr>
        <rFont val="Arial"/>
        <color rgb="FF202122"/>
        <sz val="11.0"/>
      </rPr>
      <t>.</t>
    </r>
  </si>
  <si>
    <r>
      <rPr>
        <rFont val="Arial"/>
        <color rgb="FF202122"/>
        <sz val="11.0"/>
      </rPr>
      <t xml:space="preserve">Purchase for  120 from the </t>
    </r>
    <r>
      <rPr>
        <rFont val="Arial"/>
        <color rgb="FF202122"/>
        <sz val="11.0"/>
      </rPr>
      <t>Calico Egg Merchant</t>
    </r>
    <r>
      <rPr>
        <rFont val="Arial"/>
        <color rgb="FF202122"/>
        <sz val="11.0"/>
      </rPr>
      <t xml:space="preserve"> at the </t>
    </r>
    <r>
      <rPr>
        <rFont val="Arial"/>
        <color rgb="FF202122"/>
        <sz val="11.0"/>
      </rPr>
      <t>Desert Festival</t>
    </r>
    <r>
      <rPr>
        <rFont val="Arial"/>
        <color rgb="FF202122"/>
        <sz val="11.0"/>
      </rPr>
      <t>.</t>
    </r>
  </si>
  <si>
    <t>1.25x attack (Half health: 3 attack, 1 speed),(Low health: 5 attack, 2 speed), (Critical health: 15 attack, 2 speed) ALL STACK</t>
  </si>
  <si>
    <r>
      <rPr>
        <rFont val="Arial"/>
        <color rgb="FF202122"/>
        <sz val="11.0"/>
      </rPr>
      <t>Bomb</t>
    </r>
    <r>
      <rPr>
        <rFont val="Arial"/>
        <color rgb="FF202122"/>
        <sz val="11.0"/>
      </rPr>
      <t xml:space="preserve"> </t>
    </r>
    <r>
      <rPr>
        <rFont val="Arial"/>
        <color rgb="FF202122"/>
        <sz val="11.0"/>
      </rPr>
      <t>Cherry Bomb</t>
    </r>
    <r>
      <rPr>
        <rFont val="Arial"/>
        <color rgb="FF202122"/>
        <sz val="11.0"/>
      </rPr>
      <t xml:space="preserve"> </t>
    </r>
    <r>
      <rPr>
        <rFont val="Arial"/>
        <color rgb="FF202122"/>
        <sz val="11.0"/>
      </rPr>
      <t>Mega Bomb</t>
    </r>
  </si>
  <si>
    <r>
      <rPr>
        <rFont val="Arial"/>
        <color rgb="FF202122"/>
        <sz val="11.0"/>
      </rPr>
      <t xml:space="preserve">0.001% chance to find while cutting </t>
    </r>
    <r>
      <rPr>
        <rFont val="Arial"/>
        <color rgb="FF202122"/>
        <sz val="11.0"/>
      </rPr>
      <t>weeds</t>
    </r>
    <r>
      <rPr>
        <rFont val="Arial"/>
        <color rgb="FF202122"/>
        <sz val="11.0"/>
      </rPr>
      <t xml:space="preserve">.
0.01% chance of dropping from </t>
    </r>
    <r>
      <rPr>
        <rFont val="Arial"/>
        <color rgb="FF202122"/>
        <sz val="11.0"/>
      </rPr>
      <t>Wilderness Golems</t>
    </r>
    <r>
      <rPr>
        <rFont val="Arial"/>
        <color rgb="FF202122"/>
        <sz val="11.0"/>
      </rPr>
      <t>.</t>
    </r>
  </si>
  <si>
    <t>2 speed, 1 attack, -5 def, 1.15x foraging xp</t>
  </si>
  <si>
    <r>
      <rPr>
        <rFont val="Arial"/>
        <color rgb="FF202122"/>
        <sz val="11.0"/>
      </rPr>
      <t xml:space="preserve">Drops from the pot of gold by the rainbow next to the </t>
    </r>
    <r>
      <rPr>
        <rFont val="Arial"/>
        <color rgb="FF202122"/>
        <sz val="11.0"/>
      </rPr>
      <t>Abandoned House</t>
    </r>
    <r>
      <rPr>
        <rFont val="Arial"/>
        <color rgb="FF202122"/>
        <sz val="11.0"/>
      </rPr>
      <t xml:space="preserve"> on </t>
    </r>
    <r>
      <rPr>
        <rFont val="Arial"/>
        <color rgb="FF202122"/>
        <sz val="11.0"/>
      </rPr>
      <t>Spring</t>
    </r>
    <r>
      <rPr>
        <rFont val="Arial"/>
        <color rgb="FF202122"/>
        <sz val="11.0"/>
      </rPr>
      <t xml:space="preserve"> 17th.</t>
    </r>
  </si>
  <si>
    <r>
      <rPr>
        <rFont val="Arial"/>
        <color rgb="FF202122"/>
        <sz val="11.0"/>
      </rPr>
      <t xml:space="preserve">Purchase for  100 from </t>
    </r>
    <r>
      <rPr>
        <rFont val="Arial"/>
        <color rgb="FF202122"/>
        <sz val="11.0"/>
      </rPr>
      <t>Elliott's shop</t>
    </r>
    <r>
      <rPr>
        <rFont val="Arial"/>
        <color rgb="FF202122"/>
        <sz val="11.0"/>
      </rPr>
      <t xml:space="preserve"> at the </t>
    </r>
    <r>
      <rPr>
        <rFont val="Arial"/>
        <color rgb="FF202122"/>
        <sz val="11.0"/>
      </rPr>
      <t>Desert Festival</t>
    </r>
    <r>
      <rPr>
        <rFont val="Arial"/>
        <color rgb="FF202122"/>
        <sz val="11.0"/>
      </rPr>
      <t>.</t>
    </r>
  </si>
  <si>
    <r>
      <rPr>
        <rFont val="Arial"/>
        <color rgb="FF0645AD"/>
        <sz val="11.0"/>
      </rPr>
      <t>Monster Eradication Goal</t>
    </r>
    <r>
      <rPr>
        <rFont val="Arial"/>
        <color rgb="FF0645AD"/>
        <sz val="11.0"/>
      </rPr>
      <t xml:space="preserve"> - Defeat 50 </t>
    </r>
    <r>
      <rPr>
        <rFont val="Arial"/>
        <color rgb="FF0645AD"/>
        <sz val="11.0"/>
      </rPr>
      <t>Pepper Rex</t>
    </r>
    <r>
      <rPr>
        <rFont val="Arial"/>
        <color rgb="FF0645AD"/>
        <sz val="11.0"/>
      </rPr>
      <t>.</t>
    </r>
  </si>
  <si>
    <r>
      <rPr>
        <rFont val="Arial"/>
        <color rgb="FF202122"/>
        <sz val="11.0"/>
      </rPr>
      <t xml:space="preserve">Purchase for 8,000 in Qi's </t>
    </r>
    <r>
      <rPr>
        <rFont val="Arial"/>
        <color rgb="FF202122"/>
        <sz val="11.0"/>
        <u/>
      </rPr>
      <t>Casino</t>
    </r>
    <r>
      <rPr>
        <rFont val="Arial"/>
        <color rgb="FF202122"/>
        <sz val="11.0"/>
      </rPr>
      <t>.</t>
    </r>
  </si>
  <si>
    <r>
      <rPr>
        <rFont val="Arial"/>
        <color rgb="FF202122"/>
        <sz val="11.0"/>
      </rPr>
      <t xml:space="preserve">0.001% chance to find while cutting </t>
    </r>
    <r>
      <rPr>
        <rFont val="Arial"/>
        <color rgb="FF202122"/>
        <sz val="11.0"/>
      </rPr>
      <t>weeds</t>
    </r>
    <r>
      <rPr>
        <rFont val="Arial"/>
        <color rgb="FF202122"/>
        <sz val="11.0"/>
      </rPr>
      <t xml:space="preserve">.
0.01% chance of dropping from </t>
    </r>
    <r>
      <rPr>
        <rFont val="Arial"/>
        <color rgb="FF202122"/>
        <sz val="11.0"/>
      </rPr>
      <t>Wilderness Golems</t>
    </r>
    <r>
      <rPr>
        <rFont val="Arial"/>
        <color rgb="FF202122"/>
        <sz val="11.0"/>
      </rPr>
      <t>.</t>
    </r>
  </si>
  <si>
    <r>
      <rPr>
        <rFont val="Arial"/>
        <color rgb="FF202122"/>
        <sz val="11.0"/>
      </rPr>
      <t xml:space="preserve">Reach a 5-heart </t>
    </r>
    <r>
      <rPr>
        <rFont val="Arial"/>
        <color rgb="FF202122"/>
        <sz val="11.0"/>
        <u/>
      </rPr>
      <t>friend</t>
    </r>
    <r>
      <rPr>
        <rFont val="Arial"/>
        <color rgb="FF202122"/>
        <sz val="11.0"/>
      </rPr>
      <t xml:space="preserve"> level with 4 people.</t>
    </r>
  </si>
  <si>
    <r>
      <rPr>
        <rFont val="Arial"/>
        <color rgb="FF202122"/>
        <sz val="11.0"/>
      </rPr>
      <t xml:space="preserve">Drops from the pot of gold by the rainbow next to the </t>
    </r>
    <r>
      <rPr>
        <rFont val="Arial"/>
        <color rgb="FF202122"/>
        <sz val="11.0"/>
      </rPr>
      <t>Abandoned House</t>
    </r>
    <r>
      <rPr>
        <rFont val="Arial"/>
        <color rgb="FF202122"/>
        <sz val="11.0"/>
      </rPr>
      <t xml:space="preserve"> on </t>
    </r>
    <r>
      <rPr>
        <rFont val="Arial"/>
        <color rgb="FF202122"/>
        <sz val="11.0"/>
      </rPr>
      <t>Spring</t>
    </r>
    <r>
      <rPr>
        <rFont val="Arial"/>
        <color rgb="FF202122"/>
        <sz val="11.0"/>
      </rPr>
      <t xml:space="preserve"> 17th.</t>
    </r>
  </si>
  <si>
    <t>10 attack, (island underground: 2 speed)</t>
  </si>
  <si>
    <r>
      <rPr>
        <rFont val="Arial"/>
        <color rgb="FF0645AD"/>
        <sz val="11.0"/>
      </rPr>
      <t>Monster Eradication Goal</t>
    </r>
    <r>
      <rPr>
        <rFont val="Arial"/>
        <color rgb="FF0645AD"/>
        <sz val="11.0"/>
      </rPr>
      <t xml:space="preserve"> - Defeat 50 </t>
    </r>
    <r>
      <rPr>
        <rFont val="Arial"/>
        <color rgb="FF0645AD"/>
        <sz val="11.0"/>
      </rPr>
      <t>Pepper Rex</t>
    </r>
    <r>
      <rPr>
        <rFont val="Arial"/>
        <color rgb="FF0645AD"/>
        <sz val="11.0"/>
      </rPr>
      <t>.</t>
    </r>
  </si>
  <si>
    <t>Autowater, (FarmPlaces: 1 speed)</t>
  </si>
  <si>
    <r>
      <rPr>
        <rFont val="Arial"/>
        <color rgb="FF202122"/>
        <sz val="11.0"/>
      </rPr>
      <t>Truffle</t>
    </r>
    <r>
      <rPr>
        <rFont val="Arial"/>
        <color rgb="FF202122"/>
        <sz val="11.0"/>
      </rPr>
      <t xml:space="preserve"> </t>
    </r>
    <r>
      <rPr>
        <rFont val="Arial"/>
        <color rgb="FF202122"/>
        <sz val="11.0"/>
      </rPr>
      <t>Truffle Oil</t>
    </r>
  </si>
  <si>
    <r>
      <rPr>
        <rFont val="Arial"/>
        <color rgb="FF202122"/>
        <sz val="11.0"/>
      </rPr>
      <t>Life Elixir</t>
    </r>
    <r>
      <rPr>
        <rFont val="Arial"/>
        <color rgb="FF202122"/>
        <sz val="11.0"/>
      </rPr>
      <t xml:space="preserve"> </t>
    </r>
    <r>
      <rPr>
        <rFont val="Arial"/>
        <color rgb="FF202122"/>
        <sz val="11.0"/>
      </rPr>
      <t>Monster Musk</t>
    </r>
    <r>
      <rPr>
        <rFont val="Arial"/>
        <color rgb="FF202122"/>
        <sz val="11.0"/>
      </rPr>
      <t xml:space="preserve"> </t>
    </r>
    <r>
      <rPr>
        <rFont val="Arial"/>
        <color rgb="FF202122"/>
        <sz val="11.0"/>
      </rPr>
      <t>Oil of Garlic</t>
    </r>
  </si>
  <si>
    <r>
      <rPr>
        <rFont val="Arial"/>
        <color rgb="FF202122"/>
        <sz val="11.0"/>
      </rPr>
      <t xml:space="preserve">Monster drop from </t>
    </r>
    <r>
      <rPr>
        <rFont val="Arial"/>
        <color rgb="FF202122"/>
        <sz val="11.0"/>
        <u/>
      </rPr>
      <t>Metal Heads</t>
    </r>
    <r>
      <rPr>
        <rFont val="Arial"/>
        <color rgb="FF202122"/>
        <sz val="11.0"/>
      </rPr>
      <t>.</t>
    </r>
  </si>
  <si>
    <r>
      <rPr>
        <rFont val="Arial"/>
        <color rgb="FF0645AD"/>
        <sz val="11.0"/>
      </rPr>
      <t>Desert Trader</t>
    </r>
    <r>
      <rPr>
        <rFont val="Arial"/>
        <color rgb="FF0645AD"/>
        <sz val="11.0"/>
      </rPr>
      <t xml:space="preserve"> in exchange for 50 </t>
    </r>
    <r>
      <rPr>
        <rFont val="Arial"/>
        <color rgb="FF0645AD"/>
        <sz val="11.0"/>
      </rPr>
      <t>Omni Geodes</t>
    </r>
    <r>
      <rPr>
        <rFont val="Arial"/>
        <color rgb="FF0645AD"/>
        <sz val="11.0"/>
      </rPr>
      <t>.</t>
    </r>
  </si>
  <si>
    <r>
      <rPr>
        <rFont val="Arial"/>
        <color rgb="FF202122"/>
        <sz val="11.0"/>
      </rPr>
      <t xml:space="preserve">Can be obtained from the </t>
    </r>
    <r>
      <rPr>
        <rFont val="Arial"/>
        <color rgb="FF202122"/>
        <sz val="11.0"/>
        <u/>
      </rPr>
      <t>Prize Machine</t>
    </r>
    <r>
      <rPr>
        <rFont val="Arial"/>
        <color rgb="FF202122"/>
        <sz val="11.0"/>
      </rPr>
      <t>.</t>
    </r>
  </si>
  <si>
    <t>2 speed, 1 stamina regen</t>
  </si>
  <si>
    <r>
      <rPr>
        <rFont val="Arial"/>
        <color rgb="FF202122"/>
        <sz val="11.0"/>
      </rPr>
      <t xml:space="preserve">Reach the bottom of the 'dangerous' </t>
    </r>
    <r>
      <rPr>
        <rFont val="Arial"/>
        <color rgb="FF202122"/>
        <sz val="11.0"/>
        <u/>
      </rPr>
      <t>mines</t>
    </r>
    <r>
      <rPr>
        <rFont val="Arial"/>
        <color rgb="FF202122"/>
        <sz val="11.0"/>
      </rPr>
      <t>.</t>
    </r>
  </si>
  <si>
    <r>
      <rPr>
        <rFont val="Arial"/>
        <color rgb="FF0645AD"/>
        <sz val="11.0"/>
      </rPr>
      <t>Desert Trader</t>
    </r>
    <r>
      <rPr>
        <rFont val="Arial"/>
        <color rgb="FF0645AD"/>
        <sz val="11.0"/>
      </rPr>
      <t xml:space="preserve"> in exchange for 50 </t>
    </r>
    <r>
      <rPr>
        <rFont val="Arial"/>
        <color rgb="FF0645AD"/>
        <sz val="11.0"/>
      </rPr>
      <t>Omni Geodes</t>
    </r>
    <r>
      <rPr>
        <rFont val="Arial"/>
        <color rgb="FF0645AD"/>
        <sz val="11.0"/>
      </rPr>
      <t>.</t>
    </r>
  </si>
  <si>
    <r>
      <rPr>
        <rFont val="Arial"/>
        <color rgb="FF202122"/>
        <sz val="11.0"/>
      </rPr>
      <t xml:space="preserve">Catch 10 different </t>
    </r>
    <r>
      <rPr>
        <rFont val="Arial"/>
        <color rgb="FF202122"/>
        <sz val="11.0"/>
        <u/>
      </rPr>
      <t>fish</t>
    </r>
    <r>
      <rPr>
        <rFont val="Arial"/>
        <color rgb="FF202122"/>
        <sz val="11.0"/>
      </rPr>
      <t>.</t>
    </r>
  </si>
  <si>
    <r>
      <rPr>
        <rFont val="Arial"/>
        <color rgb="FF202122"/>
        <sz val="11.0"/>
      </rPr>
      <t>Bream</t>
    </r>
    <r>
      <rPr>
        <rFont val="Arial"/>
        <color rgb="FF202122"/>
        <sz val="11.0"/>
      </rPr>
      <t xml:space="preserve"> </t>
    </r>
    <r>
      <rPr>
        <rFont val="Arial"/>
        <color rgb="FF202122"/>
        <sz val="11.0"/>
      </rPr>
      <t>Catfish</t>
    </r>
    <r>
      <rPr>
        <rFont val="Arial"/>
        <color rgb="FF202122"/>
        <sz val="11.0"/>
      </rPr>
      <t xml:space="preserve"> </t>
    </r>
    <r>
      <rPr>
        <rFont val="Arial"/>
        <color rgb="FF202122"/>
        <sz val="11.0"/>
      </rPr>
      <t>Dorado</t>
    </r>
    <r>
      <rPr>
        <rFont val="Arial"/>
        <color rgb="FF202122"/>
        <sz val="11.0"/>
      </rPr>
      <t xml:space="preserve"> </t>
    </r>
    <r>
      <rPr>
        <rFont val="Arial"/>
        <color rgb="FF202122"/>
        <sz val="11.0"/>
      </rPr>
      <t>Ghostfish</t>
    </r>
    <r>
      <rPr>
        <rFont val="Arial"/>
        <color rgb="FF202122"/>
        <sz val="11.0"/>
      </rPr>
      <t xml:space="preserve"> </t>
    </r>
    <r>
      <rPr>
        <rFont val="Arial"/>
        <color rgb="FF202122"/>
        <sz val="11.0"/>
      </rPr>
      <t>Goby</t>
    </r>
    <r>
      <rPr>
        <rFont val="Arial"/>
        <color rgb="FF202122"/>
        <sz val="11.0"/>
      </rPr>
      <t xml:space="preserve"> </t>
    </r>
    <r>
      <rPr>
        <rFont val="Arial"/>
        <color rgb="FF202122"/>
        <sz val="11.0"/>
      </rPr>
      <t>Rainbow Trout</t>
    </r>
    <r>
      <rPr>
        <rFont val="Arial"/>
        <color rgb="FF202122"/>
        <sz val="11.0"/>
      </rPr>
      <t xml:space="preserve"> </t>
    </r>
    <r>
      <rPr>
        <rFont val="Arial"/>
        <color rgb="FF202122"/>
        <sz val="11.0"/>
      </rPr>
      <t>Sandfish</t>
    </r>
    <r>
      <rPr>
        <rFont val="Arial"/>
        <color rgb="FF202122"/>
        <sz val="11.0"/>
      </rPr>
      <t xml:space="preserve"> </t>
    </r>
    <r>
      <rPr>
        <rFont val="Arial"/>
        <color rgb="FF202122"/>
        <sz val="11.0"/>
      </rPr>
      <t>Shad</t>
    </r>
    <r>
      <rPr>
        <rFont val="Arial"/>
        <color rgb="FF202122"/>
        <sz val="11.0"/>
      </rPr>
      <t xml:space="preserve"> </t>
    </r>
    <r>
      <rPr>
        <rFont val="Arial"/>
        <color rgb="FF202122"/>
        <sz val="11.0"/>
      </rPr>
      <t>Sunfish</t>
    </r>
    <r>
      <rPr>
        <rFont val="Arial"/>
        <color rgb="FF202122"/>
        <sz val="11.0"/>
      </rPr>
      <t xml:space="preserve"> </t>
    </r>
    <r>
      <rPr>
        <rFont val="Arial"/>
        <color rgb="FF202122"/>
        <sz val="11.0"/>
      </rPr>
      <t>Tiger Trout</t>
    </r>
  </si>
  <si>
    <t>30% dodge</t>
  </si>
  <si>
    <r>
      <rPr>
        <rFont val="Arial"/>
        <color rgb="FF0645AD"/>
        <sz val="11.0"/>
      </rPr>
      <t>Monster Eradication Goal</t>
    </r>
    <r>
      <rPr>
        <rFont val="Arial"/>
        <color rgb="FF0645AD"/>
        <sz val="11.0"/>
      </rPr>
      <t xml:space="preserve"> - Defeat 50 </t>
    </r>
    <r>
      <rPr>
        <rFont val="Arial"/>
        <color rgb="FF0645AD"/>
        <sz val="11.0"/>
      </rPr>
      <t>Skeletons</t>
    </r>
    <r>
      <rPr>
        <rFont val="Arial"/>
        <color rgb="FF0645AD"/>
        <sz val="11.0"/>
      </rPr>
      <t>.</t>
    </r>
  </si>
  <si>
    <r>
      <rPr>
        <rFont val="Arial"/>
        <color rgb="FF202122"/>
        <sz val="11.0"/>
      </rPr>
      <t xml:space="preserve">Reach a 5-heart </t>
    </r>
    <r>
      <rPr>
        <rFont val="Arial"/>
        <color rgb="FF202122"/>
        <sz val="11.0"/>
        <u/>
      </rPr>
      <t>friend</t>
    </r>
    <r>
      <rPr>
        <rFont val="Arial"/>
        <color rgb="FF202122"/>
        <sz val="11.0"/>
      </rPr>
      <t xml:space="preserve"> level with 10 people.</t>
    </r>
  </si>
  <si>
    <r>
      <rPr>
        <rFont val="Arial"/>
        <color rgb="FF202122"/>
        <sz val="11.0"/>
      </rPr>
      <t xml:space="preserve">Obtained as a reward for submitting an </t>
    </r>
    <r>
      <rPr>
        <rFont val="Arial"/>
        <color rgb="FF202122"/>
        <sz val="11.0"/>
      </rPr>
      <t>egg rating</t>
    </r>
    <r>
      <rPr>
        <rFont val="Arial"/>
        <color rgb="FF202122"/>
        <sz val="11.0"/>
      </rPr>
      <t xml:space="preserve"> of 25-54 to </t>
    </r>
    <r>
      <rPr>
        <rFont val="Arial"/>
        <color rgb="FF202122"/>
        <sz val="11.0"/>
      </rPr>
      <t>Gil</t>
    </r>
    <r>
      <rPr>
        <rFont val="Arial"/>
        <color rgb="FF202122"/>
        <sz val="11.0"/>
      </rPr>
      <t xml:space="preserve"> during </t>
    </r>
    <r>
      <rPr>
        <rFont val="Arial"/>
        <color rgb="FF202122"/>
        <sz val="11.0"/>
      </rPr>
      <t>Desert Festival</t>
    </r>
    <r>
      <rPr>
        <rFont val="Arial"/>
        <color rgb="FF202122"/>
        <sz val="11.0"/>
      </rPr>
      <t>.</t>
    </r>
  </si>
  <si>
    <t>150 health, (winter: 1 speed, popularity, 40% dodge)</t>
  </si>
  <si>
    <r>
      <rPr>
        <rFont val="Arial"/>
        <color rgb="FF202122"/>
        <sz val="11.0"/>
      </rPr>
      <t xml:space="preserve">Purchase for 8,000g from the </t>
    </r>
    <r>
      <rPr>
        <rFont val="Arial"/>
        <color rgb="FF202122"/>
        <sz val="11.0"/>
        <u/>
      </rPr>
      <t>Traveling Cart</t>
    </r>
    <r>
      <rPr>
        <rFont val="Arial"/>
        <color rgb="FF202122"/>
        <sz val="11.0"/>
      </rPr>
      <t xml:space="preserve"> (10% chance to be sold).</t>
    </r>
  </si>
  <si>
    <r>
      <rPr>
        <rFont val="Arial"/>
        <color rgb="FF202122"/>
        <sz val="11.0"/>
      </rPr>
      <t xml:space="preserve">Obtained as a reward for submitting an </t>
    </r>
    <r>
      <rPr>
        <rFont val="Arial"/>
        <color rgb="FF202122"/>
        <sz val="11.0"/>
      </rPr>
      <t>egg rating</t>
    </r>
    <r>
      <rPr>
        <rFont val="Arial"/>
        <color rgb="FF202122"/>
        <sz val="11.0"/>
      </rPr>
      <t xml:space="preserve"> of 25-54 to </t>
    </r>
    <r>
      <rPr>
        <rFont val="Arial"/>
        <color rgb="FF202122"/>
        <sz val="11.0"/>
      </rPr>
      <t>Gil</t>
    </r>
    <r>
      <rPr>
        <rFont val="Arial"/>
        <color rgb="FF202122"/>
        <sz val="11.0"/>
      </rPr>
      <t xml:space="preserve"> during </t>
    </r>
    <r>
      <rPr>
        <rFont val="Arial"/>
        <color rgb="FF202122"/>
        <sz val="11.0"/>
      </rPr>
      <t>Desert Festival</t>
    </r>
    <r>
      <rPr>
        <rFont val="Arial"/>
        <color rgb="FF202122"/>
        <sz val="11.0"/>
      </rPr>
      <t>.</t>
    </r>
  </si>
  <si>
    <t xml:space="preserve"> slime charmer ring,(On Abigail talk: +50 friendship), 2 glow (fall: 50 health, 3 attack, 3 defense)</t>
  </si>
  <si>
    <r>
      <rPr>
        <rFont val="Arial"/>
        <color rgb="FF202122"/>
        <sz val="11.0"/>
      </rPr>
      <t xml:space="preserve">Reach a 5-heart </t>
    </r>
    <r>
      <rPr>
        <rFont val="Arial"/>
        <color rgb="FF202122"/>
        <sz val="11.0"/>
        <u/>
      </rPr>
      <t>friend</t>
    </r>
    <r>
      <rPr>
        <rFont val="Arial"/>
        <color rgb="FF202122"/>
        <sz val="11.0"/>
      </rPr>
      <t xml:space="preserve"> level with 20 people.</t>
    </r>
  </si>
  <si>
    <t>Fishingchest+++, keep chests, 4 fishing, (fall: 9 attack, Bombey 15, 50 health)</t>
  </si>
  <si>
    <r>
      <rPr>
        <rFont val="Arial"/>
        <color rgb="FF202122"/>
        <sz val="11.0"/>
      </rPr>
      <t xml:space="preserve">Reach a 5-heart </t>
    </r>
    <r>
      <rPr>
        <rFont val="Arial"/>
        <color rgb="FF202122"/>
        <sz val="11.0"/>
        <u/>
      </rPr>
      <t>friend</t>
    </r>
    <r>
      <rPr>
        <rFont val="Arial"/>
        <color rgb="FF202122"/>
        <sz val="11.0"/>
      </rPr>
      <t xml:space="preserve"> level with 20 people.</t>
    </r>
  </si>
  <si>
    <r>
      <rPr>
        <rFont val="Arial"/>
        <color rgb="FF202122"/>
        <sz val="11.0"/>
      </rPr>
      <t xml:space="preserve">1% chance of obtaining when chopping down a </t>
    </r>
    <r>
      <rPr>
        <rFont val="Arial"/>
        <color rgb="FF202122"/>
        <sz val="11.0"/>
        <u/>
      </rPr>
      <t>Mushroom Tree</t>
    </r>
    <r>
      <rPr>
        <rFont val="Arial"/>
        <color rgb="FF202122"/>
        <sz val="11.0"/>
      </rPr>
      <t>.</t>
    </r>
  </si>
  <si>
    <t>-6 speed, 20 defense, 3 health regen, 100 health, 15 Spikey</t>
  </si>
  <si>
    <r>
      <rPr>
        <rFont val="Arial"/>
        <color rgb="FF202122"/>
        <sz val="11.0"/>
      </rPr>
      <t xml:space="preserve">Purchase for  120 from the </t>
    </r>
    <r>
      <rPr>
        <rFont val="Arial"/>
        <color rgb="FF202122"/>
        <sz val="11.0"/>
      </rPr>
      <t>Calico Egg Merchant</t>
    </r>
    <r>
      <rPr>
        <rFont val="Arial"/>
        <color rgb="FF202122"/>
        <sz val="11.0"/>
      </rPr>
      <t xml:space="preserve"> at the </t>
    </r>
    <r>
      <rPr>
        <rFont val="Arial"/>
        <color rgb="FF202122"/>
        <sz val="11.0"/>
      </rPr>
      <t>Desert Festival</t>
    </r>
    <r>
      <rPr>
        <rFont val="Arial"/>
        <color rgb="FF202122"/>
        <sz val="11.0"/>
      </rPr>
      <t>.</t>
    </r>
  </si>
  <si>
    <t>Autorevive, 60 health, -1 speed, 3 purple glow</t>
  </si>
  <si>
    <r>
      <rPr>
        <rFont val="Arial"/>
        <color rgb="FF202122"/>
        <sz val="11.0"/>
      </rPr>
      <t xml:space="preserve">Purchase from the </t>
    </r>
    <r>
      <rPr>
        <rFont val="Arial"/>
        <color rgb="FF202122"/>
        <sz val="11.0"/>
      </rPr>
      <t>Magic Shop Boat</t>
    </r>
    <r>
      <rPr>
        <rFont val="Arial"/>
        <color rgb="FF202122"/>
        <sz val="11.0"/>
      </rPr>
      <t xml:space="preserve"> at the </t>
    </r>
    <r>
      <rPr>
        <rFont val="Arial"/>
        <color rgb="FF202122"/>
        <sz val="11.0"/>
      </rPr>
      <t>Night Market</t>
    </r>
    <r>
      <rPr>
        <rFont val="Arial"/>
        <color rgb="FF202122"/>
        <sz val="11.0"/>
      </rPr>
      <t>.</t>
    </r>
  </si>
  <si>
    <r>
      <rPr>
        <rFont val="Arial"/>
        <color rgb="FF202122"/>
        <sz val="11.0"/>
      </rPr>
      <t xml:space="preserve">Reach a 10-heart </t>
    </r>
    <r>
      <rPr>
        <rFont val="Arial"/>
        <color rgb="FF202122"/>
        <sz val="11.0"/>
        <u/>
      </rPr>
      <t>friend</t>
    </r>
    <r>
      <rPr>
        <rFont val="Arial"/>
        <color rgb="FF202122"/>
        <sz val="11.0"/>
      </rPr>
      <t xml:space="preserve"> level with 8 people.</t>
    </r>
  </si>
  <si>
    <r>
      <rPr>
        <rFont val="Arial"/>
        <color rgb="FF202122"/>
        <sz val="11.0"/>
      </rPr>
      <t xml:space="preserve">Purchase from the </t>
    </r>
    <r>
      <rPr>
        <rFont val="Arial"/>
        <color rgb="FF202122"/>
        <sz val="11.0"/>
      </rPr>
      <t>Magic Shop Boat</t>
    </r>
    <r>
      <rPr>
        <rFont val="Arial"/>
        <color rgb="FF202122"/>
        <sz val="11.0"/>
      </rPr>
      <t xml:space="preserve"> at the </t>
    </r>
    <r>
      <rPr>
        <rFont val="Arial"/>
        <color rgb="FF202122"/>
        <sz val="11.0"/>
      </rPr>
      <t>Night Market</t>
    </r>
    <r>
      <rPr>
        <rFont val="Arial"/>
        <color rgb="FF202122"/>
        <sz val="11.0"/>
      </rPr>
      <t>.</t>
    </r>
  </si>
  <si>
    <r>
      <rPr>
        <rFont val="Arial"/>
        <color rgb="FF202122"/>
        <sz val="11.0"/>
      </rPr>
      <t xml:space="preserve">Obtained as a reward from the </t>
    </r>
    <r>
      <rPr>
        <rFont val="Arial"/>
        <color rgb="FF202122"/>
        <sz val="11.0"/>
        <u/>
      </rPr>
      <t>Trout Derby</t>
    </r>
    <r>
      <rPr>
        <rFont val="Arial"/>
        <color rgb="FF202122"/>
        <sz val="11.0"/>
      </rPr>
      <t>.</t>
    </r>
  </si>
  <si>
    <r>
      <rPr>
        <rFont val="Arial"/>
        <color rgb="FF202122"/>
        <sz val="11.0"/>
      </rPr>
      <t xml:space="preserve">0.001% chance to find while cutting </t>
    </r>
    <r>
      <rPr>
        <rFont val="Arial"/>
        <color rgb="FF202122"/>
        <sz val="11.0"/>
      </rPr>
      <t>weeds</t>
    </r>
    <r>
      <rPr>
        <rFont val="Arial"/>
        <color rgb="FF202122"/>
        <sz val="11.0"/>
      </rPr>
      <t xml:space="preserve">.
0.01% chance of dropping from </t>
    </r>
    <r>
      <rPr>
        <rFont val="Arial"/>
        <color rgb="FF202122"/>
        <sz val="11.0"/>
      </rPr>
      <t>Wilderness Golems</t>
    </r>
    <r>
      <rPr>
        <rFont val="Arial"/>
        <color rgb="FF202122"/>
        <sz val="11.0"/>
      </rPr>
      <t>.</t>
    </r>
  </si>
  <si>
    <r>
      <rPr>
        <rFont val="Arial"/>
        <color rgb="FF202122"/>
        <sz val="11.0"/>
      </rPr>
      <t xml:space="preserve">Reach a 10-heart </t>
    </r>
    <r>
      <rPr>
        <rFont val="Arial"/>
        <color rgb="FF202122"/>
        <sz val="11.0"/>
        <u/>
      </rPr>
      <t>friend</t>
    </r>
    <r>
      <rPr>
        <rFont val="Arial"/>
        <color rgb="FF202122"/>
        <sz val="11.0"/>
      </rPr>
      <t xml:space="preserve"> level with 8 people.</t>
    </r>
  </si>
  <si>
    <t>3 speed, Autowater, 2 foraging, 10 spikey, 1.2x foraging xp, (underground: -4 speed)</t>
  </si>
  <si>
    <t>2 speed, 2 fishing, 1.3x crit chance, 1.3x crit damage, 25% dodge, ParryBoost, -20 defense, FishingBarBoost (While holding Meowmere: 100x crit chance, -50 defense, 10 underground speed)</t>
  </si>
  <si>
    <r>
      <rPr>
        <rFont val="Arial"/>
        <color rgb="FF202122"/>
        <sz val="11.0"/>
      </rPr>
      <t xml:space="preserve">Drops from the pot of gold by the rainbow next to the </t>
    </r>
    <r>
      <rPr>
        <rFont val="Arial"/>
        <color rgb="FF202122"/>
        <sz val="11.0"/>
      </rPr>
      <t>Abandoned House</t>
    </r>
    <r>
      <rPr>
        <rFont val="Arial"/>
        <color rgb="FF202122"/>
        <sz val="11.0"/>
      </rPr>
      <t xml:space="preserve"> on </t>
    </r>
    <r>
      <rPr>
        <rFont val="Arial"/>
        <color rgb="FF202122"/>
        <sz val="11.0"/>
      </rPr>
      <t>Spring</t>
    </r>
    <r>
      <rPr>
        <rFont val="Arial"/>
        <color rgb="FF202122"/>
        <sz val="11.0"/>
      </rPr>
      <t xml:space="preserve"> 17th.</t>
    </r>
  </si>
  <si>
    <r>
      <rPr>
        <rFont val="Arial"/>
        <color rgb="FF202122"/>
        <sz val="11.0"/>
      </rPr>
      <t xml:space="preserve">Obtained as a reward from the </t>
    </r>
    <r>
      <rPr>
        <rFont val="Arial"/>
        <color rgb="FF202122"/>
        <sz val="11.0"/>
        <u/>
      </rPr>
      <t>Trout Derby</t>
    </r>
    <r>
      <rPr>
        <rFont val="Arial"/>
        <color rgb="FF202122"/>
        <sz val="11.0"/>
      </rPr>
      <t>.</t>
    </r>
  </si>
  <si>
    <r>
      <rPr>
        <rFont val="Arial"/>
        <color rgb="FF0645AD"/>
        <sz val="11.0"/>
      </rPr>
      <t>Monster Eradication Goal</t>
    </r>
    <r>
      <rPr>
        <rFont val="Arial"/>
        <color rgb="FF0645AD"/>
        <sz val="11.0"/>
      </rPr>
      <t xml:space="preserve"> - Defeat 50 </t>
    </r>
    <r>
      <rPr>
        <rFont val="Arial"/>
        <color rgb="FF0645AD"/>
        <sz val="11.0"/>
      </rPr>
      <t>Pepper Rex</t>
    </r>
    <r>
      <rPr>
        <rFont val="Arial"/>
        <color rgb="FF0645AD"/>
        <sz val="11.0"/>
      </rPr>
      <t>.</t>
    </r>
  </si>
  <si>
    <t>2 attack, 2 defense, (underground: 1 speed)</t>
  </si>
  <si>
    <r>
      <rPr>
        <rFont val="Arial"/>
        <color rgb="FF202122"/>
        <sz val="11.0"/>
      </rPr>
      <t xml:space="preserve">Donate 40 different items to The </t>
    </r>
    <r>
      <rPr>
        <rFont val="Arial"/>
        <color rgb="FF202122"/>
        <sz val="11.0"/>
        <u/>
      </rPr>
      <t>Museum</t>
    </r>
    <r>
      <rPr>
        <rFont val="Arial"/>
        <color rgb="FF202122"/>
        <sz val="11.0"/>
      </rPr>
      <t>.</t>
    </r>
  </si>
  <si>
    <r>
      <rPr>
        <rFont val="Arial"/>
        <color rgb="FF202122"/>
        <sz val="11.0"/>
      </rPr>
      <t xml:space="preserve">Donate 40 different items to The </t>
    </r>
    <r>
      <rPr>
        <rFont val="Arial"/>
        <color rgb="FF202122"/>
        <sz val="11.0"/>
        <u/>
      </rPr>
      <t>Museum</t>
    </r>
    <r>
      <rPr>
        <rFont val="Arial"/>
        <color rgb="FF202122"/>
        <sz val="11.0"/>
      </rPr>
      <t>.</t>
    </r>
  </si>
  <si>
    <t>15 attack, 10 combat</t>
  </si>
  <si>
    <r>
      <rPr>
        <rFont val="Arial"/>
        <color rgb="FF0645AD"/>
        <sz val="11.0"/>
      </rPr>
      <t>Monster Eradication Goal</t>
    </r>
    <r>
      <rPr>
        <rFont val="Arial"/>
        <color rgb="FF0645AD"/>
        <sz val="11.0"/>
      </rPr>
      <t xml:space="preserve"> - Defeat 100 </t>
    </r>
    <r>
      <rPr>
        <rFont val="Arial"/>
        <color rgb="FF0645AD"/>
        <sz val="11.0"/>
      </rPr>
      <t>Mummies</t>
    </r>
    <r>
      <rPr>
        <rFont val="Arial"/>
        <color rgb="FF0645AD"/>
        <sz val="11.0"/>
      </rPr>
      <t>.</t>
    </r>
  </si>
  <si>
    <t>Negates meteorite event, negates owl event, negates strange event</t>
  </si>
  <si>
    <r>
      <rPr>
        <rFont val="Arial"/>
        <color rgb="FF0645AD"/>
        <sz val="11.0"/>
      </rPr>
      <t>Monster Eradication Goal</t>
    </r>
    <r>
      <rPr>
        <rFont val="Arial"/>
        <color rgb="FF0645AD"/>
        <sz val="11.0"/>
      </rPr>
      <t xml:space="preserve"> - Defeat 100 </t>
    </r>
    <r>
      <rPr>
        <rFont val="Arial"/>
        <color rgb="FF0645AD"/>
        <sz val="11.0"/>
      </rPr>
      <t>Mummies</t>
    </r>
    <r>
      <rPr>
        <rFont val="Arial"/>
        <color rgb="FF0645AD"/>
        <sz val="11.0"/>
      </rPr>
      <t>.</t>
    </r>
  </si>
  <si>
    <r>
      <rPr>
        <rFont val="Arial"/>
        <color rgb="FF0645AD"/>
        <sz val="11.0"/>
      </rPr>
      <t>Desert Trader</t>
    </r>
    <r>
      <rPr>
        <rFont val="Arial"/>
        <color rgb="FF0645AD"/>
        <sz val="11.0"/>
      </rPr>
      <t xml:space="preserve"> in exchange for 50 </t>
    </r>
    <r>
      <rPr>
        <rFont val="Arial"/>
        <color rgb="FF0645AD"/>
        <sz val="11.0"/>
      </rPr>
      <t>Omni Geodes</t>
    </r>
    <r>
      <rPr>
        <rFont val="Arial"/>
        <color rgb="FF0645AD"/>
        <sz val="11.0"/>
      </rPr>
      <t>.</t>
    </r>
  </si>
  <si>
    <t>100 health, -2 speed, popularity, 2 still health regen</t>
  </si>
  <si>
    <r>
      <rPr>
        <rFont val="Arial"/>
        <color rgb="FF202122"/>
        <sz val="11.0"/>
      </rPr>
      <t>Carrot</t>
    </r>
    <r>
      <rPr>
        <rFont val="Arial"/>
        <color rgb="FF202122"/>
        <sz val="11.0"/>
      </rPr>
      <t xml:space="preserve"> </t>
    </r>
    <r>
      <rPr>
        <rFont val="Arial"/>
        <color rgb="FF202122"/>
        <sz val="11.0"/>
      </rPr>
      <t>Cauliflower</t>
    </r>
    <r>
      <rPr>
        <rFont val="Arial"/>
        <color rgb="FF202122"/>
        <sz val="11.0"/>
      </rPr>
      <t xml:space="preserve"> </t>
    </r>
    <r>
      <rPr>
        <rFont val="Arial"/>
        <color rgb="FF202122"/>
        <sz val="11.0"/>
      </rPr>
      <t>Garlic</t>
    </r>
    <r>
      <rPr>
        <rFont val="Arial"/>
        <color rgb="FF202122"/>
        <sz val="11.0"/>
      </rPr>
      <t xml:space="preserve"> </t>
    </r>
    <r>
      <rPr>
        <rFont val="Arial"/>
        <color rgb="FF202122"/>
        <sz val="11.0"/>
      </rPr>
      <t>Green Bean</t>
    </r>
    <r>
      <rPr>
        <rFont val="Arial"/>
        <color rgb="FF202122"/>
        <sz val="11.0"/>
      </rPr>
      <t xml:space="preserve"> </t>
    </r>
    <r>
      <rPr>
        <rFont val="Arial"/>
        <color rgb="FF202122"/>
        <sz val="11.0"/>
      </rPr>
      <t>Hops</t>
    </r>
    <r>
      <rPr>
        <rFont val="Arial"/>
        <color rgb="FF202122"/>
        <sz val="11.0"/>
      </rPr>
      <t xml:space="preserve"> </t>
    </r>
    <r>
      <rPr>
        <rFont val="Arial"/>
        <color rgb="FF202122"/>
        <sz val="11.0"/>
      </rPr>
      <t>Kale</t>
    </r>
    <r>
      <rPr>
        <rFont val="Arial"/>
        <color rgb="FF202122"/>
        <sz val="11.0"/>
      </rPr>
      <t xml:space="preserve"> </t>
    </r>
    <r>
      <rPr>
        <rFont val="Arial"/>
        <color rgb="FF202122"/>
        <sz val="11.0"/>
      </rPr>
      <t>Parsnip</t>
    </r>
    <r>
      <rPr>
        <rFont val="Arial"/>
        <color rgb="FF202122"/>
        <sz val="11.0"/>
      </rPr>
      <t xml:space="preserve"> </t>
    </r>
    <r>
      <rPr>
        <rFont val="Arial"/>
        <color rgb="FF202122"/>
        <sz val="11.0"/>
      </rPr>
      <t>Potato</t>
    </r>
    <r>
      <rPr>
        <rFont val="Arial"/>
        <color rgb="FF202122"/>
        <sz val="11.0"/>
      </rPr>
      <t xml:space="preserve"> </t>
    </r>
    <r>
      <rPr>
        <rFont val="Arial"/>
        <color rgb="FF202122"/>
        <sz val="11.0"/>
      </rPr>
      <t>Taro Root</t>
    </r>
    <r>
      <rPr>
        <rFont val="Arial"/>
        <color rgb="FF202122"/>
        <sz val="11.0"/>
      </rPr>
      <t xml:space="preserve"> </t>
    </r>
    <r>
      <rPr>
        <rFont val="Arial"/>
        <color rgb="FF202122"/>
        <sz val="11.0"/>
      </rPr>
      <t>Tea Leaves</t>
    </r>
    <r>
      <rPr>
        <rFont val="Arial"/>
        <color rgb="FF202122"/>
        <sz val="11.0"/>
      </rPr>
      <t xml:space="preserve"> </t>
    </r>
    <r>
      <rPr>
        <rFont val="Arial"/>
        <color rgb="FF202122"/>
        <sz val="11.0"/>
      </rPr>
      <t>Unmilled Rice</t>
    </r>
  </si>
  <si>
    <r>
      <rPr>
        <rFont val="Arial"/>
        <color rgb="FF202122"/>
        <sz val="11.0"/>
      </rPr>
      <t>Bone Fragment</t>
    </r>
    <r>
      <rPr>
        <rFont val="Arial"/>
        <color rgb="FF202122"/>
        <sz val="11.0"/>
      </rPr>
      <t xml:space="preserve"> </t>
    </r>
    <r>
      <rPr>
        <rFont val="Arial"/>
        <color rgb="FF202122"/>
        <sz val="11.0"/>
      </rPr>
      <t>Fossilized Leg</t>
    </r>
    <r>
      <rPr>
        <rFont val="Arial"/>
        <color rgb="FF202122"/>
        <sz val="11.0"/>
      </rPr>
      <t xml:space="preserve"> </t>
    </r>
    <r>
      <rPr>
        <rFont val="Arial"/>
        <color rgb="FF202122"/>
        <sz val="11.0"/>
      </rPr>
      <t>Fossilized Ribs</t>
    </r>
    <r>
      <rPr>
        <rFont val="Arial"/>
        <color rgb="FF202122"/>
        <sz val="11.0"/>
      </rPr>
      <t xml:space="preserve"> </t>
    </r>
    <r>
      <rPr>
        <rFont val="Arial"/>
        <color rgb="FF202122"/>
        <sz val="11.0"/>
      </rPr>
      <t>Fossilized Skull</t>
    </r>
    <r>
      <rPr>
        <rFont val="Arial"/>
        <color rgb="FF202122"/>
        <sz val="11.0"/>
      </rPr>
      <t xml:space="preserve"> </t>
    </r>
    <r>
      <rPr>
        <rFont val="Arial"/>
        <color rgb="FF202122"/>
        <sz val="11.0"/>
      </rPr>
      <t>Fossilized Spine</t>
    </r>
    <r>
      <rPr>
        <rFont val="Arial"/>
        <color rgb="FF202122"/>
        <sz val="11.0"/>
      </rPr>
      <t xml:space="preserve"> </t>
    </r>
    <r>
      <rPr>
        <rFont val="Arial"/>
        <color rgb="FF202122"/>
        <sz val="11.0"/>
      </rPr>
      <t>Fossilized Tail</t>
    </r>
    <r>
      <rPr>
        <rFont val="Arial"/>
        <color rgb="FF202122"/>
        <sz val="11.0"/>
      </rPr>
      <t xml:space="preserve"> </t>
    </r>
    <r>
      <rPr>
        <rFont val="Arial"/>
        <color rgb="FF202122"/>
        <sz val="11.0"/>
      </rPr>
      <t>Mummified Bat</t>
    </r>
    <r>
      <rPr>
        <rFont val="Arial"/>
        <color rgb="FF202122"/>
        <sz val="11.0"/>
      </rPr>
      <t xml:space="preserve"> </t>
    </r>
    <r>
      <rPr>
        <rFont val="Arial"/>
        <color rgb="FF202122"/>
        <sz val="11.0"/>
      </rPr>
      <t>Mummified Frog</t>
    </r>
    <r>
      <rPr>
        <rFont val="Arial"/>
        <color rgb="FF202122"/>
        <sz val="11.0"/>
      </rPr>
      <t xml:space="preserve"> </t>
    </r>
    <r>
      <rPr>
        <rFont val="Arial"/>
        <color rgb="FF202122"/>
        <sz val="11.0"/>
      </rPr>
      <t>Prehistoric Rib</t>
    </r>
    <r>
      <rPr>
        <rFont val="Arial"/>
        <color rgb="FF202122"/>
        <sz val="11.0"/>
      </rPr>
      <t xml:space="preserve"> </t>
    </r>
    <r>
      <rPr>
        <rFont val="Arial"/>
        <color rgb="FF202122"/>
        <sz val="11.0"/>
      </rPr>
      <t>Prehistoric Scapula</t>
    </r>
    <r>
      <rPr>
        <rFont val="Arial"/>
        <color rgb="FF202122"/>
        <sz val="11.0"/>
      </rPr>
      <t xml:space="preserve"> </t>
    </r>
    <r>
      <rPr>
        <rFont val="Arial"/>
        <color rgb="FF202122"/>
        <sz val="11.0"/>
      </rPr>
      <t>Prehistoric Vertebra</t>
    </r>
    <r>
      <rPr>
        <rFont val="Arial"/>
        <color rgb="FF202122"/>
        <sz val="11.0"/>
      </rPr>
      <t xml:space="preserve"> </t>
    </r>
    <r>
      <rPr>
        <rFont val="Arial"/>
        <color rgb="FF202122"/>
        <sz val="11.0"/>
      </rPr>
      <t>Skeletal Hand</t>
    </r>
    <r>
      <rPr>
        <rFont val="Arial"/>
        <color rgb="FF202122"/>
        <sz val="11.0"/>
      </rPr>
      <t xml:space="preserve"> </t>
    </r>
    <r>
      <rPr>
        <rFont val="Arial"/>
        <color rgb="FF202122"/>
        <sz val="11.0"/>
      </rPr>
      <t>Skeletal Tail</t>
    </r>
    <r>
      <rPr>
        <rFont val="Arial"/>
        <color rgb="FF202122"/>
        <sz val="11.0"/>
      </rPr>
      <t xml:space="preserve"> </t>
    </r>
    <r>
      <rPr>
        <rFont val="Arial"/>
        <color rgb="FF202122"/>
        <sz val="11.0"/>
      </rPr>
      <t>Snake Skull</t>
    </r>
    <r>
      <rPr>
        <rFont val="Arial"/>
        <color rgb="FF202122"/>
        <sz val="11.0"/>
      </rPr>
      <t xml:space="preserve"> </t>
    </r>
    <r>
      <rPr>
        <rFont val="Arial"/>
        <color rgb="FF202122"/>
        <sz val="11.0"/>
      </rPr>
      <t>Snake Vertebrae</t>
    </r>
  </si>
  <si>
    <r>
      <rPr>
        <rFont val="Arial"/>
        <color rgb="FF202122"/>
        <sz val="11.0"/>
      </rPr>
      <t>A variant of the male version may be obtained from the Makeover Stall at the Desert Festival</t>
    </r>
    <r>
      <rPr>
        <rFont val="Arial"/>
        <color rgb="FF202122"/>
        <sz val="11.0"/>
        <u/>
      </rPr>
      <t>[3]</t>
    </r>
    <r>
      <rPr>
        <rFont val="Arial"/>
        <color rgb="FF202122"/>
        <sz val="11.0"/>
      </rPr>
      <t xml:space="preserve"> - this variant has an effect</t>
    </r>
  </si>
  <si>
    <r>
      <rPr>
        <rFont val="sans-serif"/>
        <color rgb="FF202122"/>
        <sz val="11.0"/>
      </rPr>
      <t>Emerald</t>
    </r>
  </si>
  <si>
    <r>
      <rPr>
        <rFont val="Arial"/>
        <color rgb="FF202122"/>
        <sz val="11.0"/>
      </rPr>
      <t xml:space="preserve">Obtained as a reward for submitting an </t>
    </r>
    <r>
      <rPr>
        <rFont val="Arial"/>
        <color rgb="FF202122"/>
        <sz val="11.0"/>
      </rPr>
      <t>egg rating</t>
    </r>
    <r>
      <rPr>
        <rFont val="Arial"/>
        <color rgb="FF202122"/>
        <sz val="11.0"/>
      </rPr>
      <t xml:space="preserve"> of 25-54 to </t>
    </r>
    <r>
      <rPr>
        <rFont val="Arial"/>
        <color rgb="FF202122"/>
        <sz val="11.0"/>
      </rPr>
      <t>Gil</t>
    </r>
    <r>
      <rPr>
        <rFont val="Arial"/>
        <color rgb="FF202122"/>
        <sz val="11.0"/>
      </rPr>
      <t xml:space="preserve"> during </t>
    </r>
    <r>
      <rPr>
        <rFont val="Arial"/>
        <color rgb="FF202122"/>
        <sz val="11.0"/>
      </rPr>
      <t>Desert Festival</t>
    </r>
    <r>
      <rPr>
        <rFont val="Arial"/>
        <color rgb="FF202122"/>
        <sz val="11.0"/>
      </rPr>
      <t>.</t>
    </r>
  </si>
  <si>
    <r>
      <rPr>
        <rFont val="Arial"/>
        <color rgb="FF202122"/>
        <sz val="11.0"/>
      </rPr>
      <t>Beer</t>
    </r>
    <r>
      <rPr>
        <rFont val="Arial"/>
        <color rgb="FF202122"/>
        <sz val="11.0"/>
      </rPr>
      <t xml:space="preserve"> </t>
    </r>
    <r>
      <rPr>
        <rFont val="Arial"/>
        <color rgb="FF202122"/>
        <sz val="11.0"/>
      </rPr>
      <t>Mead</t>
    </r>
    <r>
      <rPr>
        <rFont val="Arial"/>
        <color rgb="FF202122"/>
        <sz val="11.0"/>
      </rPr>
      <t xml:space="preserve"> </t>
    </r>
    <r>
      <rPr>
        <rFont val="Arial"/>
        <color rgb="FF202122"/>
        <sz val="11.0"/>
      </rPr>
      <t>Pale Ale</t>
    </r>
    <r>
      <rPr>
        <rFont val="Arial"/>
        <color rgb="FF202122"/>
        <sz val="11.0"/>
      </rPr>
      <t xml:space="preserve"> </t>
    </r>
    <r>
      <rPr>
        <rFont val="Arial"/>
        <color rgb="FF202122"/>
        <sz val="11.0"/>
      </rPr>
      <t>Piña Colada</t>
    </r>
    <r>
      <rPr>
        <rFont val="Arial"/>
        <color rgb="FF202122"/>
        <sz val="11.0"/>
      </rPr>
      <t xml:space="preserve"> </t>
    </r>
    <r>
      <rPr>
        <rFont val="Arial"/>
        <color rgb="FF202122"/>
        <sz val="11.0"/>
      </rPr>
      <t>Wine</t>
    </r>
    <r>
      <rPr>
        <rFont val="Arial"/>
        <color rgb="FF202122"/>
        <sz val="11.0"/>
      </rPr>
      <t xml:space="preserve"> (any)</t>
    </r>
  </si>
  <si>
    <r>
      <rPr>
        <rFont val="Arial"/>
        <color rgb="FF202122"/>
        <sz val="11.0"/>
      </rPr>
      <t>A variant of the male version may be obtained from the Makeover Stall at the Desert Festival</t>
    </r>
    <r>
      <rPr>
        <rFont val="Arial"/>
        <color rgb="FF202122"/>
        <sz val="11.0"/>
        <u/>
      </rPr>
      <t>[3]</t>
    </r>
    <r>
      <rPr>
        <rFont val="Arial"/>
        <color rgb="FF202122"/>
        <sz val="11.0"/>
      </rPr>
      <t xml:space="preserve"> - this variant has an effect</t>
    </r>
  </si>
  <si>
    <r>
      <rPr>
        <rFont val="Arial"/>
        <color rgb="FF202122"/>
        <sz val="11.0"/>
      </rPr>
      <t>Beer</t>
    </r>
    <r>
      <rPr>
        <rFont val="Arial"/>
        <color rgb="FF202122"/>
        <sz val="11.0"/>
      </rPr>
      <t xml:space="preserve"> </t>
    </r>
    <r>
      <rPr>
        <rFont val="Arial"/>
        <color rgb="FF202122"/>
        <sz val="11.0"/>
      </rPr>
      <t>Mead</t>
    </r>
    <r>
      <rPr>
        <rFont val="Arial"/>
        <color rgb="FF202122"/>
        <sz val="11.0"/>
      </rPr>
      <t xml:space="preserve"> </t>
    </r>
    <r>
      <rPr>
        <rFont val="Arial"/>
        <color rgb="FF202122"/>
        <sz val="11.0"/>
      </rPr>
      <t>Pale Ale</t>
    </r>
    <r>
      <rPr>
        <rFont val="Arial"/>
        <color rgb="FF202122"/>
        <sz val="11.0"/>
      </rPr>
      <t xml:space="preserve"> </t>
    </r>
    <r>
      <rPr>
        <rFont val="Arial"/>
        <color rgb="FF202122"/>
        <sz val="11.0"/>
      </rPr>
      <t>Piña Colada</t>
    </r>
    <r>
      <rPr>
        <rFont val="Arial"/>
        <color rgb="FF202122"/>
        <sz val="11.0"/>
      </rPr>
      <t xml:space="preserve"> </t>
    </r>
    <r>
      <rPr>
        <rFont val="Arial"/>
        <color rgb="FF202122"/>
        <sz val="11.0"/>
      </rPr>
      <t>Wine</t>
    </r>
    <r>
      <rPr>
        <rFont val="Arial"/>
        <color rgb="FF202122"/>
        <sz val="11.0"/>
      </rPr>
      <t xml:space="preserve"> (any)</t>
    </r>
  </si>
  <si>
    <t>30% clint discount, 2 defense</t>
  </si>
  <si>
    <t>(winter:50 health, 50 energy, 1 speed)</t>
  </si>
  <si>
    <r>
      <rPr>
        <rFont val="Arial"/>
        <color rgb="FF202122"/>
        <sz val="11.0"/>
      </rPr>
      <t>Bomb</t>
    </r>
    <r>
      <rPr>
        <rFont val="Arial"/>
        <color rgb="FF202122"/>
        <sz val="11.0"/>
      </rPr>
      <t xml:space="preserve"> </t>
    </r>
    <r>
      <rPr>
        <rFont val="Arial"/>
        <color rgb="FF202122"/>
        <sz val="11.0"/>
      </rPr>
      <t>Cherry Bomb</t>
    </r>
    <r>
      <rPr>
        <rFont val="Arial"/>
        <color rgb="FF202122"/>
        <sz val="11.0"/>
      </rPr>
      <t xml:space="preserve"> </t>
    </r>
    <r>
      <rPr>
        <rFont val="Arial"/>
        <color rgb="FF202122"/>
        <sz val="11.0"/>
      </rPr>
      <t>Mega Bomb</t>
    </r>
  </si>
  <si>
    <r>
      <rPr>
        <rFont val="Arial"/>
        <color rgb="FF202122"/>
        <sz val="11.0"/>
      </rPr>
      <t>Bomb</t>
    </r>
    <r>
      <rPr>
        <rFont val="Arial"/>
        <color rgb="FF202122"/>
        <sz val="11.0"/>
      </rPr>
      <t xml:space="preserve"> </t>
    </r>
    <r>
      <rPr>
        <rFont val="Arial"/>
        <color rgb="FF202122"/>
        <sz val="11.0"/>
      </rPr>
      <t>Cherry Bomb</t>
    </r>
    <r>
      <rPr>
        <rFont val="Arial"/>
        <color rgb="FF202122"/>
        <sz val="11.0"/>
      </rPr>
      <t xml:space="preserve"> </t>
    </r>
    <r>
      <rPr>
        <rFont val="Arial"/>
        <color rgb="FF202122"/>
        <sz val="11.0"/>
      </rPr>
      <t>Mega Bomb</t>
    </r>
  </si>
  <si>
    <r>
      <rPr>
        <rFont val="Arial"/>
        <color rgb="FF202122"/>
        <sz val="11.0"/>
      </rPr>
      <t>Broken CD</t>
    </r>
    <r>
      <rPr>
        <rFont val="Arial"/>
        <color rgb="FF202122"/>
        <sz val="11.0"/>
      </rPr>
      <t xml:space="preserve"> </t>
    </r>
    <r>
      <rPr>
        <rFont val="Arial"/>
        <color rgb="FF202122"/>
        <sz val="11.0"/>
      </rPr>
      <t>Broken Glasses</t>
    </r>
    <r>
      <rPr>
        <rFont val="Arial"/>
        <color rgb="FF202122"/>
        <sz val="11.0"/>
      </rPr>
      <t xml:space="preserve"> </t>
    </r>
    <r>
      <rPr>
        <rFont val="Arial"/>
        <color rgb="FF202122"/>
        <sz val="11.0"/>
      </rPr>
      <t>Driftwood</t>
    </r>
    <r>
      <rPr>
        <rFont val="Arial"/>
        <color rgb="FF202122"/>
        <sz val="11.0"/>
      </rPr>
      <t xml:space="preserve"> </t>
    </r>
    <r>
      <rPr>
        <rFont val="Arial"/>
        <color rgb="FF202122"/>
        <sz val="11.0"/>
      </rPr>
      <t>Soggy Newspaper</t>
    </r>
    <r>
      <rPr>
        <rFont val="Arial"/>
        <color rgb="FF202122"/>
        <sz val="11.0"/>
      </rPr>
      <t xml:space="preserve"> </t>
    </r>
    <r>
      <rPr>
        <rFont val="Arial"/>
        <color rgb="FF202122"/>
        <sz val="11.0"/>
      </rPr>
      <t>Trash (item)</t>
    </r>
  </si>
  <si>
    <t>Fishingchest+++, keep chests, 4 fishing, (fall: 2 still stamina regen, 5 attack, Bombey 15, 50 health, 50 energy)</t>
  </si>
  <si>
    <r>
      <rPr>
        <rFont val="Arial"/>
        <color rgb="FF202122"/>
        <sz val="11.0"/>
      </rPr>
      <t>Copper Ore</t>
    </r>
    <r>
      <rPr>
        <rFont val="Arial"/>
        <color rgb="FF202122"/>
        <sz val="11.0"/>
      </rPr>
      <t xml:space="preserve"> </t>
    </r>
    <r>
      <rPr>
        <rFont val="Arial"/>
        <color rgb="FF202122"/>
        <sz val="11.0"/>
      </rPr>
      <t>Gold Ore</t>
    </r>
    <r>
      <rPr>
        <rFont val="Arial"/>
        <color rgb="FF202122"/>
        <sz val="11.0"/>
      </rPr>
      <t xml:space="preserve"> </t>
    </r>
    <r>
      <rPr>
        <rFont val="Arial"/>
        <color rgb="FF202122"/>
        <sz val="11.0"/>
      </rPr>
      <t>Iron Ore</t>
    </r>
    <r>
      <rPr>
        <rFont val="Arial"/>
        <color rgb="FF202122"/>
        <sz val="11.0"/>
      </rPr>
      <t xml:space="preserve"> </t>
    </r>
    <r>
      <rPr>
        <rFont val="Arial"/>
        <color rgb="FF202122"/>
        <sz val="11.0"/>
      </rPr>
      <t>Radioactive Ore</t>
    </r>
  </si>
  <si>
    <t>35% dodge chance, -5 defense, (On Kent Talk: 25 friendship, 35 stamina)</t>
  </si>
  <si>
    <r>
      <rPr>
        <rFont val="Arial"/>
        <color rgb="FF202122"/>
        <sz val="11.0"/>
      </rPr>
      <t xml:space="preserve">Reach a 5-heart </t>
    </r>
    <r>
      <rPr>
        <rFont val="Arial"/>
        <color rgb="FF202122"/>
        <sz val="11.0"/>
        <u/>
      </rPr>
      <t>friend</t>
    </r>
    <r>
      <rPr>
        <rFont val="Arial"/>
        <color rgb="FF202122"/>
        <sz val="11.0"/>
      </rPr>
      <t xml:space="preserve"> level with 20 people.</t>
    </r>
  </si>
  <si>
    <t>5 immunity, sturdy ring, (Winter: 100 health, 5 immunity, 2 speed)</t>
  </si>
  <si>
    <t>50 health,  30 knockback, 2 defense (Low health: 2 attack),(Critical health: 2 speed)</t>
  </si>
  <si>
    <r>
      <rPr>
        <rFont val="Arial"/>
        <color rgb="FF202122"/>
        <sz val="11.0"/>
      </rPr>
      <t>Cranberries</t>
    </r>
    <r>
      <rPr>
        <rFont val="Arial"/>
        <color rgb="FF202122"/>
        <sz val="11.0"/>
      </rPr>
      <t xml:space="preserve">, </t>
    </r>
    <r>
      <rPr>
        <rFont val="Arial"/>
        <color rgb="FF202122"/>
        <sz val="11.0"/>
      </rPr>
      <t>Pineapple</t>
    </r>
    <r>
      <rPr>
        <rFont val="Arial"/>
        <color rgb="FF202122"/>
        <sz val="11.0"/>
      </rPr>
      <t xml:space="preserve">, </t>
    </r>
    <r>
      <rPr>
        <rFont val="Arial"/>
        <color rgb="FF202122"/>
        <sz val="11.0"/>
      </rPr>
      <t>Powdermelon</t>
    </r>
    <r>
      <rPr>
        <rFont val="Arial"/>
        <color rgb="FF202122"/>
        <sz val="11.0"/>
      </rPr>
      <t xml:space="preserve">, </t>
    </r>
    <r>
      <rPr>
        <rFont val="Arial"/>
        <color rgb="FF202122"/>
        <sz val="11.0"/>
      </rPr>
      <t>Strawberry</t>
    </r>
    <r>
      <rPr>
        <rFont val="Arial"/>
        <color rgb="FF202122"/>
        <sz val="11.0"/>
      </rPr>
      <t xml:space="preserve">, </t>
    </r>
    <r>
      <rPr>
        <rFont val="Arial"/>
        <color rgb="FF202122"/>
        <sz val="11.0"/>
      </rPr>
      <t>Wild Plum</t>
    </r>
  </si>
  <si>
    <r>
      <rPr>
        <rFont val="Arial"/>
        <color rgb="FF202122"/>
        <sz val="11.0"/>
      </rPr>
      <t>Blueberry</t>
    </r>
    <r>
      <rPr>
        <rFont val="Arial"/>
        <color rgb="FF202122"/>
        <sz val="11.0"/>
      </rPr>
      <t xml:space="preserve">, </t>
    </r>
    <r>
      <rPr>
        <rFont val="Arial"/>
        <color rgb="FF202122"/>
        <sz val="11.0"/>
      </rPr>
      <t>Grape</t>
    </r>
    <r>
      <rPr>
        <rFont val="Arial"/>
        <color rgb="FF202122"/>
        <sz val="11.0"/>
      </rPr>
      <t xml:space="preserve">, </t>
    </r>
    <r>
      <rPr>
        <rFont val="Arial"/>
        <color rgb="FF202122"/>
        <sz val="11.0"/>
      </rPr>
      <t>Hot, Pepper</t>
    </r>
    <r>
      <rPr>
        <rFont val="Arial"/>
        <color rgb="FF202122"/>
        <sz val="11.0"/>
      </rPr>
      <t xml:space="preserve">, </t>
    </r>
    <r>
      <rPr>
        <rFont val="Arial"/>
        <color rgb="FF202122"/>
        <sz val="11.0"/>
      </rPr>
      <t>Melon</t>
    </r>
  </si>
  <si>
    <r>
      <rPr>
        <rFont val="Arial"/>
        <color rgb="FF202122"/>
        <sz val="11.0"/>
      </rPr>
      <t>Fairy Rose</t>
    </r>
    <r>
      <rPr>
        <rFont val="Arial"/>
        <color rgb="FF202122"/>
        <sz val="11.0"/>
      </rPr>
      <t xml:space="preserve">, </t>
    </r>
    <r>
      <rPr>
        <rFont val="Arial"/>
        <color rgb="FF202122"/>
        <sz val="11.0"/>
      </rPr>
      <t>Sunflower</t>
    </r>
  </si>
  <si>
    <r>
      <rPr>
        <rFont val="Arial"/>
        <color rgb="FF202122"/>
        <sz val="11.0"/>
      </rPr>
      <t>Poppy</t>
    </r>
    <r>
      <rPr>
        <rFont val="Arial"/>
        <color rgb="FF202122"/>
        <sz val="11.0"/>
      </rPr>
      <t xml:space="preserve">, </t>
    </r>
    <r>
      <rPr>
        <rFont val="Arial"/>
        <color rgb="FF202122"/>
        <sz val="11.0"/>
      </rPr>
      <t>Summer, Spangle</t>
    </r>
  </si>
  <si>
    <r>
      <rPr>
        <rFont val="Arial"/>
        <color rgb="FF202122"/>
        <sz val="11.0"/>
      </rPr>
      <t>Truffle</t>
    </r>
    <r>
      <rPr>
        <rFont val="Arial"/>
        <color rgb="FF202122"/>
        <sz val="11.0"/>
      </rPr>
      <t xml:space="preserve"> </t>
    </r>
    <r>
      <rPr>
        <rFont val="Arial"/>
        <color rgb="FF202122"/>
        <sz val="11.0"/>
      </rPr>
      <t>Truffle Oil</t>
    </r>
  </si>
  <si>
    <r>
      <rPr>
        <rFont val="Arial"/>
        <color rgb="FF202122"/>
        <sz val="11.0"/>
      </rPr>
      <t>Ancient Fruit</t>
    </r>
    <r>
      <rPr>
        <rFont val="Arial"/>
        <color rgb="FF202122"/>
        <sz val="11.0"/>
      </rPr>
      <t xml:space="preserve">, </t>
    </r>
    <r>
      <rPr>
        <rFont val="Arial"/>
        <color rgb="FF202122"/>
        <sz val="11.0"/>
      </rPr>
      <t>Starfruit</t>
    </r>
  </si>
  <si>
    <r>
      <rPr>
        <rFont val="Arial"/>
        <color rgb="FF202122"/>
        <sz val="11.0"/>
      </rPr>
      <t>Life Elixir</t>
    </r>
    <r>
      <rPr>
        <rFont val="Arial"/>
        <color rgb="FF202122"/>
        <sz val="11.0"/>
      </rPr>
      <t xml:space="preserve"> </t>
    </r>
    <r>
      <rPr>
        <rFont val="Arial"/>
        <color rgb="FF202122"/>
        <sz val="11.0"/>
      </rPr>
      <t>Monster Musk</t>
    </r>
    <r>
      <rPr>
        <rFont val="Arial"/>
        <color rgb="FF202122"/>
        <sz val="11.0"/>
      </rPr>
      <t xml:space="preserve"> </t>
    </r>
    <r>
      <rPr>
        <rFont val="Arial"/>
        <color rgb="FF202122"/>
        <sz val="11.0"/>
      </rPr>
      <t>Oil of Garlic</t>
    </r>
  </si>
  <si>
    <r>
      <rPr>
        <rFont val="Arial"/>
        <color rgb="FF202122"/>
        <sz val="11.0"/>
      </rPr>
      <t>Truffle</t>
    </r>
    <r>
      <rPr>
        <rFont val="Arial"/>
        <color rgb="FF202122"/>
        <sz val="11.0"/>
      </rPr>
      <t xml:space="preserve"> </t>
    </r>
    <r>
      <rPr>
        <rFont val="Arial"/>
        <color rgb="FF202122"/>
        <sz val="11.0"/>
      </rPr>
      <t>Truffle Oil</t>
    </r>
  </si>
  <si>
    <r>
      <rPr>
        <rFont val="Arial"/>
        <color rgb="FF202122"/>
        <sz val="11.0"/>
      </rPr>
      <t>Life Elixir</t>
    </r>
    <r>
      <rPr>
        <rFont val="Arial"/>
        <color rgb="FF202122"/>
        <sz val="11.0"/>
      </rPr>
      <t xml:space="preserve"> </t>
    </r>
    <r>
      <rPr>
        <rFont val="Arial"/>
        <color rgb="FF202122"/>
        <sz val="11.0"/>
      </rPr>
      <t>Monster Musk</t>
    </r>
    <r>
      <rPr>
        <rFont val="Arial"/>
        <color rgb="FF202122"/>
        <sz val="11.0"/>
      </rPr>
      <t xml:space="preserve"> </t>
    </r>
    <r>
      <rPr>
        <rFont val="Arial"/>
        <color rgb="FF202122"/>
        <sz val="11.0"/>
      </rPr>
      <t>Oil of Garlic</t>
    </r>
  </si>
  <si>
    <r>
      <rPr>
        <rFont val="Arial"/>
        <color rgb="FF202122"/>
        <sz val="11.0"/>
      </rPr>
      <t>Apple</t>
    </r>
    <r>
      <rPr>
        <rFont val="Arial"/>
        <color rgb="FF202122"/>
        <sz val="11.0"/>
      </rPr>
      <t xml:space="preserve">, </t>
    </r>
    <r>
      <rPr>
        <rFont val="Arial"/>
        <color rgb="FF202122"/>
        <sz val="11.0"/>
      </rPr>
      <t>Apricot</t>
    </r>
    <r>
      <rPr>
        <rFont val="Arial"/>
        <color rgb="FF202122"/>
        <sz val="11.0"/>
      </rPr>
      <t xml:space="preserve">, </t>
    </r>
    <r>
      <rPr>
        <rFont val="Arial"/>
        <color rgb="FF202122"/>
        <sz val="11.0"/>
      </rPr>
      <t>Banana</t>
    </r>
    <r>
      <rPr>
        <rFont val="Arial"/>
        <color rgb="FF202122"/>
        <sz val="11.0"/>
      </rPr>
      <t xml:space="preserve">, </t>
    </r>
    <r>
      <rPr>
        <rFont val="Arial"/>
        <color rgb="FF202122"/>
        <sz val="11.0"/>
      </rPr>
      <t>Cherry</t>
    </r>
    <r>
      <rPr>
        <rFont val="Arial"/>
        <color rgb="FF202122"/>
        <sz val="11.0"/>
      </rPr>
      <t xml:space="preserve">, </t>
    </r>
    <r>
      <rPr>
        <rFont val="Arial"/>
        <color rgb="FF202122"/>
        <sz val="11.0"/>
      </rPr>
      <t>Mango</t>
    </r>
    <r>
      <rPr>
        <rFont val="Arial"/>
        <color rgb="FF202122"/>
        <sz val="11.0"/>
      </rPr>
      <t xml:space="preserve">, </t>
    </r>
    <r>
      <rPr>
        <rFont val="Arial"/>
        <color rgb="FF202122"/>
        <sz val="11.0"/>
      </rPr>
      <t>Pomegranate</t>
    </r>
  </si>
  <si>
    <r>
      <rPr>
        <rFont val="Arial"/>
        <color rgb="FF202122"/>
        <sz val="11.0"/>
      </rPr>
      <t>Orange</t>
    </r>
    <r>
      <rPr>
        <rFont val="Arial"/>
        <color rgb="FF202122"/>
        <sz val="11.0"/>
      </rPr>
      <t xml:space="preserve">, </t>
    </r>
    <r>
      <rPr>
        <rFont val="Arial"/>
        <color rgb="FF202122"/>
        <sz val="11.0"/>
      </rPr>
      <t>Peach</t>
    </r>
  </si>
  <si>
    <r>
      <rPr>
        <rFont val="Arial"/>
        <color rgb="FF202122"/>
        <sz val="11.0"/>
      </rPr>
      <t xml:space="preserve">Purchase from the </t>
    </r>
    <r>
      <rPr>
        <rFont val="Arial"/>
        <color rgb="FF202122"/>
        <sz val="11.0"/>
      </rPr>
      <t>Magic Shop Boat</t>
    </r>
    <r>
      <rPr>
        <rFont val="Arial"/>
        <color rgb="FF202122"/>
        <sz val="11.0"/>
      </rPr>
      <t xml:space="preserve"> at the </t>
    </r>
    <r>
      <rPr>
        <rFont val="Arial"/>
        <color rgb="FF202122"/>
        <sz val="11.0"/>
      </rPr>
      <t>Night Market</t>
    </r>
    <r>
      <rPr>
        <rFont val="Arial"/>
        <color rgb="FF202122"/>
        <sz val="11.0"/>
      </rPr>
      <t>.</t>
    </r>
  </si>
  <si>
    <t>(Spring: (Storm: (Critical health: (4pm-4:10pm: (While holding Ossified Blade: 100 speed, popularity, popularity, popularity, popularity, popularity, popularity, popularity, popularity, popularity, popularity, 100 luck)))))</t>
  </si>
  <si>
    <t>20% krobus discount, (underground:2 speed)</t>
  </si>
  <si>
    <r>
      <rPr>
        <rFont val="Arial"/>
        <color rgb="FF202122"/>
        <sz val="11.0"/>
      </rPr>
      <t xml:space="preserve">Reach a 10-heart </t>
    </r>
    <r>
      <rPr>
        <rFont val="Arial"/>
        <color rgb="FF202122"/>
        <sz val="11.0"/>
        <u/>
      </rPr>
      <t>friend</t>
    </r>
    <r>
      <rPr>
        <rFont val="Arial"/>
        <color rgb="FF202122"/>
        <sz val="11.0"/>
      </rPr>
      <t xml:space="preserve"> level with 8 people.</t>
    </r>
  </si>
  <si>
    <r>
      <rPr>
        <rFont val="Arial"/>
        <color rgb="FF202122"/>
        <sz val="11.0"/>
      </rPr>
      <t xml:space="preserve">Obtained as a reward from the </t>
    </r>
    <r>
      <rPr>
        <rFont val="Arial"/>
        <color rgb="FF202122"/>
        <sz val="11.0"/>
        <u/>
      </rPr>
      <t>Trout Derby</t>
    </r>
    <r>
      <rPr>
        <rFont val="Arial"/>
        <color rgb="FF202122"/>
        <sz val="11.0"/>
      </rPr>
      <t>.</t>
    </r>
  </si>
  <si>
    <r>
      <rPr>
        <rFont val="Arial"/>
        <color rgb="FF202122"/>
        <sz val="11.0"/>
      </rPr>
      <t>Bream</t>
    </r>
    <r>
      <rPr>
        <rFont val="Arial"/>
        <color rgb="FF202122"/>
        <sz val="11.0"/>
      </rPr>
      <t xml:space="preserve"> </t>
    </r>
    <r>
      <rPr>
        <rFont val="Arial"/>
        <color rgb="FF202122"/>
        <sz val="11.0"/>
      </rPr>
      <t>Catfish</t>
    </r>
    <r>
      <rPr>
        <rFont val="Arial"/>
        <color rgb="FF202122"/>
        <sz val="11.0"/>
      </rPr>
      <t xml:space="preserve"> </t>
    </r>
    <r>
      <rPr>
        <rFont val="Arial"/>
        <color rgb="FF202122"/>
        <sz val="11.0"/>
      </rPr>
      <t>Dorado</t>
    </r>
    <r>
      <rPr>
        <rFont val="Arial"/>
        <color rgb="FF202122"/>
        <sz val="11.0"/>
      </rPr>
      <t xml:space="preserve"> </t>
    </r>
    <r>
      <rPr>
        <rFont val="Arial"/>
        <color rgb="FF202122"/>
        <sz val="11.0"/>
      </rPr>
      <t>Ghostfish</t>
    </r>
    <r>
      <rPr>
        <rFont val="Arial"/>
        <color rgb="FF202122"/>
        <sz val="11.0"/>
      </rPr>
      <t xml:space="preserve"> </t>
    </r>
    <r>
      <rPr>
        <rFont val="Arial"/>
        <color rgb="FF202122"/>
        <sz val="11.0"/>
      </rPr>
      <t>Goby</t>
    </r>
    <r>
      <rPr>
        <rFont val="Arial"/>
        <color rgb="FF202122"/>
        <sz val="11.0"/>
      </rPr>
      <t xml:space="preserve"> </t>
    </r>
    <r>
      <rPr>
        <rFont val="Arial"/>
        <color rgb="FF202122"/>
        <sz val="11.0"/>
      </rPr>
      <t>Rainbow Trout</t>
    </r>
    <r>
      <rPr>
        <rFont val="Arial"/>
        <color rgb="FF202122"/>
        <sz val="11.0"/>
      </rPr>
      <t xml:space="preserve"> </t>
    </r>
    <r>
      <rPr>
        <rFont val="Arial"/>
        <color rgb="FF202122"/>
        <sz val="11.0"/>
      </rPr>
      <t>Sandfish</t>
    </r>
    <r>
      <rPr>
        <rFont val="Arial"/>
        <color rgb="FF202122"/>
        <sz val="11.0"/>
      </rPr>
      <t xml:space="preserve"> </t>
    </r>
    <r>
      <rPr>
        <rFont val="Arial"/>
        <color rgb="FF202122"/>
        <sz val="11.0"/>
      </rPr>
      <t>Shad</t>
    </r>
    <r>
      <rPr>
        <rFont val="Arial"/>
        <color rgb="FF202122"/>
        <sz val="11.0"/>
      </rPr>
      <t xml:space="preserve"> </t>
    </r>
    <r>
      <rPr>
        <rFont val="Arial"/>
        <color rgb="FF202122"/>
        <sz val="11.0"/>
      </rPr>
      <t>Sunfish</t>
    </r>
    <r>
      <rPr>
        <rFont val="Arial"/>
        <color rgb="FF202122"/>
        <sz val="11.0"/>
      </rPr>
      <t xml:space="preserve"> </t>
    </r>
    <r>
      <rPr>
        <rFont val="Arial"/>
        <color rgb="FF202122"/>
        <sz val="11.0"/>
      </rPr>
      <t>Tiger Trout</t>
    </r>
  </si>
  <si>
    <r>
      <rPr>
        <rFont val="Arial"/>
        <color rgb="FF202122"/>
        <sz val="11.0"/>
      </rPr>
      <t>Bream</t>
    </r>
    <r>
      <rPr>
        <rFont val="Arial"/>
        <color rgb="FF202122"/>
        <sz val="11.0"/>
      </rPr>
      <t xml:space="preserve"> </t>
    </r>
    <r>
      <rPr>
        <rFont val="Arial"/>
        <color rgb="FF202122"/>
        <sz val="11.0"/>
      </rPr>
      <t>Catfish</t>
    </r>
    <r>
      <rPr>
        <rFont val="Arial"/>
        <color rgb="FF202122"/>
        <sz val="11.0"/>
      </rPr>
      <t xml:space="preserve"> </t>
    </r>
    <r>
      <rPr>
        <rFont val="Arial"/>
        <color rgb="FF202122"/>
        <sz val="11.0"/>
      </rPr>
      <t>Dorado</t>
    </r>
    <r>
      <rPr>
        <rFont val="Arial"/>
        <color rgb="FF202122"/>
        <sz val="11.0"/>
      </rPr>
      <t xml:space="preserve"> </t>
    </r>
    <r>
      <rPr>
        <rFont val="Arial"/>
        <color rgb="FF202122"/>
        <sz val="11.0"/>
      </rPr>
      <t>Ghostfish</t>
    </r>
    <r>
      <rPr>
        <rFont val="Arial"/>
        <color rgb="FF202122"/>
        <sz val="11.0"/>
      </rPr>
      <t xml:space="preserve"> </t>
    </r>
    <r>
      <rPr>
        <rFont val="Arial"/>
        <color rgb="FF202122"/>
        <sz val="11.0"/>
      </rPr>
      <t>Goby</t>
    </r>
    <r>
      <rPr>
        <rFont val="Arial"/>
        <color rgb="FF202122"/>
        <sz val="11.0"/>
      </rPr>
      <t xml:space="preserve"> </t>
    </r>
    <r>
      <rPr>
        <rFont val="Arial"/>
        <color rgb="FF202122"/>
        <sz val="11.0"/>
      </rPr>
      <t>Rainbow Trout</t>
    </r>
    <r>
      <rPr>
        <rFont val="Arial"/>
        <color rgb="FF202122"/>
        <sz val="11.0"/>
      </rPr>
      <t xml:space="preserve"> </t>
    </r>
    <r>
      <rPr>
        <rFont val="Arial"/>
        <color rgb="FF202122"/>
        <sz val="11.0"/>
      </rPr>
      <t>Sandfish</t>
    </r>
    <r>
      <rPr>
        <rFont val="Arial"/>
        <color rgb="FF202122"/>
        <sz val="11.0"/>
      </rPr>
      <t xml:space="preserve"> </t>
    </r>
    <r>
      <rPr>
        <rFont val="Arial"/>
        <color rgb="FF202122"/>
        <sz val="11.0"/>
      </rPr>
      <t>Shad</t>
    </r>
    <r>
      <rPr>
        <rFont val="Arial"/>
        <color rgb="FF202122"/>
        <sz val="11.0"/>
      </rPr>
      <t xml:space="preserve"> </t>
    </r>
    <r>
      <rPr>
        <rFont val="Arial"/>
        <color rgb="FF202122"/>
        <sz val="11.0"/>
      </rPr>
      <t>Sunfish</t>
    </r>
    <r>
      <rPr>
        <rFont val="Arial"/>
        <color rgb="FF202122"/>
        <sz val="11.0"/>
      </rPr>
      <t xml:space="preserve"> </t>
    </r>
    <r>
      <rPr>
        <rFont val="Arial"/>
        <color rgb="FF202122"/>
        <sz val="11.0"/>
      </rPr>
      <t>Tiger Trout</t>
    </r>
  </si>
  <si>
    <r>
      <rPr>
        <rFont val="Arial"/>
        <color rgb="FF202122"/>
        <sz val="11.0"/>
      </rPr>
      <t xml:space="preserve">Donate 40 different items to The </t>
    </r>
    <r>
      <rPr>
        <rFont val="Arial"/>
        <color rgb="FF202122"/>
        <sz val="11.0"/>
        <u/>
      </rPr>
      <t>Museum</t>
    </r>
    <r>
      <rPr>
        <rFont val="Arial"/>
        <color rgb="FF202122"/>
        <sz val="11.0"/>
      </rPr>
      <t>.</t>
    </r>
  </si>
  <si>
    <t>Fish pond commitment, 5 combat</t>
  </si>
  <si>
    <t>1 Luck, 1 attack (island:1 luck, 1 speed)</t>
  </si>
  <si>
    <r>
      <rPr>
        <rFont val="Arial"/>
        <color rgb="FF0645AD"/>
        <sz val="11.0"/>
      </rPr>
      <t>Monster Eradication Goal</t>
    </r>
    <r>
      <rPr>
        <rFont val="Arial"/>
        <color rgb="FF0645AD"/>
        <sz val="11.0"/>
      </rPr>
      <t xml:space="preserve"> - Defeat 100 </t>
    </r>
    <r>
      <rPr>
        <rFont val="Arial"/>
        <color rgb="FF0645AD"/>
        <sz val="11.0"/>
      </rPr>
      <t>Mummies</t>
    </r>
    <r>
      <rPr>
        <rFont val="Arial"/>
        <color rgb="FF0645AD"/>
        <sz val="11.0"/>
      </rPr>
      <t>.</t>
    </r>
  </si>
  <si>
    <t>burglar ring,(On Caroline Talk: 50 friendship) (fall: 6 magnetism, 1 speed) (storm: 10 immunity, 4 speed) (fall and storm: autorevive, 8 attack)</t>
  </si>
  <si>
    <t>5 Immunity, 7 magnetism, 15% dodge, 1.5x crit damage (storm:25% dodge chance, 1.5x crit chance)</t>
  </si>
  <si>
    <t>(Weapon Dagger: (Underground: 15 speed), 0% crit chance, 0% crit damage, -150 defense, 2.5x weapon speed)</t>
  </si>
  <si>
    <r>
      <rPr>
        <rFont val="Arial"/>
        <color rgb="FF202122"/>
        <sz val="11.0"/>
      </rPr>
      <t>A variant of the male version may be obtained from the Makeover Stall at the Desert Festival</t>
    </r>
    <r>
      <rPr>
        <rFont val="Arial"/>
        <color rgb="FF202122"/>
        <sz val="11.0"/>
        <u/>
      </rPr>
      <t>[3]</t>
    </r>
    <r>
      <rPr>
        <rFont val="Arial"/>
        <color rgb="FF202122"/>
        <sz val="11.0"/>
      </rPr>
      <t xml:space="preserve"> - this variant has an effect</t>
    </r>
  </si>
  <si>
    <t>(Only soft edge variant!: 3 luck, -10 defense, fishing chest++++)</t>
  </si>
  <si>
    <t>(winter:40 health, 40 energy, 3 defense)</t>
  </si>
  <si>
    <t>Burnt, 2 speed, 6 attack, Spikey (5)</t>
  </si>
  <si>
    <r>
      <rPr>
        <rFont val="Arial"/>
        <color rgb="FF202122"/>
        <sz val="11.0"/>
      </rPr>
      <t>Beer</t>
    </r>
    <r>
      <rPr>
        <rFont val="Arial"/>
        <color rgb="FF202122"/>
        <sz val="11.0"/>
      </rPr>
      <t xml:space="preserve"> </t>
    </r>
    <r>
      <rPr>
        <rFont val="Arial"/>
        <color rgb="FF202122"/>
        <sz val="11.0"/>
      </rPr>
      <t>Mead</t>
    </r>
    <r>
      <rPr>
        <rFont val="Arial"/>
        <color rgb="FF202122"/>
        <sz val="11.0"/>
      </rPr>
      <t xml:space="preserve"> </t>
    </r>
    <r>
      <rPr>
        <rFont val="Arial"/>
        <color rgb="FF202122"/>
        <sz val="11.0"/>
      </rPr>
      <t>Pale Ale</t>
    </r>
    <r>
      <rPr>
        <rFont val="Arial"/>
        <color rgb="FF202122"/>
        <sz val="11.0"/>
      </rPr>
      <t xml:space="preserve"> </t>
    </r>
    <r>
      <rPr>
        <rFont val="Arial"/>
        <color rgb="FF202122"/>
        <sz val="11.0"/>
      </rPr>
      <t>Piña Colada</t>
    </r>
    <r>
      <rPr>
        <rFont val="Arial"/>
        <color rgb="FF202122"/>
        <sz val="11.0"/>
      </rPr>
      <t xml:space="preserve"> </t>
    </r>
    <r>
      <rPr>
        <rFont val="Arial"/>
        <color rgb="FF202122"/>
        <sz val="11.0"/>
      </rPr>
      <t>Wine</t>
    </r>
    <r>
      <rPr>
        <rFont val="Arial"/>
        <color rgb="FF202122"/>
        <sz val="11.0"/>
      </rPr>
      <t xml:space="preserve"> (any)</t>
    </r>
  </si>
  <si>
    <t>5 second still 40 stamina regen</t>
  </si>
  <si>
    <r>
      <rPr>
        <rFont val="Arial"/>
        <color rgb="FF202122"/>
        <sz val="11.0"/>
      </rPr>
      <t>Bomb</t>
    </r>
    <r>
      <rPr>
        <rFont val="Arial"/>
        <color rgb="FF202122"/>
        <sz val="11.0"/>
      </rPr>
      <t xml:space="preserve"> </t>
    </r>
    <r>
      <rPr>
        <rFont val="Arial"/>
        <color rgb="FF202122"/>
        <sz val="11.0"/>
      </rPr>
      <t>Cherry Bomb</t>
    </r>
    <r>
      <rPr>
        <rFont val="Arial"/>
        <color rgb="FF202122"/>
        <sz val="11.0"/>
      </rPr>
      <t xml:space="preserve"> </t>
    </r>
    <r>
      <rPr>
        <rFont val="Arial"/>
        <color rgb="FF202122"/>
        <sz val="11.0"/>
      </rPr>
      <t>Mega Bomb</t>
    </r>
  </si>
  <si>
    <t>Recycler</t>
  </si>
  <si>
    <t>50% dodge chance, -5 defense, (On Kent Talk: 25 friendship, 35 stamina)</t>
  </si>
  <si>
    <t>1 defense</t>
  </si>
  <si>
    <t>3 rainbow glow</t>
  </si>
  <si>
    <t>35% sandy discount, (On Sandy Talk: 200 health)</t>
  </si>
  <si>
    <r>
      <rPr>
        <rFont val="Arial"/>
        <color rgb="FF202122"/>
        <sz val="11.0"/>
      </rPr>
      <t>Truffle</t>
    </r>
    <r>
      <rPr>
        <rFont val="Arial"/>
        <color rgb="FF202122"/>
        <sz val="11.0"/>
      </rPr>
      <t xml:space="preserve"> </t>
    </r>
    <r>
      <rPr>
        <rFont val="Arial"/>
        <color rgb="FF202122"/>
        <sz val="11.0"/>
      </rPr>
      <t>Truffle Oil</t>
    </r>
  </si>
  <si>
    <r>
      <rPr>
        <rFont val="Arial"/>
        <color rgb="FF202122"/>
        <sz val="11.0"/>
      </rPr>
      <t>Life Elixir</t>
    </r>
    <r>
      <rPr>
        <rFont val="Arial"/>
        <color rgb="FF202122"/>
        <sz val="11.0"/>
      </rPr>
      <t xml:space="preserve"> </t>
    </r>
    <r>
      <rPr>
        <rFont val="Arial"/>
        <color rgb="FF202122"/>
        <sz val="11.0"/>
      </rPr>
      <t>Monster Musk</t>
    </r>
    <r>
      <rPr>
        <rFont val="Arial"/>
        <color rgb="FF202122"/>
        <sz val="11.0"/>
      </rPr>
      <t xml:space="preserve"> </t>
    </r>
    <r>
      <rPr>
        <rFont val="Arial"/>
        <color rgb="FF202122"/>
        <sz val="11.0"/>
      </rPr>
      <t>Oil of Garlic</t>
    </r>
  </si>
  <si>
    <t>2 defense, 4 attack</t>
  </si>
  <si>
    <r>
      <rPr>
        <rFont val="Arial"/>
        <color rgb="FF202122"/>
        <sz val="11.0"/>
      </rPr>
      <t>Bream</t>
    </r>
    <r>
      <rPr>
        <rFont val="Arial"/>
        <color rgb="FF202122"/>
        <sz val="11.0"/>
      </rPr>
      <t xml:space="preserve"> </t>
    </r>
    <r>
      <rPr>
        <rFont val="Arial"/>
        <color rgb="FF202122"/>
        <sz val="11.0"/>
      </rPr>
      <t>Catfish</t>
    </r>
    <r>
      <rPr>
        <rFont val="Arial"/>
        <color rgb="FF202122"/>
        <sz val="11.0"/>
      </rPr>
      <t xml:space="preserve"> </t>
    </r>
    <r>
      <rPr>
        <rFont val="Arial"/>
        <color rgb="FF202122"/>
        <sz val="11.0"/>
      </rPr>
      <t>Dorado</t>
    </r>
    <r>
      <rPr>
        <rFont val="Arial"/>
        <color rgb="FF202122"/>
        <sz val="11.0"/>
      </rPr>
      <t xml:space="preserve"> </t>
    </r>
    <r>
      <rPr>
        <rFont val="Arial"/>
        <color rgb="FF202122"/>
        <sz val="11.0"/>
      </rPr>
      <t>Ghostfish</t>
    </r>
    <r>
      <rPr>
        <rFont val="Arial"/>
        <color rgb="FF202122"/>
        <sz val="11.0"/>
      </rPr>
      <t xml:space="preserve"> </t>
    </r>
    <r>
      <rPr>
        <rFont val="Arial"/>
        <color rgb="FF202122"/>
        <sz val="11.0"/>
      </rPr>
      <t>Goby</t>
    </r>
    <r>
      <rPr>
        <rFont val="Arial"/>
        <color rgb="FF202122"/>
        <sz val="11.0"/>
      </rPr>
      <t xml:space="preserve"> </t>
    </r>
    <r>
      <rPr>
        <rFont val="Arial"/>
        <color rgb="FF202122"/>
        <sz val="11.0"/>
      </rPr>
      <t>Rainbow Trout</t>
    </r>
    <r>
      <rPr>
        <rFont val="Arial"/>
        <color rgb="FF202122"/>
        <sz val="11.0"/>
      </rPr>
      <t xml:space="preserve"> </t>
    </r>
    <r>
      <rPr>
        <rFont val="Arial"/>
        <color rgb="FF202122"/>
        <sz val="11.0"/>
      </rPr>
      <t>Sandfish</t>
    </r>
    <r>
      <rPr>
        <rFont val="Arial"/>
        <color rgb="FF202122"/>
        <sz val="11.0"/>
      </rPr>
      <t xml:space="preserve"> </t>
    </r>
    <r>
      <rPr>
        <rFont val="Arial"/>
        <color rgb="FF202122"/>
        <sz val="11.0"/>
      </rPr>
      <t>Shad</t>
    </r>
    <r>
      <rPr>
        <rFont val="Arial"/>
        <color rgb="FF202122"/>
        <sz val="11.0"/>
      </rPr>
      <t xml:space="preserve"> </t>
    </r>
    <r>
      <rPr>
        <rFont val="Arial"/>
        <color rgb="FF202122"/>
        <sz val="11.0"/>
      </rPr>
      <t>Sunfish</t>
    </r>
    <r>
      <rPr>
        <rFont val="Arial"/>
        <color rgb="FF202122"/>
        <sz val="11.0"/>
      </rPr>
      <t xml:space="preserve"> </t>
    </r>
    <r>
      <rPr>
        <rFont val="Arial"/>
        <color rgb="FF202122"/>
        <sz val="11.0"/>
      </rPr>
      <t>Tiger Trout</t>
    </r>
  </si>
  <si>
    <t>3 defense, Vampirism 6, soul sapping 15</t>
  </si>
  <si>
    <t>Burnt, Popularity, 4 speed (Healthy: Spikey(15), 4 red glowing)</t>
  </si>
  <si>
    <t>(Farm: 6 combat) (Critical health and underground: 10 speed)</t>
  </si>
  <si>
    <t>Fish pond commitment, 2 fishing</t>
  </si>
  <si>
    <t>2x crit chance, 3x crit damage</t>
  </si>
  <si>
    <r>
      <rPr>
        <rFont val="Arial"/>
        <color rgb="FF202122"/>
        <sz val="11.0"/>
      </rPr>
      <t>Carrot</t>
    </r>
    <r>
      <rPr>
        <rFont val="Arial"/>
        <color rgb="FF202122"/>
        <sz val="11.0"/>
      </rPr>
      <t xml:space="preserve"> </t>
    </r>
    <r>
      <rPr>
        <rFont val="Arial"/>
        <color rgb="FF202122"/>
        <sz val="11.0"/>
      </rPr>
      <t>Cauliflower</t>
    </r>
    <r>
      <rPr>
        <rFont val="Arial"/>
        <color rgb="FF202122"/>
        <sz val="11.0"/>
      </rPr>
      <t xml:space="preserve"> </t>
    </r>
    <r>
      <rPr>
        <rFont val="Arial"/>
        <color rgb="FF202122"/>
        <sz val="11.0"/>
      </rPr>
      <t>Garlic</t>
    </r>
    <r>
      <rPr>
        <rFont val="Arial"/>
        <color rgb="FF202122"/>
        <sz val="11.0"/>
      </rPr>
      <t xml:space="preserve"> </t>
    </r>
    <r>
      <rPr>
        <rFont val="Arial"/>
        <color rgb="FF202122"/>
        <sz val="11.0"/>
      </rPr>
      <t>Green Bean</t>
    </r>
    <r>
      <rPr>
        <rFont val="Arial"/>
        <color rgb="FF202122"/>
        <sz val="11.0"/>
      </rPr>
      <t xml:space="preserve"> </t>
    </r>
    <r>
      <rPr>
        <rFont val="Arial"/>
        <color rgb="FF202122"/>
        <sz val="11.0"/>
      </rPr>
      <t>Hops</t>
    </r>
    <r>
      <rPr>
        <rFont val="Arial"/>
        <color rgb="FF202122"/>
        <sz val="11.0"/>
      </rPr>
      <t xml:space="preserve"> </t>
    </r>
    <r>
      <rPr>
        <rFont val="Arial"/>
        <color rgb="FF202122"/>
        <sz val="11.0"/>
      </rPr>
      <t>Kale</t>
    </r>
    <r>
      <rPr>
        <rFont val="Arial"/>
        <color rgb="FF202122"/>
        <sz val="11.0"/>
      </rPr>
      <t xml:space="preserve"> </t>
    </r>
    <r>
      <rPr>
        <rFont val="Arial"/>
        <color rgb="FF202122"/>
        <sz val="11.0"/>
      </rPr>
      <t>Parsnip</t>
    </r>
    <r>
      <rPr>
        <rFont val="Arial"/>
        <color rgb="FF202122"/>
        <sz val="11.0"/>
      </rPr>
      <t xml:space="preserve"> </t>
    </r>
    <r>
      <rPr>
        <rFont val="Arial"/>
        <color rgb="FF202122"/>
        <sz val="11.0"/>
      </rPr>
      <t>Potato</t>
    </r>
    <r>
      <rPr>
        <rFont val="Arial"/>
        <color rgb="FF202122"/>
        <sz val="11.0"/>
      </rPr>
      <t xml:space="preserve"> </t>
    </r>
    <r>
      <rPr>
        <rFont val="Arial"/>
        <color rgb="FF202122"/>
        <sz val="11.0"/>
      </rPr>
      <t>Taro Root</t>
    </r>
    <r>
      <rPr>
        <rFont val="Arial"/>
        <color rgb="FF202122"/>
        <sz val="11.0"/>
      </rPr>
      <t xml:space="preserve"> </t>
    </r>
    <r>
      <rPr>
        <rFont val="Arial"/>
        <color rgb="FF202122"/>
        <sz val="11.0"/>
      </rPr>
      <t>Tea Leaves</t>
    </r>
    <r>
      <rPr>
        <rFont val="Arial"/>
        <color rgb="FF202122"/>
        <sz val="11.0"/>
      </rPr>
      <t xml:space="preserve"> </t>
    </r>
    <r>
      <rPr>
        <rFont val="Arial"/>
        <color rgb="FF202122"/>
        <sz val="11.0"/>
      </rPr>
      <t>Unmilled Rice</t>
    </r>
  </si>
  <si>
    <r>
      <rPr>
        <rFont val="Arial"/>
        <color rgb="FF202122"/>
        <sz val="11.0"/>
      </rPr>
      <t>Carrot</t>
    </r>
    <r>
      <rPr>
        <rFont val="Arial"/>
        <color rgb="FF202122"/>
        <sz val="11.0"/>
      </rPr>
      <t xml:space="preserve"> </t>
    </r>
    <r>
      <rPr>
        <rFont val="Arial"/>
        <color rgb="FF202122"/>
        <sz val="11.0"/>
      </rPr>
      <t>Cauliflower</t>
    </r>
    <r>
      <rPr>
        <rFont val="Arial"/>
        <color rgb="FF202122"/>
        <sz val="11.0"/>
      </rPr>
      <t xml:space="preserve"> </t>
    </r>
    <r>
      <rPr>
        <rFont val="Arial"/>
        <color rgb="FF202122"/>
        <sz val="11.0"/>
      </rPr>
      <t>Garlic</t>
    </r>
    <r>
      <rPr>
        <rFont val="Arial"/>
        <color rgb="FF202122"/>
        <sz val="11.0"/>
      </rPr>
      <t xml:space="preserve"> </t>
    </r>
    <r>
      <rPr>
        <rFont val="Arial"/>
        <color rgb="FF202122"/>
        <sz val="11.0"/>
      </rPr>
      <t>Green Bean</t>
    </r>
    <r>
      <rPr>
        <rFont val="Arial"/>
        <color rgb="FF202122"/>
        <sz val="11.0"/>
      </rPr>
      <t xml:space="preserve"> </t>
    </r>
    <r>
      <rPr>
        <rFont val="Arial"/>
        <color rgb="FF202122"/>
        <sz val="11.0"/>
      </rPr>
      <t>Hops</t>
    </r>
    <r>
      <rPr>
        <rFont val="Arial"/>
        <color rgb="FF202122"/>
        <sz val="11.0"/>
      </rPr>
      <t xml:space="preserve"> </t>
    </r>
    <r>
      <rPr>
        <rFont val="Arial"/>
        <color rgb="FF202122"/>
        <sz val="11.0"/>
      </rPr>
      <t>Kale</t>
    </r>
    <r>
      <rPr>
        <rFont val="Arial"/>
        <color rgb="FF202122"/>
        <sz val="11.0"/>
      </rPr>
      <t xml:space="preserve"> </t>
    </r>
    <r>
      <rPr>
        <rFont val="Arial"/>
        <color rgb="FF202122"/>
        <sz val="11.0"/>
      </rPr>
      <t>Parsnip</t>
    </r>
    <r>
      <rPr>
        <rFont val="Arial"/>
        <color rgb="FF202122"/>
        <sz val="11.0"/>
      </rPr>
      <t xml:space="preserve"> </t>
    </r>
    <r>
      <rPr>
        <rFont val="Arial"/>
        <color rgb="FF202122"/>
        <sz val="11.0"/>
      </rPr>
      <t>Potato</t>
    </r>
    <r>
      <rPr>
        <rFont val="Arial"/>
        <color rgb="FF202122"/>
        <sz val="11.0"/>
      </rPr>
      <t xml:space="preserve"> </t>
    </r>
    <r>
      <rPr>
        <rFont val="Arial"/>
        <color rgb="FF202122"/>
        <sz val="11.0"/>
      </rPr>
      <t>Taro Root</t>
    </r>
    <r>
      <rPr>
        <rFont val="Arial"/>
        <color rgb="FF202122"/>
        <sz val="11.0"/>
      </rPr>
      <t xml:space="preserve"> </t>
    </r>
    <r>
      <rPr>
        <rFont val="Arial"/>
        <color rgb="FF202122"/>
        <sz val="11.0"/>
      </rPr>
      <t>Tea Leaves</t>
    </r>
    <r>
      <rPr>
        <rFont val="Arial"/>
        <color rgb="FF202122"/>
        <sz val="11.0"/>
      </rPr>
      <t xml:space="preserve"> </t>
    </r>
    <r>
      <rPr>
        <rFont val="Arial"/>
        <color rgb="FF202122"/>
        <sz val="11.0"/>
      </rPr>
      <t>Unmilled Rice</t>
    </r>
  </si>
  <si>
    <t>25% dodge chance, 6 immunity</t>
  </si>
  <si>
    <r>
      <rPr>
        <rFont val="Arial"/>
        <color rgb="FF202122"/>
        <sz val="11.0"/>
      </rPr>
      <t>Bone Fragment</t>
    </r>
    <r>
      <rPr>
        <rFont val="Arial"/>
        <color rgb="FF202122"/>
        <sz val="11.0"/>
      </rPr>
      <t xml:space="preserve"> </t>
    </r>
    <r>
      <rPr>
        <rFont val="Arial"/>
        <color rgb="FF202122"/>
        <sz val="11.0"/>
      </rPr>
      <t>Fossilized Leg</t>
    </r>
    <r>
      <rPr>
        <rFont val="Arial"/>
        <color rgb="FF202122"/>
        <sz val="11.0"/>
      </rPr>
      <t xml:space="preserve"> </t>
    </r>
    <r>
      <rPr>
        <rFont val="Arial"/>
        <color rgb="FF202122"/>
        <sz val="11.0"/>
      </rPr>
      <t>Fossilized Ribs</t>
    </r>
    <r>
      <rPr>
        <rFont val="Arial"/>
        <color rgb="FF202122"/>
        <sz val="11.0"/>
      </rPr>
      <t xml:space="preserve"> </t>
    </r>
    <r>
      <rPr>
        <rFont val="Arial"/>
        <color rgb="FF202122"/>
        <sz val="11.0"/>
      </rPr>
      <t>Fossilized Skull</t>
    </r>
    <r>
      <rPr>
        <rFont val="Arial"/>
        <color rgb="FF202122"/>
        <sz val="11.0"/>
      </rPr>
      <t xml:space="preserve"> </t>
    </r>
    <r>
      <rPr>
        <rFont val="Arial"/>
        <color rgb="FF202122"/>
        <sz val="11.0"/>
      </rPr>
      <t>Fossilized Spine</t>
    </r>
    <r>
      <rPr>
        <rFont val="Arial"/>
        <color rgb="FF202122"/>
        <sz val="11.0"/>
      </rPr>
      <t xml:space="preserve"> </t>
    </r>
    <r>
      <rPr>
        <rFont val="Arial"/>
        <color rgb="FF202122"/>
        <sz val="11.0"/>
      </rPr>
      <t>Fossilized Tail</t>
    </r>
    <r>
      <rPr>
        <rFont val="Arial"/>
        <color rgb="FF202122"/>
        <sz val="11.0"/>
      </rPr>
      <t xml:space="preserve"> </t>
    </r>
    <r>
      <rPr>
        <rFont val="Arial"/>
        <color rgb="FF202122"/>
        <sz val="11.0"/>
      </rPr>
      <t>Mummified Bat</t>
    </r>
    <r>
      <rPr>
        <rFont val="Arial"/>
        <color rgb="FF202122"/>
        <sz val="11.0"/>
      </rPr>
      <t xml:space="preserve"> </t>
    </r>
    <r>
      <rPr>
        <rFont val="Arial"/>
        <color rgb="FF202122"/>
        <sz val="11.0"/>
      </rPr>
      <t>Mummified Frog</t>
    </r>
    <r>
      <rPr>
        <rFont val="Arial"/>
        <color rgb="FF202122"/>
        <sz val="11.0"/>
      </rPr>
      <t xml:space="preserve"> </t>
    </r>
    <r>
      <rPr>
        <rFont val="Arial"/>
        <color rgb="FF202122"/>
        <sz val="11.0"/>
      </rPr>
      <t>Prehistoric Rib</t>
    </r>
    <r>
      <rPr>
        <rFont val="Arial"/>
        <color rgb="FF202122"/>
        <sz val="11.0"/>
      </rPr>
      <t xml:space="preserve"> </t>
    </r>
    <r>
      <rPr>
        <rFont val="Arial"/>
        <color rgb="FF202122"/>
        <sz val="11.0"/>
      </rPr>
      <t>Prehistoric Scapula</t>
    </r>
    <r>
      <rPr>
        <rFont val="Arial"/>
        <color rgb="FF202122"/>
        <sz val="11.0"/>
      </rPr>
      <t xml:space="preserve"> </t>
    </r>
    <r>
      <rPr>
        <rFont val="Arial"/>
        <color rgb="FF202122"/>
        <sz val="11.0"/>
      </rPr>
      <t>Prehistoric Vertebra</t>
    </r>
    <r>
      <rPr>
        <rFont val="Arial"/>
        <color rgb="FF202122"/>
        <sz val="11.0"/>
      </rPr>
      <t xml:space="preserve"> </t>
    </r>
    <r>
      <rPr>
        <rFont val="Arial"/>
        <color rgb="FF202122"/>
        <sz val="11.0"/>
      </rPr>
      <t>Skeletal Hand</t>
    </r>
    <r>
      <rPr>
        <rFont val="Arial"/>
        <color rgb="FF202122"/>
        <sz val="11.0"/>
      </rPr>
      <t xml:space="preserve"> </t>
    </r>
    <r>
      <rPr>
        <rFont val="Arial"/>
        <color rgb="FF202122"/>
        <sz val="11.0"/>
      </rPr>
      <t>Skeletal Tail</t>
    </r>
    <r>
      <rPr>
        <rFont val="Arial"/>
        <color rgb="FF202122"/>
        <sz val="11.0"/>
      </rPr>
      <t xml:space="preserve"> </t>
    </r>
    <r>
      <rPr>
        <rFont val="Arial"/>
        <color rgb="FF202122"/>
        <sz val="11.0"/>
      </rPr>
      <t>Snake Skull</t>
    </r>
    <r>
      <rPr>
        <rFont val="Arial"/>
        <color rgb="FF202122"/>
        <sz val="11.0"/>
      </rPr>
      <t xml:space="preserve"> </t>
    </r>
    <r>
      <rPr>
        <rFont val="Arial"/>
        <color rgb="FF202122"/>
        <sz val="11.0"/>
      </rPr>
      <t>Snake Vertebrae</t>
    </r>
  </si>
  <si>
    <r>
      <rPr>
        <rFont val="sans-serif"/>
        <color rgb="FF202122"/>
        <sz val="11.0"/>
      </rPr>
      <t>Emerald</t>
    </r>
  </si>
  <si>
    <r>
      <rPr>
        <rFont val="Arial"/>
        <color rgb="FF202122"/>
        <sz val="11.0"/>
      </rPr>
      <t>Bone Fragment</t>
    </r>
    <r>
      <rPr>
        <rFont val="Arial"/>
        <color rgb="FF202122"/>
        <sz val="11.0"/>
      </rPr>
      <t xml:space="preserve"> </t>
    </r>
    <r>
      <rPr>
        <rFont val="Arial"/>
        <color rgb="FF202122"/>
        <sz val="11.0"/>
      </rPr>
      <t>Fossilized Leg</t>
    </r>
    <r>
      <rPr>
        <rFont val="Arial"/>
        <color rgb="FF202122"/>
        <sz val="11.0"/>
      </rPr>
      <t xml:space="preserve"> </t>
    </r>
    <r>
      <rPr>
        <rFont val="Arial"/>
        <color rgb="FF202122"/>
        <sz val="11.0"/>
      </rPr>
      <t>Fossilized Ribs</t>
    </r>
    <r>
      <rPr>
        <rFont val="Arial"/>
        <color rgb="FF202122"/>
        <sz val="11.0"/>
      </rPr>
      <t xml:space="preserve"> </t>
    </r>
    <r>
      <rPr>
        <rFont val="Arial"/>
        <color rgb="FF202122"/>
        <sz val="11.0"/>
      </rPr>
      <t>Fossilized Skull</t>
    </r>
    <r>
      <rPr>
        <rFont val="Arial"/>
        <color rgb="FF202122"/>
        <sz val="11.0"/>
      </rPr>
      <t xml:space="preserve"> </t>
    </r>
    <r>
      <rPr>
        <rFont val="Arial"/>
        <color rgb="FF202122"/>
        <sz val="11.0"/>
      </rPr>
      <t>Fossilized Spine</t>
    </r>
    <r>
      <rPr>
        <rFont val="Arial"/>
        <color rgb="FF202122"/>
        <sz val="11.0"/>
      </rPr>
      <t xml:space="preserve"> </t>
    </r>
    <r>
      <rPr>
        <rFont val="Arial"/>
        <color rgb="FF202122"/>
        <sz val="11.0"/>
      </rPr>
      <t>Fossilized Tail</t>
    </r>
    <r>
      <rPr>
        <rFont val="Arial"/>
        <color rgb="FF202122"/>
        <sz val="11.0"/>
      </rPr>
      <t xml:space="preserve"> </t>
    </r>
    <r>
      <rPr>
        <rFont val="Arial"/>
        <color rgb="FF202122"/>
        <sz val="11.0"/>
      </rPr>
      <t>Mummified Bat</t>
    </r>
    <r>
      <rPr>
        <rFont val="Arial"/>
        <color rgb="FF202122"/>
        <sz val="11.0"/>
      </rPr>
      <t xml:space="preserve"> </t>
    </r>
    <r>
      <rPr>
        <rFont val="Arial"/>
        <color rgb="FF202122"/>
        <sz val="11.0"/>
      </rPr>
      <t>Mummified Frog</t>
    </r>
    <r>
      <rPr>
        <rFont val="Arial"/>
        <color rgb="FF202122"/>
        <sz val="11.0"/>
      </rPr>
      <t xml:space="preserve"> </t>
    </r>
    <r>
      <rPr>
        <rFont val="Arial"/>
        <color rgb="FF202122"/>
        <sz val="11.0"/>
      </rPr>
      <t>Prehistoric Rib</t>
    </r>
    <r>
      <rPr>
        <rFont val="Arial"/>
        <color rgb="FF202122"/>
        <sz val="11.0"/>
      </rPr>
      <t xml:space="preserve"> </t>
    </r>
    <r>
      <rPr>
        <rFont val="Arial"/>
        <color rgb="FF202122"/>
        <sz val="11.0"/>
      </rPr>
      <t>Prehistoric Scapula</t>
    </r>
    <r>
      <rPr>
        <rFont val="Arial"/>
        <color rgb="FF202122"/>
        <sz val="11.0"/>
      </rPr>
      <t xml:space="preserve"> </t>
    </r>
    <r>
      <rPr>
        <rFont val="Arial"/>
        <color rgb="FF202122"/>
        <sz val="11.0"/>
      </rPr>
      <t>Prehistoric Vertebra</t>
    </r>
    <r>
      <rPr>
        <rFont val="Arial"/>
        <color rgb="FF202122"/>
        <sz val="11.0"/>
      </rPr>
      <t xml:space="preserve"> </t>
    </r>
    <r>
      <rPr>
        <rFont val="Arial"/>
        <color rgb="FF202122"/>
        <sz val="11.0"/>
      </rPr>
      <t>Skeletal Hand</t>
    </r>
    <r>
      <rPr>
        <rFont val="Arial"/>
        <color rgb="FF202122"/>
        <sz val="11.0"/>
      </rPr>
      <t xml:space="preserve"> </t>
    </r>
    <r>
      <rPr>
        <rFont val="Arial"/>
        <color rgb="FF202122"/>
        <sz val="11.0"/>
      </rPr>
      <t>Skeletal Tail</t>
    </r>
    <r>
      <rPr>
        <rFont val="Arial"/>
        <color rgb="FF202122"/>
        <sz val="11.0"/>
      </rPr>
      <t xml:space="preserve"> </t>
    </r>
    <r>
      <rPr>
        <rFont val="Arial"/>
        <color rgb="FF202122"/>
        <sz val="11.0"/>
      </rPr>
      <t>Snake Skull</t>
    </r>
    <r>
      <rPr>
        <rFont val="Arial"/>
        <color rgb="FF202122"/>
        <sz val="11.0"/>
      </rPr>
      <t xml:space="preserve"> </t>
    </r>
    <r>
      <rPr>
        <rFont val="Arial"/>
        <color rgb="FF202122"/>
        <sz val="11.0"/>
      </rPr>
      <t>Snake Vertebrae</t>
    </r>
  </si>
  <si>
    <r>
      <rPr>
        <rFont val="sans-serif"/>
        <color rgb="FF202122"/>
        <sz val="11.0"/>
      </rPr>
      <t>Emerald</t>
    </r>
  </si>
  <si>
    <t>60 health</t>
  </si>
  <si>
    <t>Burnt, 3 speed, 6 attack, Spikey (5)</t>
  </si>
  <si>
    <t xml:space="preserve">2 speed, -45 MaxHealth, 30 max energy, 2 still stamina regen </t>
  </si>
  <si>
    <r>
      <rPr>
        <rFont val="Arial"/>
        <color rgb="FF202122"/>
        <sz val="11.0"/>
      </rPr>
      <t>Broken CD</t>
    </r>
    <r>
      <rPr>
        <rFont val="Arial"/>
        <color rgb="FF202122"/>
        <sz val="11.0"/>
      </rPr>
      <t xml:space="preserve"> </t>
    </r>
    <r>
      <rPr>
        <rFont val="Arial"/>
        <color rgb="FF202122"/>
        <sz val="11.0"/>
      </rPr>
      <t>Broken Glasses</t>
    </r>
    <r>
      <rPr>
        <rFont val="Arial"/>
        <color rgb="FF202122"/>
        <sz val="11.0"/>
      </rPr>
      <t xml:space="preserve"> </t>
    </r>
    <r>
      <rPr>
        <rFont val="Arial"/>
        <color rgb="FF202122"/>
        <sz val="11.0"/>
      </rPr>
      <t>Driftwood</t>
    </r>
    <r>
      <rPr>
        <rFont val="Arial"/>
        <color rgb="FF202122"/>
        <sz val="11.0"/>
      </rPr>
      <t xml:space="preserve"> </t>
    </r>
    <r>
      <rPr>
        <rFont val="Arial"/>
        <color rgb="FF202122"/>
        <sz val="11.0"/>
      </rPr>
      <t>Soggy Newspaper</t>
    </r>
    <r>
      <rPr>
        <rFont val="Arial"/>
        <color rgb="FF202122"/>
        <sz val="11.0"/>
      </rPr>
      <t xml:space="preserve"> </t>
    </r>
    <r>
      <rPr>
        <rFont val="Arial"/>
        <color rgb="FF202122"/>
        <sz val="11.0"/>
      </rPr>
      <t>Trash (item)</t>
    </r>
  </si>
  <si>
    <r>
      <rPr>
        <rFont val="Arial"/>
        <color rgb="FF202122"/>
        <sz val="11.0"/>
      </rPr>
      <t>Broken CD</t>
    </r>
    <r>
      <rPr>
        <rFont val="Arial"/>
        <color rgb="FF202122"/>
        <sz val="11.0"/>
      </rPr>
      <t xml:space="preserve"> </t>
    </r>
    <r>
      <rPr>
        <rFont val="Arial"/>
        <color rgb="FF202122"/>
        <sz val="11.0"/>
      </rPr>
      <t>Broken Glasses</t>
    </r>
    <r>
      <rPr>
        <rFont val="Arial"/>
        <color rgb="FF202122"/>
        <sz val="11.0"/>
      </rPr>
      <t xml:space="preserve"> </t>
    </r>
    <r>
      <rPr>
        <rFont val="Arial"/>
        <color rgb="FF202122"/>
        <sz val="11.0"/>
      </rPr>
      <t>Driftwood</t>
    </r>
    <r>
      <rPr>
        <rFont val="Arial"/>
        <color rgb="FF202122"/>
        <sz val="11.0"/>
      </rPr>
      <t xml:space="preserve"> </t>
    </r>
    <r>
      <rPr>
        <rFont val="Arial"/>
        <color rgb="FF202122"/>
        <sz val="11.0"/>
      </rPr>
      <t>Soggy Newspaper</t>
    </r>
    <r>
      <rPr>
        <rFont val="Arial"/>
        <color rgb="FF202122"/>
        <sz val="11.0"/>
      </rPr>
      <t xml:space="preserve"> </t>
    </r>
    <r>
      <rPr>
        <rFont val="Arial"/>
        <color rgb="FF202122"/>
        <sz val="11.0"/>
      </rPr>
      <t>Trash (item)</t>
    </r>
  </si>
  <si>
    <r>
      <rPr>
        <rFont val="Arial"/>
        <color rgb="FF202122"/>
        <sz val="11.0"/>
      </rPr>
      <t>Copper Ore</t>
    </r>
    <r>
      <rPr>
        <rFont val="Arial"/>
        <color rgb="FF202122"/>
        <sz val="11.0"/>
      </rPr>
      <t xml:space="preserve"> </t>
    </r>
    <r>
      <rPr>
        <rFont val="Arial"/>
        <color rgb="FF202122"/>
        <sz val="11.0"/>
      </rPr>
      <t>Gold Ore</t>
    </r>
    <r>
      <rPr>
        <rFont val="Arial"/>
        <color rgb="FF202122"/>
        <sz val="11.0"/>
      </rPr>
      <t xml:space="preserve"> </t>
    </r>
    <r>
      <rPr>
        <rFont val="Arial"/>
        <color rgb="FF202122"/>
        <sz val="11.0"/>
      </rPr>
      <t>Iron Ore</t>
    </r>
    <r>
      <rPr>
        <rFont val="Arial"/>
        <color rgb="FF202122"/>
        <sz val="11.0"/>
      </rPr>
      <t xml:space="preserve"> </t>
    </r>
    <r>
      <rPr>
        <rFont val="Arial"/>
        <color rgb="FF202122"/>
        <sz val="11.0"/>
      </rPr>
      <t>Radioactive Ore</t>
    </r>
  </si>
  <si>
    <r>
      <rPr>
        <rFont val="Arial"/>
        <color rgb="FF202122"/>
        <sz val="11.0"/>
      </rPr>
      <t>Copper Ore</t>
    </r>
    <r>
      <rPr>
        <rFont val="Arial"/>
        <color rgb="FF202122"/>
        <sz val="11.0"/>
      </rPr>
      <t xml:space="preserve"> </t>
    </r>
    <r>
      <rPr>
        <rFont val="Arial"/>
        <color rgb="FF202122"/>
        <sz val="11.0"/>
      </rPr>
      <t>Gold Ore</t>
    </r>
    <r>
      <rPr>
        <rFont val="Arial"/>
        <color rgb="FF202122"/>
        <sz val="11.0"/>
      </rPr>
      <t xml:space="preserve"> </t>
    </r>
    <r>
      <rPr>
        <rFont val="Arial"/>
        <color rgb="FF202122"/>
        <sz val="11.0"/>
      </rPr>
      <t>Iron Ore</t>
    </r>
    <r>
      <rPr>
        <rFont val="Arial"/>
        <color rgb="FF202122"/>
        <sz val="11.0"/>
      </rPr>
      <t xml:space="preserve"> </t>
    </r>
    <r>
      <rPr>
        <rFont val="Arial"/>
        <color rgb="FF202122"/>
        <sz val="11.0"/>
      </rPr>
      <t>Radioactive Ore</t>
    </r>
  </si>
  <si>
    <t>2 defense, 3 attack, 1.5x crit</t>
  </si>
  <si>
    <t>Autopet, loving rancher</t>
  </si>
  <si>
    <r>
      <rPr>
        <rFont val="Arial"/>
        <color rgb="FF202122"/>
        <sz val="11.0"/>
      </rPr>
      <t>Cranberries</t>
    </r>
    <r>
      <rPr>
        <rFont val="Arial"/>
        <color rgb="FF202122"/>
        <sz val="11.0"/>
      </rPr>
      <t xml:space="preserve">, </t>
    </r>
    <r>
      <rPr>
        <rFont val="Arial"/>
        <color rgb="FF202122"/>
        <sz val="11.0"/>
      </rPr>
      <t>Pineapple</t>
    </r>
    <r>
      <rPr>
        <rFont val="Arial"/>
        <color rgb="FF202122"/>
        <sz val="11.0"/>
      </rPr>
      <t xml:space="preserve">, </t>
    </r>
    <r>
      <rPr>
        <rFont val="Arial"/>
        <color rgb="FF202122"/>
        <sz val="11.0"/>
      </rPr>
      <t>Powdermelon</t>
    </r>
    <r>
      <rPr>
        <rFont val="Arial"/>
        <color rgb="FF202122"/>
        <sz val="11.0"/>
      </rPr>
      <t xml:space="preserve">, </t>
    </r>
    <r>
      <rPr>
        <rFont val="Arial"/>
        <color rgb="FF202122"/>
        <sz val="11.0"/>
      </rPr>
      <t>Strawberry</t>
    </r>
    <r>
      <rPr>
        <rFont val="Arial"/>
        <color rgb="FF202122"/>
        <sz val="11.0"/>
      </rPr>
      <t xml:space="preserve">, </t>
    </r>
    <r>
      <rPr>
        <rFont val="Arial"/>
        <color rgb="FF202122"/>
        <sz val="11.0"/>
      </rPr>
      <t>Wild Plum</t>
    </r>
  </si>
  <si>
    <r>
      <rPr>
        <rFont val="Arial"/>
        <color rgb="FF202122"/>
        <sz val="11.0"/>
      </rPr>
      <t>Blueberry</t>
    </r>
    <r>
      <rPr>
        <rFont val="Arial"/>
        <color rgb="FF202122"/>
        <sz val="11.0"/>
      </rPr>
      <t xml:space="preserve">, </t>
    </r>
    <r>
      <rPr>
        <rFont val="Arial"/>
        <color rgb="FF202122"/>
        <sz val="11.0"/>
      </rPr>
      <t>Grape</t>
    </r>
    <r>
      <rPr>
        <rFont val="Arial"/>
        <color rgb="FF202122"/>
        <sz val="11.0"/>
      </rPr>
      <t xml:space="preserve">, </t>
    </r>
    <r>
      <rPr>
        <rFont val="Arial"/>
        <color rgb="FF202122"/>
        <sz val="11.0"/>
      </rPr>
      <t>Hot, Pepper</t>
    </r>
    <r>
      <rPr>
        <rFont val="Arial"/>
        <color rgb="FF202122"/>
        <sz val="11.0"/>
      </rPr>
      <t xml:space="preserve">, </t>
    </r>
    <r>
      <rPr>
        <rFont val="Arial"/>
        <color rgb="FF202122"/>
        <sz val="11.0"/>
      </rPr>
      <t>Melon</t>
    </r>
  </si>
  <si>
    <r>
      <rPr>
        <rFont val="Arial"/>
        <color rgb="FF202122"/>
        <sz val="11.0"/>
      </rPr>
      <t>Fairy Rose</t>
    </r>
    <r>
      <rPr>
        <rFont val="Arial"/>
        <color rgb="FF202122"/>
        <sz val="11.0"/>
      </rPr>
      <t xml:space="preserve">, </t>
    </r>
    <r>
      <rPr>
        <rFont val="Arial"/>
        <color rgb="FF202122"/>
        <sz val="11.0"/>
      </rPr>
      <t>Sunflower</t>
    </r>
  </si>
  <si>
    <r>
      <rPr>
        <rFont val="Arial"/>
        <color rgb="FF202122"/>
        <sz val="11.0"/>
      </rPr>
      <t>Cranberries</t>
    </r>
    <r>
      <rPr>
        <rFont val="Arial"/>
        <color rgb="FF202122"/>
        <sz val="11.0"/>
      </rPr>
      <t xml:space="preserve">, </t>
    </r>
    <r>
      <rPr>
        <rFont val="Arial"/>
        <color rgb="FF202122"/>
        <sz val="11.0"/>
      </rPr>
      <t>Pineapple</t>
    </r>
    <r>
      <rPr>
        <rFont val="Arial"/>
        <color rgb="FF202122"/>
        <sz val="11.0"/>
      </rPr>
      <t xml:space="preserve">, </t>
    </r>
    <r>
      <rPr>
        <rFont val="Arial"/>
        <color rgb="FF202122"/>
        <sz val="11.0"/>
      </rPr>
      <t>Powdermelon</t>
    </r>
    <r>
      <rPr>
        <rFont val="Arial"/>
        <color rgb="FF202122"/>
        <sz val="11.0"/>
      </rPr>
      <t xml:space="preserve">, </t>
    </r>
    <r>
      <rPr>
        <rFont val="Arial"/>
        <color rgb="FF202122"/>
        <sz val="11.0"/>
      </rPr>
      <t>Strawberry</t>
    </r>
    <r>
      <rPr>
        <rFont val="Arial"/>
        <color rgb="FF202122"/>
        <sz val="11.0"/>
      </rPr>
      <t xml:space="preserve">, </t>
    </r>
    <r>
      <rPr>
        <rFont val="Arial"/>
        <color rgb="FF202122"/>
        <sz val="11.0"/>
      </rPr>
      <t>Wild Plum</t>
    </r>
  </si>
  <si>
    <r>
      <rPr>
        <rFont val="Arial"/>
        <color rgb="FF202122"/>
        <sz val="11.0"/>
      </rPr>
      <t>Poppy</t>
    </r>
    <r>
      <rPr>
        <rFont val="Arial"/>
        <color rgb="FF202122"/>
        <sz val="11.0"/>
      </rPr>
      <t xml:space="preserve">, </t>
    </r>
    <r>
      <rPr>
        <rFont val="Arial"/>
        <color rgb="FF202122"/>
        <sz val="11.0"/>
      </rPr>
      <t>Summer, Spangle</t>
    </r>
  </si>
  <si>
    <r>
      <rPr>
        <rFont val="Arial"/>
        <color rgb="FF202122"/>
        <sz val="11.0"/>
      </rPr>
      <t>Blueberry</t>
    </r>
    <r>
      <rPr>
        <rFont val="Arial"/>
        <color rgb="FF202122"/>
        <sz val="11.0"/>
      </rPr>
      <t xml:space="preserve">, </t>
    </r>
    <r>
      <rPr>
        <rFont val="Arial"/>
        <color rgb="FF202122"/>
        <sz val="11.0"/>
      </rPr>
      <t>Grape</t>
    </r>
    <r>
      <rPr>
        <rFont val="Arial"/>
        <color rgb="FF202122"/>
        <sz val="11.0"/>
      </rPr>
      <t xml:space="preserve">, </t>
    </r>
    <r>
      <rPr>
        <rFont val="Arial"/>
        <color rgb="FF202122"/>
        <sz val="11.0"/>
      </rPr>
      <t>Hot, Pepper</t>
    </r>
    <r>
      <rPr>
        <rFont val="Arial"/>
        <color rgb="FF202122"/>
        <sz val="11.0"/>
      </rPr>
      <t xml:space="preserve">, </t>
    </r>
    <r>
      <rPr>
        <rFont val="Arial"/>
        <color rgb="FF202122"/>
        <sz val="11.0"/>
      </rPr>
      <t>Melon</t>
    </r>
  </si>
  <si>
    <r>
      <rPr>
        <rFont val="Arial"/>
        <color rgb="FF202122"/>
        <sz val="11.0"/>
      </rPr>
      <t>Fairy Rose</t>
    </r>
    <r>
      <rPr>
        <rFont val="Arial"/>
        <color rgb="FF202122"/>
        <sz val="11.0"/>
      </rPr>
      <t xml:space="preserve">, </t>
    </r>
    <r>
      <rPr>
        <rFont val="Arial"/>
        <color rgb="FF202122"/>
        <sz val="11.0"/>
      </rPr>
      <t>Sunflower</t>
    </r>
  </si>
  <si>
    <r>
      <rPr>
        <rFont val="Arial"/>
        <color rgb="FF202122"/>
        <sz val="11.0"/>
      </rPr>
      <t>Ancient Fruit</t>
    </r>
    <r>
      <rPr>
        <rFont val="Arial"/>
        <color rgb="FF202122"/>
        <sz val="11.0"/>
      </rPr>
      <t xml:space="preserve">, </t>
    </r>
    <r>
      <rPr>
        <rFont val="Arial"/>
        <color rgb="FF202122"/>
        <sz val="11.0"/>
      </rPr>
      <t>Starfruit</t>
    </r>
  </si>
  <si>
    <r>
      <rPr>
        <rFont val="Arial"/>
        <color rgb="FF202122"/>
        <sz val="11.0"/>
      </rPr>
      <t>Poppy</t>
    </r>
    <r>
      <rPr>
        <rFont val="Arial"/>
        <color rgb="FF202122"/>
        <sz val="11.0"/>
      </rPr>
      <t xml:space="preserve">, </t>
    </r>
    <r>
      <rPr>
        <rFont val="Arial"/>
        <color rgb="FF202122"/>
        <sz val="11.0"/>
      </rPr>
      <t>Summer, Spangle</t>
    </r>
  </si>
  <si>
    <t>3 defense, Vampirism 10, soul sapping 15</t>
  </si>
  <si>
    <r>
      <rPr>
        <rFont val="Arial"/>
        <color rgb="FF202122"/>
        <sz val="11.0"/>
      </rPr>
      <t>Apple</t>
    </r>
    <r>
      <rPr>
        <rFont val="Arial"/>
        <color rgb="FF202122"/>
        <sz val="11.0"/>
      </rPr>
      <t xml:space="preserve">, </t>
    </r>
    <r>
      <rPr>
        <rFont val="Arial"/>
        <color rgb="FF202122"/>
        <sz val="11.0"/>
      </rPr>
      <t>Apricot</t>
    </r>
    <r>
      <rPr>
        <rFont val="Arial"/>
        <color rgb="FF202122"/>
        <sz val="11.0"/>
      </rPr>
      <t xml:space="preserve">, </t>
    </r>
    <r>
      <rPr>
        <rFont val="Arial"/>
        <color rgb="FF202122"/>
        <sz val="11.0"/>
      </rPr>
      <t>Banana</t>
    </r>
    <r>
      <rPr>
        <rFont val="Arial"/>
        <color rgb="FF202122"/>
        <sz val="11.0"/>
      </rPr>
      <t xml:space="preserve">, </t>
    </r>
    <r>
      <rPr>
        <rFont val="Arial"/>
        <color rgb="FF202122"/>
        <sz val="11.0"/>
      </rPr>
      <t>Cherry</t>
    </r>
    <r>
      <rPr>
        <rFont val="Arial"/>
        <color rgb="FF202122"/>
        <sz val="11.0"/>
      </rPr>
      <t xml:space="preserve">, </t>
    </r>
    <r>
      <rPr>
        <rFont val="Arial"/>
        <color rgb="FF202122"/>
        <sz val="11.0"/>
      </rPr>
      <t>Mango</t>
    </r>
    <r>
      <rPr>
        <rFont val="Arial"/>
        <color rgb="FF202122"/>
        <sz val="11.0"/>
      </rPr>
      <t xml:space="preserve">, </t>
    </r>
    <r>
      <rPr>
        <rFont val="Arial"/>
        <color rgb="FF202122"/>
        <sz val="11.0"/>
      </rPr>
      <t>Pomegranate</t>
    </r>
  </si>
  <si>
    <r>
      <rPr>
        <rFont val="Arial"/>
        <color rgb="FF202122"/>
        <sz val="11.0"/>
      </rPr>
      <t>Ancient Fruit</t>
    </r>
    <r>
      <rPr>
        <rFont val="Arial"/>
        <color rgb="FF202122"/>
        <sz val="11.0"/>
      </rPr>
      <t xml:space="preserve">, </t>
    </r>
    <r>
      <rPr>
        <rFont val="Arial"/>
        <color rgb="FF202122"/>
        <sz val="11.0"/>
      </rPr>
      <t>Starfruit</t>
    </r>
  </si>
  <si>
    <r>
      <rPr>
        <rFont val="Arial"/>
        <color rgb="FF202122"/>
        <sz val="11.0"/>
      </rPr>
      <t>Orange</t>
    </r>
    <r>
      <rPr>
        <rFont val="Arial"/>
        <color rgb="FF202122"/>
        <sz val="11.0"/>
      </rPr>
      <t xml:space="preserve">, </t>
    </r>
    <r>
      <rPr>
        <rFont val="Arial"/>
        <color rgb="FF202122"/>
        <sz val="11.0"/>
      </rPr>
      <t>Peach</t>
    </r>
  </si>
  <si>
    <t>Vampirism 10, soul sapping 15, 8 attack, -12 defense, popularity</t>
  </si>
  <si>
    <t>1 luck, yoba ring, 15% pierre discount</t>
  </si>
  <si>
    <r>
      <rPr>
        <rFont val="Arial"/>
        <color rgb="FF202122"/>
        <sz val="11.0"/>
      </rPr>
      <t>Apple</t>
    </r>
    <r>
      <rPr>
        <rFont val="Arial"/>
        <color rgb="FF202122"/>
        <sz val="11.0"/>
      </rPr>
      <t xml:space="preserve">, </t>
    </r>
    <r>
      <rPr>
        <rFont val="Arial"/>
        <color rgb="FF202122"/>
        <sz val="11.0"/>
      </rPr>
      <t>Apricot</t>
    </r>
    <r>
      <rPr>
        <rFont val="Arial"/>
        <color rgb="FF202122"/>
        <sz val="11.0"/>
      </rPr>
      <t xml:space="preserve">, </t>
    </r>
    <r>
      <rPr>
        <rFont val="Arial"/>
        <color rgb="FF202122"/>
        <sz val="11.0"/>
      </rPr>
      <t>Banana</t>
    </r>
    <r>
      <rPr>
        <rFont val="Arial"/>
        <color rgb="FF202122"/>
        <sz val="11.0"/>
      </rPr>
      <t xml:space="preserve">, </t>
    </r>
    <r>
      <rPr>
        <rFont val="Arial"/>
        <color rgb="FF202122"/>
        <sz val="11.0"/>
      </rPr>
      <t>Cherry</t>
    </r>
    <r>
      <rPr>
        <rFont val="Arial"/>
        <color rgb="FF202122"/>
        <sz val="11.0"/>
      </rPr>
      <t xml:space="preserve">, </t>
    </r>
    <r>
      <rPr>
        <rFont val="Arial"/>
        <color rgb="FF202122"/>
        <sz val="11.0"/>
      </rPr>
      <t>Mango</t>
    </r>
    <r>
      <rPr>
        <rFont val="Arial"/>
        <color rgb="FF202122"/>
        <sz val="11.0"/>
      </rPr>
      <t xml:space="preserve">, </t>
    </r>
    <r>
      <rPr>
        <rFont val="Arial"/>
        <color rgb="FF202122"/>
        <sz val="11.0"/>
      </rPr>
      <t>Pomegranate</t>
    </r>
  </si>
  <si>
    <r>
      <rPr>
        <rFont val="Arial"/>
        <color rgb="FF202122"/>
        <sz val="11.0"/>
      </rPr>
      <t>Orange</t>
    </r>
    <r>
      <rPr>
        <rFont val="Arial"/>
        <color rgb="FF202122"/>
        <sz val="11.0"/>
      </rPr>
      <t xml:space="preserve">, </t>
    </r>
    <r>
      <rPr>
        <rFont val="Arial"/>
        <color rgb="FF202122"/>
        <sz val="11.0"/>
      </rPr>
      <t>Peach</t>
    </r>
  </si>
  <si>
    <r>
      <rPr>
        <rFont val="Arial"/>
        <color rgb="FF202122"/>
        <sz val="11.0"/>
      </rPr>
      <t>Carrot</t>
    </r>
    <r>
      <rPr>
        <rFont val="Arial"/>
        <color rgb="FF202122"/>
        <sz val="11.0"/>
      </rPr>
      <t xml:space="preserve"> </t>
    </r>
    <r>
      <rPr>
        <rFont val="Arial"/>
        <color rgb="FF202122"/>
        <sz val="11.0"/>
      </rPr>
      <t>Cauliflower</t>
    </r>
    <r>
      <rPr>
        <rFont val="Arial"/>
        <color rgb="FF202122"/>
        <sz val="11.0"/>
      </rPr>
      <t xml:space="preserve"> </t>
    </r>
    <r>
      <rPr>
        <rFont val="Arial"/>
        <color rgb="FF202122"/>
        <sz val="11.0"/>
      </rPr>
      <t>Garlic</t>
    </r>
    <r>
      <rPr>
        <rFont val="Arial"/>
        <color rgb="FF202122"/>
        <sz val="11.0"/>
      </rPr>
      <t xml:space="preserve"> </t>
    </r>
    <r>
      <rPr>
        <rFont val="Arial"/>
        <color rgb="FF202122"/>
        <sz val="11.0"/>
      </rPr>
      <t>Green Bean</t>
    </r>
    <r>
      <rPr>
        <rFont val="Arial"/>
        <color rgb="FF202122"/>
        <sz val="11.0"/>
      </rPr>
      <t xml:space="preserve"> </t>
    </r>
    <r>
      <rPr>
        <rFont val="Arial"/>
        <color rgb="FF202122"/>
        <sz val="11.0"/>
      </rPr>
      <t>Hops</t>
    </r>
    <r>
      <rPr>
        <rFont val="Arial"/>
        <color rgb="FF202122"/>
        <sz val="11.0"/>
      </rPr>
      <t xml:space="preserve"> </t>
    </r>
    <r>
      <rPr>
        <rFont val="Arial"/>
        <color rgb="FF202122"/>
        <sz val="11.0"/>
      </rPr>
      <t>Kale</t>
    </r>
    <r>
      <rPr>
        <rFont val="Arial"/>
        <color rgb="FF202122"/>
        <sz val="11.0"/>
      </rPr>
      <t xml:space="preserve"> </t>
    </r>
    <r>
      <rPr>
        <rFont val="Arial"/>
        <color rgb="FF202122"/>
        <sz val="11.0"/>
      </rPr>
      <t>Parsnip</t>
    </r>
    <r>
      <rPr>
        <rFont val="Arial"/>
        <color rgb="FF202122"/>
        <sz val="11.0"/>
      </rPr>
      <t xml:space="preserve"> </t>
    </r>
    <r>
      <rPr>
        <rFont val="Arial"/>
        <color rgb="FF202122"/>
        <sz val="11.0"/>
      </rPr>
      <t>Potato</t>
    </r>
    <r>
      <rPr>
        <rFont val="Arial"/>
        <color rgb="FF202122"/>
        <sz val="11.0"/>
      </rPr>
      <t xml:space="preserve"> </t>
    </r>
    <r>
      <rPr>
        <rFont val="Arial"/>
        <color rgb="FF202122"/>
        <sz val="11.0"/>
      </rPr>
      <t>Taro Root</t>
    </r>
    <r>
      <rPr>
        <rFont val="Arial"/>
        <color rgb="FF202122"/>
        <sz val="11.0"/>
      </rPr>
      <t xml:space="preserve"> </t>
    </r>
    <r>
      <rPr>
        <rFont val="Arial"/>
        <color rgb="FF202122"/>
        <sz val="11.0"/>
      </rPr>
      <t>Tea Leaves</t>
    </r>
    <r>
      <rPr>
        <rFont val="Arial"/>
        <color rgb="FF202122"/>
        <sz val="11.0"/>
      </rPr>
      <t xml:space="preserve"> </t>
    </r>
    <r>
      <rPr>
        <rFont val="Arial"/>
        <color rgb="FF202122"/>
        <sz val="11.0"/>
      </rPr>
      <t>Unmilled Rice</t>
    </r>
  </si>
  <si>
    <r>
      <rPr>
        <rFont val="Arial"/>
        <color rgb="FF202122"/>
        <sz val="11.0"/>
      </rPr>
      <t>Bone Fragment</t>
    </r>
    <r>
      <rPr>
        <rFont val="Arial"/>
        <color rgb="FF202122"/>
        <sz val="11.0"/>
      </rPr>
      <t xml:space="preserve"> </t>
    </r>
    <r>
      <rPr>
        <rFont val="Arial"/>
        <color rgb="FF202122"/>
        <sz val="11.0"/>
      </rPr>
      <t>Fossilized Leg</t>
    </r>
    <r>
      <rPr>
        <rFont val="Arial"/>
        <color rgb="FF202122"/>
        <sz val="11.0"/>
      </rPr>
      <t xml:space="preserve"> </t>
    </r>
    <r>
      <rPr>
        <rFont val="Arial"/>
        <color rgb="FF202122"/>
        <sz val="11.0"/>
      </rPr>
      <t>Fossilized Ribs</t>
    </r>
    <r>
      <rPr>
        <rFont val="Arial"/>
        <color rgb="FF202122"/>
        <sz val="11.0"/>
      </rPr>
      <t xml:space="preserve"> </t>
    </r>
    <r>
      <rPr>
        <rFont val="Arial"/>
        <color rgb="FF202122"/>
        <sz val="11.0"/>
      </rPr>
      <t>Fossilized Skull</t>
    </r>
    <r>
      <rPr>
        <rFont val="Arial"/>
        <color rgb="FF202122"/>
        <sz val="11.0"/>
      </rPr>
      <t xml:space="preserve"> </t>
    </r>
    <r>
      <rPr>
        <rFont val="Arial"/>
        <color rgb="FF202122"/>
        <sz val="11.0"/>
      </rPr>
      <t>Fossilized Spine</t>
    </r>
    <r>
      <rPr>
        <rFont val="Arial"/>
        <color rgb="FF202122"/>
        <sz val="11.0"/>
      </rPr>
      <t xml:space="preserve"> </t>
    </r>
    <r>
      <rPr>
        <rFont val="Arial"/>
        <color rgb="FF202122"/>
        <sz val="11.0"/>
      </rPr>
      <t>Fossilized Tail</t>
    </r>
    <r>
      <rPr>
        <rFont val="Arial"/>
        <color rgb="FF202122"/>
        <sz val="11.0"/>
      </rPr>
      <t xml:space="preserve"> </t>
    </r>
    <r>
      <rPr>
        <rFont val="Arial"/>
        <color rgb="FF202122"/>
        <sz val="11.0"/>
      </rPr>
      <t>Mummified Bat</t>
    </r>
    <r>
      <rPr>
        <rFont val="Arial"/>
        <color rgb="FF202122"/>
        <sz val="11.0"/>
      </rPr>
      <t xml:space="preserve"> </t>
    </r>
    <r>
      <rPr>
        <rFont val="Arial"/>
        <color rgb="FF202122"/>
        <sz val="11.0"/>
      </rPr>
      <t>Mummified Frog</t>
    </r>
    <r>
      <rPr>
        <rFont val="Arial"/>
        <color rgb="FF202122"/>
        <sz val="11.0"/>
      </rPr>
      <t xml:space="preserve"> </t>
    </r>
    <r>
      <rPr>
        <rFont val="Arial"/>
        <color rgb="FF202122"/>
        <sz val="11.0"/>
      </rPr>
      <t>Prehistoric Rib</t>
    </r>
    <r>
      <rPr>
        <rFont val="Arial"/>
        <color rgb="FF202122"/>
        <sz val="11.0"/>
      </rPr>
      <t xml:space="preserve"> </t>
    </r>
    <r>
      <rPr>
        <rFont val="Arial"/>
        <color rgb="FF202122"/>
        <sz val="11.0"/>
      </rPr>
      <t>Prehistoric Scapula</t>
    </r>
    <r>
      <rPr>
        <rFont val="Arial"/>
        <color rgb="FF202122"/>
        <sz val="11.0"/>
      </rPr>
      <t xml:space="preserve"> </t>
    </r>
    <r>
      <rPr>
        <rFont val="Arial"/>
        <color rgb="FF202122"/>
        <sz val="11.0"/>
      </rPr>
      <t>Prehistoric Vertebra</t>
    </r>
    <r>
      <rPr>
        <rFont val="Arial"/>
        <color rgb="FF202122"/>
        <sz val="11.0"/>
      </rPr>
      <t xml:space="preserve"> </t>
    </r>
    <r>
      <rPr>
        <rFont val="Arial"/>
        <color rgb="FF202122"/>
        <sz val="11.0"/>
      </rPr>
      <t>Skeletal Hand</t>
    </r>
    <r>
      <rPr>
        <rFont val="Arial"/>
        <color rgb="FF202122"/>
        <sz val="11.0"/>
      </rPr>
      <t xml:space="preserve"> </t>
    </r>
    <r>
      <rPr>
        <rFont val="Arial"/>
        <color rgb="FF202122"/>
        <sz val="11.0"/>
      </rPr>
      <t>Skeletal Tail</t>
    </r>
    <r>
      <rPr>
        <rFont val="Arial"/>
        <color rgb="FF202122"/>
        <sz val="11.0"/>
      </rPr>
      <t xml:space="preserve"> </t>
    </r>
    <r>
      <rPr>
        <rFont val="Arial"/>
        <color rgb="FF202122"/>
        <sz val="11.0"/>
      </rPr>
      <t>Snake Skull</t>
    </r>
    <r>
      <rPr>
        <rFont val="Arial"/>
        <color rgb="FF202122"/>
        <sz val="11.0"/>
      </rPr>
      <t xml:space="preserve"> </t>
    </r>
    <r>
      <rPr>
        <rFont val="Arial"/>
        <color rgb="FF202122"/>
        <sz val="11.0"/>
      </rPr>
      <t>Snake Vertebrae</t>
    </r>
  </si>
  <si>
    <t>BeeKeeper, 1 speed (Sunny: 1 speed)(Spring:1 speed)</t>
  </si>
  <si>
    <t>x animal</t>
  </si>
  <si>
    <t>Pets animal in a 3 by 3 radius around you</t>
  </si>
  <si>
    <t>Tending to animals (Ducks, Sheep, Goats, Chickens, Cows, Rabbits, Void chicks, dinos, Ostriches) causes them to give special presents from time to time (Look at table below)</t>
  </si>
  <si>
    <t xml:space="preserve">2 speed, -1 def, 50 max energy, 3 still stamina regen </t>
  </si>
  <si>
    <r>
      <rPr>
        <rFont val="Arial"/>
        <color rgb="FF202122"/>
        <sz val="11.0"/>
      </rPr>
      <t>Broken CD</t>
    </r>
    <r>
      <rPr>
        <rFont val="Arial"/>
        <color rgb="FF202122"/>
        <sz val="11.0"/>
      </rPr>
      <t xml:space="preserve"> </t>
    </r>
    <r>
      <rPr>
        <rFont val="Arial"/>
        <color rgb="FF202122"/>
        <sz val="11.0"/>
      </rPr>
      <t>Broken Glasses</t>
    </r>
    <r>
      <rPr>
        <rFont val="Arial"/>
        <color rgb="FF202122"/>
        <sz val="11.0"/>
      </rPr>
      <t xml:space="preserve"> </t>
    </r>
    <r>
      <rPr>
        <rFont val="Arial"/>
        <color rgb="FF202122"/>
        <sz val="11.0"/>
      </rPr>
      <t>Driftwood</t>
    </r>
    <r>
      <rPr>
        <rFont val="Arial"/>
        <color rgb="FF202122"/>
        <sz val="11.0"/>
      </rPr>
      <t xml:space="preserve"> </t>
    </r>
    <r>
      <rPr>
        <rFont val="Arial"/>
        <color rgb="FF202122"/>
        <sz val="11.0"/>
      </rPr>
      <t>Soggy Newspaper</t>
    </r>
    <r>
      <rPr>
        <rFont val="Arial"/>
        <color rgb="FF202122"/>
        <sz val="11.0"/>
      </rPr>
      <t xml:space="preserve"> </t>
    </r>
    <r>
      <rPr>
        <rFont val="Arial"/>
        <color rgb="FF202122"/>
        <sz val="11.0"/>
      </rPr>
      <t>Trash (item)</t>
    </r>
  </si>
  <si>
    <t>(6am-11am: oil of garlic, 1 speed), (while on island: 2 speed, ores from rocks)</t>
  </si>
  <si>
    <r>
      <rPr>
        <rFont val="Arial"/>
        <color rgb="FF202122"/>
        <sz val="11.0"/>
      </rPr>
      <t>Copper Ore</t>
    </r>
    <r>
      <rPr>
        <rFont val="Arial"/>
        <color rgb="FF202122"/>
        <sz val="11.0"/>
      </rPr>
      <t xml:space="preserve"> </t>
    </r>
    <r>
      <rPr>
        <rFont val="Arial"/>
        <color rgb="FF202122"/>
        <sz val="11.0"/>
      </rPr>
      <t>Gold Ore</t>
    </r>
    <r>
      <rPr>
        <rFont val="Arial"/>
        <color rgb="FF202122"/>
        <sz val="11.0"/>
      </rPr>
      <t xml:space="preserve"> </t>
    </r>
    <r>
      <rPr>
        <rFont val="Arial"/>
        <color rgb="FF202122"/>
        <sz val="11.0"/>
      </rPr>
      <t>Iron Ore</t>
    </r>
    <r>
      <rPr>
        <rFont val="Arial"/>
        <color rgb="FF202122"/>
        <sz val="11.0"/>
      </rPr>
      <t xml:space="preserve"> </t>
    </r>
    <r>
      <rPr>
        <rFont val="Arial"/>
        <color rgb="FF202122"/>
        <sz val="11.0"/>
      </rPr>
      <t>Radioactive Ore</t>
    </r>
  </si>
  <si>
    <t>Regal Mantle OR Yoba shirt</t>
  </si>
  <si>
    <r>
      <rPr>
        <rFont val="Arial"/>
        <color rgb="FF202122"/>
        <sz val="11.0"/>
      </rPr>
      <t>Cranberries</t>
    </r>
    <r>
      <rPr>
        <rFont val="Arial"/>
        <color rgb="FF202122"/>
        <sz val="11.0"/>
      </rPr>
      <t xml:space="preserve">, </t>
    </r>
    <r>
      <rPr>
        <rFont val="Arial"/>
        <color rgb="FF202122"/>
        <sz val="11.0"/>
      </rPr>
      <t>Pineapple</t>
    </r>
    <r>
      <rPr>
        <rFont val="Arial"/>
        <color rgb="FF202122"/>
        <sz val="11.0"/>
      </rPr>
      <t xml:space="preserve">, </t>
    </r>
    <r>
      <rPr>
        <rFont val="Arial"/>
        <color rgb="FF202122"/>
        <sz val="11.0"/>
      </rPr>
      <t>Powdermelon</t>
    </r>
    <r>
      <rPr>
        <rFont val="Arial"/>
        <color rgb="FF202122"/>
        <sz val="11.0"/>
      </rPr>
      <t xml:space="preserve">, </t>
    </r>
    <r>
      <rPr>
        <rFont val="Arial"/>
        <color rgb="FF202122"/>
        <sz val="11.0"/>
      </rPr>
      <t>Strawberry</t>
    </r>
    <r>
      <rPr>
        <rFont val="Arial"/>
        <color rgb="FF202122"/>
        <sz val="11.0"/>
      </rPr>
      <t xml:space="preserve">, </t>
    </r>
    <r>
      <rPr>
        <rFont val="Arial"/>
        <color rgb="FF202122"/>
        <sz val="11.0"/>
      </rPr>
      <t>Wild Plum</t>
    </r>
  </si>
  <si>
    <r>
      <rPr>
        <rFont val="Arial"/>
        <color rgb="FF202122"/>
        <sz val="11.0"/>
      </rPr>
      <t>Blueberry</t>
    </r>
    <r>
      <rPr>
        <rFont val="Arial"/>
        <color rgb="FF202122"/>
        <sz val="11.0"/>
      </rPr>
      <t xml:space="preserve">, </t>
    </r>
    <r>
      <rPr>
        <rFont val="Arial"/>
        <color rgb="FF202122"/>
        <sz val="11.0"/>
      </rPr>
      <t>Grape</t>
    </r>
    <r>
      <rPr>
        <rFont val="Arial"/>
        <color rgb="FF202122"/>
        <sz val="11.0"/>
      </rPr>
      <t xml:space="preserve">, </t>
    </r>
    <r>
      <rPr>
        <rFont val="Arial"/>
        <color rgb="FF202122"/>
        <sz val="11.0"/>
      </rPr>
      <t>Hot, Pepper</t>
    </r>
    <r>
      <rPr>
        <rFont val="Arial"/>
        <color rgb="FF202122"/>
        <sz val="11.0"/>
      </rPr>
      <t xml:space="preserve">, </t>
    </r>
    <r>
      <rPr>
        <rFont val="Arial"/>
        <color rgb="FF202122"/>
        <sz val="11.0"/>
      </rPr>
      <t>Melon</t>
    </r>
  </si>
  <si>
    <r>
      <rPr>
        <rFont val="Arial"/>
        <color rgb="FF202122"/>
        <sz val="11.0"/>
      </rPr>
      <t>Fairy Rose</t>
    </r>
    <r>
      <rPr>
        <rFont val="Arial"/>
        <color rgb="FF202122"/>
        <sz val="11.0"/>
      </rPr>
      <t xml:space="preserve">, </t>
    </r>
    <r>
      <rPr>
        <rFont val="Arial"/>
        <color rgb="FF202122"/>
        <sz val="11.0"/>
      </rPr>
      <t>Sunflower</t>
    </r>
  </si>
  <si>
    <r>
      <rPr>
        <rFont val="Arial"/>
        <color rgb="FF202122"/>
        <sz val="11.0"/>
      </rPr>
      <t>Poppy</t>
    </r>
    <r>
      <rPr>
        <rFont val="Arial"/>
        <color rgb="FF202122"/>
        <sz val="11.0"/>
      </rPr>
      <t xml:space="preserve">, </t>
    </r>
    <r>
      <rPr>
        <rFont val="Arial"/>
        <color rgb="FF202122"/>
        <sz val="11.0"/>
      </rPr>
      <t>Summer, Spangle</t>
    </r>
  </si>
  <si>
    <r>
      <rPr>
        <rFont val="Arial"/>
        <color rgb="FF202122"/>
        <sz val="11.0"/>
      </rPr>
      <t>Ancient Fruit</t>
    </r>
    <r>
      <rPr>
        <rFont val="Arial"/>
        <color rgb="FF202122"/>
        <sz val="11.0"/>
      </rPr>
      <t xml:space="preserve">, </t>
    </r>
    <r>
      <rPr>
        <rFont val="Arial"/>
        <color rgb="FF202122"/>
        <sz val="11.0"/>
      </rPr>
      <t>Starfruit</t>
    </r>
  </si>
  <si>
    <r>
      <rPr>
        <rFont val="Arial"/>
        <color rgb="FF202122"/>
        <sz val="11.0"/>
      </rPr>
      <t>Apple</t>
    </r>
    <r>
      <rPr>
        <rFont val="Arial"/>
        <color rgb="FF202122"/>
        <sz val="11.0"/>
      </rPr>
      <t xml:space="preserve">, </t>
    </r>
    <r>
      <rPr>
        <rFont val="Arial"/>
        <color rgb="FF202122"/>
        <sz val="11.0"/>
      </rPr>
      <t>Apricot</t>
    </r>
    <r>
      <rPr>
        <rFont val="Arial"/>
        <color rgb="FF202122"/>
        <sz val="11.0"/>
      </rPr>
      <t xml:space="preserve">, </t>
    </r>
    <r>
      <rPr>
        <rFont val="Arial"/>
        <color rgb="FF202122"/>
        <sz val="11.0"/>
      </rPr>
      <t>Banana</t>
    </r>
    <r>
      <rPr>
        <rFont val="Arial"/>
        <color rgb="FF202122"/>
        <sz val="11.0"/>
      </rPr>
      <t xml:space="preserve">, </t>
    </r>
    <r>
      <rPr>
        <rFont val="Arial"/>
        <color rgb="FF202122"/>
        <sz val="11.0"/>
      </rPr>
      <t>Cherry</t>
    </r>
    <r>
      <rPr>
        <rFont val="Arial"/>
        <color rgb="FF202122"/>
        <sz val="11.0"/>
      </rPr>
      <t xml:space="preserve">, </t>
    </r>
    <r>
      <rPr>
        <rFont val="Arial"/>
        <color rgb="FF202122"/>
        <sz val="11.0"/>
      </rPr>
      <t>Mango</t>
    </r>
    <r>
      <rPr>
        <rFont val="Arial"/>
        <color rgb="FF202122"/>
        <sz val="11.0"/>
      </rPr>
      <t xml:space="preserve">, </t>
    </r>
    <r>
      <rPr>
        <rFont val="Arial"/>
        <color rgb="FF202122"/>
        <sz val="11.0"/>
      </rPr>
      <t>Pomegranate</t>
    </r>
  </si>
  <si>
    <r>
      <rPr>
        <rFont val="Arial"/>
        <color rgb="FF202122"/>
        <sz val="11.0"/>
      </rPr>
      <t>Orange</t>
    </r>
    <r>
      <rPr>
        <rFont val="Arial"/>
        <color rgb="FF202122"/>
        <sz val="11.0"/>
      </rPr>
      <t xml:space="preserve">, </t>
    </r>
    <r>
      <rPr>
        <rFont val="Arial"/>
        <color rgb="FF202122"/>
        <sz val="11.0"/>
      </rPr>
      <t>Peach</t>
    </r>
  </si>
  <si>
    <t>40 health, 3 rainbow glow</t>
  </si>
  <si>
    <t>70 max energy, 3 rainbow glow</t>
  </si>
  <si>
    <t>1.17x friendship</t>
  </si>
  <si>
    <t>Overnight health</t>
  </si>
  <si>
    <t>Overnight stamina</t>
  </si>
  <si>
    <t>33% less money</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</si>
</sst>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1.0"/>
      <color rgb="FF000000"/>
      <name val="Arial"/>
    </font>
    <font/>
    <font>
      <b/>
      <sz val="11.0"/>
      <color rgb="FF000000"/>
      <name val="Sans-serif"/>
    </font>
    <font>
      <color theme="1"/>
      <name val="Arial"/>
      <scheme val="minor"/>
    </font>
    <font>
      <u/>
      <sz val="11.0"/>
      <color rgb="FF0645AD"/>
      <name val="Sans-serif"/>
    </font>
    <font>
      <sz val="11.0"/>
      <color rgb="FF202122"/>
      <name val="Sans-serif"/>
    </font>
    <font>
      <u/>
      <sz val="11.0"/>
      <color rgb="FF0645AD"/>
      <name val="Sans-serif"/>
    </font>
    <font>
      <sz val="11.0"/>
      <color rgb="FF202122"/>
      <name val="Arial"/>
    </font>
    <font>
      <u/>
      <sz val="11.0"/>
      <color rgb="FF202122"/>
      <name val="Sans-serif"/>
    </font>
    <font>
      <u/>
      <sz val="11.0"/>
      <color rgb="FF202122"/>
      <name val="Sans-serif"/>
    </font>
    <font>
      <sz val="11.0"/>
      <color rgb="FF0645AD"/>
      <name val="Arial"/>
    </font>
    <font>
      <u/>
      <sz val="11.0"/>
      <color rgb="FF0645AD"/>
      <name val="Sans-serif"/>
    </font>
    <font>
      <i/>
      <u/>
      <sz val="11.0"/>
      <color rgb="FF202122"/>
      <name val="Sans-serif"/>
    </font>
    <font>
      <u/>
      <sz val="11.0"/>
      <color rgb="FF0645AD"/>
      <name val="Arial"/>
    </font>
    <font>
      <b/>
      <sz val="11.0"/>
      <color rgb="FFFFFFFF"/>
      <name val="Sans-serif"/>
    </font>
    <font>
      <u/>
      <sz val="11.0"/>
      <color rgb="FF202122"/>
      <name val="Sans-serif"/>
    </font>
    <font>
      <sz val="11.0"/>
      <color rgb="FF000000"/>
      <name val="Arial"/>
    </font>
    <font>
      <u/>
      <sz val="11.0"/>
      <color rgb="FF202122"/>
      <name val="Sans-serif"/>
    </font>
    <font>
      <u/>
      <sz val="11.0"/>
      <color rgb="FF202122"/>
      <name val="Arial"/>
    </font>
    <font>
      <b/>
      <sz val="11.0"/>
      <color rgb="FFFFFFFF"/>
      <name val="Arial"/>
    </font>
    <font>
      <sz val="11.0"/>
      <color rgb="FF0645AD"/>
      <name val="Sans-serif"/>
    </font>
    <font>
      <sz val="11.0"/>
      <color rgb="FF1C4587"/>
      <name val="Arial"/>
    </font>
    <font>
      <sz val="11.0"/>
      <color rgb="FF000000"/>
      <name val="Inter"/>
    </font>
    <font>
      <color rgb="FF000000"/>
      <name val="Arial"/>
      <scheme val="minor"/>
    </font>
    <font>
      <color rgb="FF000000"/>
      <name val="Arial"/>
    </font>
  </fonts>
  <fills count="13">
    <fill>
      <patternFill patternType="none"/>
    </fill>
    <fill>
      <patternFill patternType="lightGray"/>
    </fill>
    <fill>
      <patternFill patternType="solid">
        <fgColor rgb="FF007448"/>
        <bgColor rgb="FF007448"/>
      </patternFill>
    </fill>
    <fill>
      <patternFill patternType="solid">
        <fgColor rgb="FF434343"/>
        <bgColor rgb="FF434343"/>
      </patternFill>
    </fill>
    <fill>
      <patternFill patternType="solid">
        <fgColor rgb="FFEFEFEF"/>
        <bgColor rgb="FFEFEFEF"/>
      </patternFill>
    </fill>
    <fill>
      <patternFill patternType="solid">
        <fgColor rgb="FFF3F3F3"/>
        <bgColor rgb="FFF3F3F3"/>
      </patternFill>
    </fill>
    <fill>
      <patternFill patternType="solid">
        <fgColor rgb="FF03A007"/>
        <bgColor rgb="FF03A007"/>
      </patternFill>
    </fill>
    <fill>
      <patternFill patternType="solid">
        <fgColor rgb="FFF9CB9C"/>
        <bgColor rgb="FFF9CB9C"/>
      </patternFill>
    </fill>
    <fill>
      <patternFill patternType="solid">
        <fgColor rgb="FFFCE5CD"/>
        <bgColor rgb="FFFCE5CD"/>
      </patternFill>
    </fill>
    <fill>
      <patternFill patternType="solid">
        <fgColor rgb="FFFFFFFF"/>
        <bgColor rgb="FFFFFFFF"/>
      </patternFill>
    </fill>
    <fill>
      <patternFill patternType="solid">
        <fgColor rgb="FF999999"/>
        <bgColor rgb="FF999999"/>
      </patternFill>
    </fill>
    <fill>
      <patternFill patternType="solid">
        <fgColor rgb="FFF4CCCC"/>
        <bgColor rgb="FFF4CCCC"/>
      </patternFill>
    </fill>
    <fill>
      <patternFill patternType="solid">
        <fgColor rgb="FFD9EAD3"/>
        <bgColor rgb="FFD9EAD3"/>
      </patternFill>
    </fill>
  </fills>
  <borders count="21">
    <border/>
    <border>
      <left style="thin">
        <color rgb="FF007448"/>
      </left>
      <right style="thin">
        <color rgb="FF007448"/>
      </right>
      <top style="thin">
        <color rgb="FF007448"/>
      </top>
    </border>
    <border>
      <left style="thin">
        <color rgb="FF007448"/>
      </left>
      <top style="thin">
        <color rgb="FF007448"/>
      </top>
    </border>
    <border>
      <right style="thin">
        <color rgb="FF007448"/>
      </right>
      <top style="thin">
        <color rgb="FF007448"/>
      </top>
    </border>
    <border>
      <top style="thin">
        <color rgb="FF007448"/>
      </top>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thick">
        <color rgb="FF000000"/>
      </left>
      <right style="thick">
        <color rgb="FF000000"/>
      </right>
      <top style="thick">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ill="1" applyFont="1">
      <alignment horizontal="center" readingOrder="0"/>
    </xf>
    <xf borderId="3" fillId="0" fontId="2" numFmtId="0" xfId="0" applyBorder="1" applyFont="1"/>
    <xf borderId="2" fillId="2" fontId="3" numFmtId="0" xfId="0" applyAlignment="1" applyBorder="1" applyFill="1" applyFont="1">
      <alignment horizontal="center" readingOrder="0"/>
    </xf>
    <xf borderId="4" fillId="0" fontId="2" numFmtId="0" xfId="0" applyBorder="1" applyFont="1"/>
    <xf borderId="5" fillId="3" fontId="4" numFmtId="0" xfId="0" applyAlignment="1" applyBorder="1" applyFill="1" applyFont="1">
      <alignment readingOrder="0"/>
    </xf>
    <xf borderId="0" fillId="3" fontId="4" numFmtId="0" xfId="0" applyFill="1" applyFont="1"/>
    <xf borderId="5" fillId="4" fontId="5" numFmtId="0" xfId="0" applyAlignment="1" applyBorder="1" applyFill="1" applyFont="1">
      <alignment readingOrder="0" shrinkToFit="0" wrapText="0"/>
    </xf>
    <xf borderId="6" fillId="4" fontId="6" numFmtId="0" xfId="0" applyAlignment="1" applyBorder="1" applyFill="1" applyFont="1">
      <alignment readingOrder="0" shrinkToFit="0" wrapText="0"/>
    </xf>
    <xf borderId="7" fillId="0" fontId="2" numFmtId="0" xfId="0" applyBorder="1" applyFont="1"/>
    <xf borderId="6" fillId="4" fontId="7" numFmtId="0" xfId="0" applyAlignment="1" applyBorder="1" applyFill="1" applyFont="1">
      <alignment readingOrder="0" shrinkToFit="0" wrapText="0"/>
    </xf>
    <xf borderId="6" fillId="4" fontId="4" numFmtId="0" xfId="0" applyAlignment="1" applyBorder="1" applyFill="1" applyFont="1">
      <alignment readingOrder="0" shrinkToFit="0" wrapText="0"/>
    </xf>
    <xf borderId="8" fillId="0" fontId="2" numFmtId="0" xfId="0" applyBorder="1" applyFont="1"/>
    <xf borderId="5" fillId="5" fontId="4" numFmtId="0" xfId="0" applyBorder="1" applyFill="1" applyFont="1"/>
    <xf borderId="6" fillId="4" fontId="8" numFmtId="0" xfId="0" applyAlignment="1" applyBorder="1" applyFill="1" applyFont="1">
      <alignment readingOrder="0" shrinkToFit="0" wrapText="0"/>
    </xf>
    <xf borderId="6" fillId="4" fontId="4" numFmtId="0" xfId="0" applyAlignment="1" applyBorder="1" applyFill="1" applyFont="1">
      <alignment shrinkToFit="0" wrapText="0"/>
    </xf>
    <xf borderId="5" fillId="5" fontId="4" numFmtId="0" xfId="0" applyAlignment="1" applyBorder="1" applyFill="1" applyFont="1">
      <alignment readingOrder="0"/>
    </xf>
    <xf borderId="6" fillId="4" fontId="9" numFmtId="0" xfId="0" applyAlignment="1" applyBorder="1" applyFill="1" applyFont="1">
      <alignment readingOrder="0" shrinkToFit="0" wrapText="0"/>
    </xf>
    <xf borderId="6" fillId="4" fontId="10" numFmtId="0" xfId="0" applyAlignment="1" applyBorder="1" applyFill="1" applyFont="1">
      <alignment readingOrder="0" shrinkToFit="0" wrapText="0"/>
    </xf>
    <xf borderId="5" fillId="4" fontId="11" numFmtId="0" xfId="0" applyAlignment="1" applyBorder="1" applyFill="1" applyFont="1">
      <alignment readingOrder="0" shrinkToFit="0" wrapText="0"/>
    </xf>
    <xf borderId="6" fillId="4" fontId="12" numFmtId="0" xfId="0" applyAlignment="1" applyBorder="1" applyFill="1" applyFont="1">
      <alignment readingOrder="0" shrinkToFit="0" wrapText="0"/>
    </xf>
    <xf borderId="0" fillId="3" fontId="4" numFmtId="0" xfId="0" applyAlignment="1" applyFill="1" applyFont="1">
      <alignment readingOrder="0"/>
    </xf>
    <xf borderId="6" fillId="4" fontId="13" numFmtId="0" xfId="0" applyAlignment="1" applyBorder="1" applyFill="1" applyFont="1">
      <alignment readingOrder="0" shrinkToFit="0" wrapText="0"/>
    </xf>
    <xf borderId="5" fillId="4" fontId="14" numFmtId="0" xfId="0" applyAlignment="1" applyBorder="1" applyFill="1" applyFont="1">
      <alignment readingOrder="0" shrinkToFit="0" wrapText="0"/>
    </xf>
    <xf borderId="1" fillId="6" fontId="15" numFmtId="0" xfId="0" applyAlignment="1" applyBorder="1" applyFill="1" applyFont="1">
      <alignment horizontal="center" readingOrder="0"/>
    </xf>
    <xf borderId="5" fillId="4" fontId="6" numFmtId="0" xfId="0" applyAlignment="1" applyBorder="1" applyFill="1" applyFont="1">
      <alignment readingOrder="0"/>
    </xf>
    <xf borderId="5" fillId="4" fontId="6" numFmtId="0" xfId="0" applyBorder="1" applyFill="1" applyFont="1"/>
    <xf borderId="5" fillId="4" fontId="16" numFmtId="0" xfId="0" applyAlignment="1" applyBorder="1" applyFill="1" applyFont="1">
      <alignment readingOrder="0"/>
    </xf>
    <xf borderId="6" fillId="4" fontId="4" numFmtId="0" xfId="0" applyBorder="1" applyFill="1" applyFont="1"/>
    <xf borderId="6" fillId="4" fontId="4" numFmtId="0" xfId="0" applyAlignment="1" applyBorder="1" applyFill="1" applyFont="1">
      <alignment readingOrder="0"/>
    </xf>
    <xf borderId="5" fillId="4" fontId="8" numFmtId="0" xfId="0" applyAlignment="1" applyBorder="1" applyFill="1" applyFont="1">
      <alignment readingOrder="0"/>
    </xf>
    <xf borderId="5" fillId="4" fontId="17" numFmtId="0" xfId="0" applyAlignment="1" applyBorder="1" applyFill="1" applyFont="1">
      <alignment readingOrder="0"/>
    </xf>
    <xf borderId="5" fillId="4" fontId="18" numFmtId="0" xfId="0" applyAlignment="1" applyBorder="1" applyFill="1" applyFont="1">
      <alignment readingOrder="0"/>
    </xf>
    <xf borderId="5" fillId="4" fontId="19" numFmtId="0" xfId="0" applyAlignment="1" applyBorder="1" applyFill="1" applyFont="1">
      <alignment readingOrder="0"/>
    </xf>
    <xf borderId="0" fillId="4" fontId="4" numFmtId="0" xfId="0" applyAlignment="1" applyFill="1" applyFont="1">
      <alignment readingOrder="0"/>
    </xf>
    <xf borderId="1" fillId="6" fontId="20" numFmtId="0" xfId="0" applyAlignment="1" applyBorder="1" applyFill="1" applyFont="1">
      <alignment horizontal="center" readingOrder="0"/>
    </xf>
    <xf borderId="5" fillId="4" fontId="4" numFmtId="0" xfId="0" applyAlignment="1" applyBorder="1" applyFill="1" applyFont="1">
      <alignment readingOrder="0"/>
    </xf>
    <xf borderId="7" fillId="4" fontId="4" numFmtId="0" xfId="0" applyAlignment="1" applyBorder="1" applyFill="1" applyFont="1">
      <alignment readingOrder="0"/>
    </xf>
    <xf borderId="9" fillId="7" fontId="17" numFmtId="0" xfId="0" applyAlignment="1" applyBorder="1" applyFill="1" applyFont="1">
      <alignment readingOrder="0"/>
    </xf>
    <xf borderId="9" fillId="7" fontId="6" numFmtId="0" xfId="0" applyAlignment="1" applyBorder="1" applyFill="1" applyFont="1">
      <alignment readingOrder="0"/>
    </xf>
    <xf borderId="9" fillId="7" fontId="8" numFmtId="0" xfId="0" applyAlignment="1" applyBorder="1" applyFill="1" applyFont="1">
      <alignment readingOrder="0"/>
    </xf>
    <xf borderId="9" fillId="7" fontId="21" numFmtId="0" xfId="0" applyAlignment="1" applyBorder="1" applyFill="1" applyFont="1">
      <alignment readingOrder="0"/>
    </xf>
    <xf borderId="9" fillId="7" fontId="4" numFmtId="0" xfId="0" applyAlignment="1" applyBorder="1" applyFill="1" applyFont="1">
      <alignment readingOrder="0"/>
    </xf>
    <xf borderId="10" fillId="7" fontId="4" numFmtId="0" xfId="0" applyAlignment="1" applyBorder="1" applyFill="1" applyFont="1">
      <alignment readingOrder="0"/>
    </xf>
    <xf borderId="11" fillId="0" fontId="2" numFmtId="0" xfId="0" applyBorder="1" applyFont="1"/>
    <xf borderId="12" fillId="0" fontId="2" numFmtId="0" xfId="0" applyBorder="1" applyFont="1"/>
    <xf borderId="5" fillId="7" fontId="4" numFmtId="0" xfId="0" applyAlignment="1" applyBorder="1" applyFill="1" applyFont="1">
      <alignment readingOrder="0"/>
    </xf>
    <xf borderId="6" fillId="8" fontId="11" numFmtId="0" xfId="0" applyAlignment="1" applyBorder="1" applyFill="1" applyFont="1">
      <alignment readingOrder="0"/>
    </xf>
    <xf borderId="5" fillId="8" fontId="8" numFmtId="0" xfId="0" applyAlignment="1" applyBorder="1" applyFill="1" applyFont="1">
      <alignment readingOrder="0"/>
    </xf>
    <xf borderId="5" fillId="8" fontId="11" numFmtId="0" xfId="0" applyAlignment="1" applyBorder="1" applyFill="1" applyFont="1">
      <alignment readingOrder="0"/>
    </xf>
    <xf borderId="5" fillId="8" fontId="4" numFmtId="0" xfId="0" applyAlignment="1" applyBorder="1" applyFill="1" applyFont="1">
      <alignment readingOrder="0"/>
    </xf>
    <xf borderId="6" fillId="8" fontId="4" numFmtId="0" xfId="0" applyAlignment="1" applyBorder="1" applyFill="1" applyFont="1">
      <alignment readingOrder="0"/>
    </xf>
    <xf borderId="13" fillId="8" fontId="11" numFmtId="0" xfId="0" applyAlignment="1" applyBorder="1" applyFill="1" applyFont="1">
      <alignment readingOrder="0"/>
    </xf>
    <xf borderId="14" fillId="0" fontId="2" numFmtId="0" xfId="0" applyBorder="1" applyFont="1"/>
    <xf borderId="15" fillId="8" fontId="8" numFmtId="0" xfId="0" applyAlignment="1" applyBorder="1" applyFill="1" applyFont="1">
      <alignment readingOrder="0"/>
    </xf>
    <xf borderId="15" fillId="8" fontId="4" numFmtId="0" xfId="0" applyAlignment="1" applyBorder="1" applyFill="1" applyFont="1">
      <alignment readingOrder="0"/>
    </xf>
    <xf borderId="13" fillId="8" fontId="4" numFmtId="0" xfId="0" applyAlignment="1" applyBorder="1" applyFill="1" applyFont="1">
      <alignment readingOrder="0"/>
    </xf>
    <xf borderId="16" fillId="0" fontId="2" numFmtId="0" xfId="0" applyBorder="1" applyFont="1"/>
    <xf borderId="5" fillId="8" fontId="6" numFmtId="0" xfId="0" applyAlignment="1" applyBorder="1" applyFill="1" applyFont="1">
      <alignment readingOrder="0"/>
    </xf>
    <xf borderId="5" fillId="8" fontId="21" numFmtId="0" xfId="0" applyAlignment="1" applyBorder="1" applyFill="1" applyFont="1">
      <alignment readingOrder="0"/>
    </xf>
    <xf borderId="16" fillId="8" fontId="4" numFmtId="0" xfId="0" applyBorder="1" applyFill="1" applyFont="1"/>
    <xf borderId="0" fillId="8" fontId="8" numFmtId="0" xfId="0" applyAlignment="1" applyFill="1" applyFont="1">
      <alignment horizontal="left" readingOrder="0"/>
    </xf>
    <xf borderId="6" fillId="8" fontId="22" numFmtId="0" xfId="0" applyAlignment="1" applyBorder="1" applyFill="1" applyFont="1">
      <alignment readingOrder="0"/>
    </xf>
    <xf borderId="0" fillId="0" fontId="4" numFmtId="0" xfId="0" applyAlignment="1" applyFont="1">
      <alignment readingOrder="0"/>
    </xf>
    <xf borderId="0" fillId="9" fontId="23" numFmtId="0" xfId="0" applyAlignment="1" applyFill="1" applyFont="1">
      <alignment horizontal="left" readingOrder="0"/>
    </xf>
    <xf borderId="0" fillId="0" fontId="24" numFmtId="0" xfId="0" applyFont="1"/>
    <xf borderId="7" fillId="8" fontId="22" numFmtId="0" xfId="0" applyAlignment="1" applyBorder="1" applyFill="1" applyFont="1">
      <alignment readingOrder="0"/>
    </xf>
    <xf borderId="6" fillId="7" fontId="17" numFmtId="0" xfId="0" applyAlignment="1" applyBorder="1" applyFill="1" applyFont="1">
      <alignment readingOrder="0"/>
    </xf>
    <xf borderId="5" fillId="7" fontId="6" numFmtId="0" xfId="0" applyAlignment="1" applyBorder="1" applyFill="1" applyFont="1">
      <alignment readingOrder="0"/>
    </xf>
    <xf borderId="5" fillId="7" fontId="21" numFmtId="0" xfId="0" applyAlignment="1" applyBorder="1" applyFill="1" applyFont="1">
      <alignment readingOrder="0"/>
    </xf>
    <xf borderId="6" fillId="7" fontId="4" numFmtId="0" xfId="0" applyAlignment="1" applyBorder="1" applyFill="1" applyFont="1">
      <alignment readingOrder="0"/>
    </xf>
    <xf borderId="5" fillId="3" fontId="4" numFmtId="0" xfId="0" applyBorder="1" applyFill="1" applyFont="1"/>
    <xf borderId="0" fillId="3" fontId="21" numFmtId="0" xfId="0" applyAlignment="1" applyFill="1" applyFont="1">
      <alignment readingOrder="0"/>
    </xf>
    <xf borderId="0" fillId="3" fontId="6" numFmtId="0" xfId="0" applyAlignment="1" applyFill="1" applyFont="1">
      <alignment readingOrder="0"/>
    </xf>
    <xf borderId="2" fillId="6" fontId="20" numFmtId="0" xfId="0" applyAlignment="1" applyBorder="1" applyFill="1" applyFont="1">
      <alignment horizontal="center" readingOrder="0"/>
    </xf>
    <xf borderId="6" fillId="4" fontId="8" numFmtId="0" xfId="0" applyAlignment="1" applyBorder="1" applyFill="1" applyFont="1">
      <alignment readingOrder="0"/>
    </xf>
    <xf borderId="5" fillId="4" fontId="8" numFmtId="0" xfId="0" applyAlignment="1" applyBorder="1" applyFill="1" applyFont="1">
      <alignment readingOrder="0"/>
    </xf>
    <xf borderId="17" fillId="10" fontId="4" numFmtId="0" xfId="0" applyAlignment="1" applyBorder="1" applyFill="1" applyFont="1">
      <alignment readingOrder="0"/>
    </xf>
    <xf borderId="18" fillId="0" fontId="2" numFmtId="0" xfId="0" applyBorder="1" applyFont="1"/>
    <xf borderId="19" fillId="0" fontId="2" numFmtId="0" xfId="0" applyBorder="1" applyFont="1"/>
    <xf borderId="20" fillId="11" fontId="4" numFmtId="0" xfId="0" applyAlignment="1" applyBorder="1" applyFill="1" applyFont="1">
      <alignment readingOrder="0"/>
    </xf>
    <xf borderId="20" fillId="12" fontId="4" numFmtId="0" xfId="0" applyAlignment="1" applyBorder="1" applyFill="1" applyFont="1">
      <alignment readingOrder="0"/>
    </xf>
    <xf borderId="20" fillId="12" fontId="4" numFmtId="0" xfId="0" applyBorder="1" applyFill="1" applyFont="1"/>
    <xf borderId="17" fillId="12" fontId="4" numFmtId="0" xfId="0" applyAlignment="1" applyBorder="1" applyFill="1" applyFont="1">
      <alignment readingOrder="0"/>
    </xf>
    <xf borderId="17" fillId="10" fontId="25" numFmtId="0" xfId="0" applyAlignment="1" applyBorder="1" applyFill="1" applyFont="1">
      <alignment horizontal="left" readingOrder="0"/>
    </xf>
  </cellXfs>
  <cellStyles count="1">
    <cellStyle xfId="0" name="Normal" builtinId="0"/>
  </cellStyles>
  <dxfs count="3">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9CB9C"/>
          <bgColor rgb="FFF9C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iger billard" id="{313a5751-d2e6-4821-bea1-048fc468eb37}" providerId="google-sheets"/>
  <x18tc:person displayName="Anonymous" id="{9e913934-91df-4973-9cd2-d351444fe6e7}" providerId="google-sheets"/>
  <x18tc:person displayName="Austin Matthews" id="{c1264ff8-420c-4261-86b1-abf48a57a963}" providerId="google-sheets"/>
  <x18tc:person displayName="NatureOfEco N.A" id="{0b3bc193-b857-4408-a4fc-faf2a7b455f0}" providerId="google-sheets"/>
  <x18tc:person displayName="austin matthews" id="{2d6cc0c9-edad-45ca-8226-38b5587132a2}" providerId="google-sheets"/>
  <x18tc:person displayName="chandler schock" id="{06b6e1b7-5720-46b8-ba4f-98d133ba21a9}" providerId="google-sheets"/>
  <x18tc:person displayName="John Bernoulli Robles" id="{16fb14c7-ced2-4185-b1fb-60617e043ff5}" providerId="google-sheets"/>
  <x18tc:person displayName="Joey Christenson" id="{527d27a4-4ed1-4b36-a3b3-e8747720116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434343"/>
      </a:lt1>
      <a:dk2>
        <a:srgbClr val="000000"/>
      </a:dk2>
      <a:lt2>
        <a:srgbClr val="434343"/>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7-31T03:38:16.00" personId="{c1264ff8-420c-4261-86b1-abf48a57a963}" id="{cacb173f-5d40-42ae-b017-2dd69fbf2813}" done="1">
    <x18tc:text xml:space="preserve">Napalm ring</x18tc:text>
  </x18tc:threadedComment>
  <x18tc:threadedComment ref="H508" dT="2026-04-10T09:53:16.00" personId="{313a5751-d2e6-4821-bea1-048fc468eb37}" id="{5c1b3a6e-ab41-47ac-bf1c-f98213ae16d3}" done="1">
    <x18tc:text xml:space="preserve">I'm done. Thanks again for the mod, and see ya.</x18tc:text>
  </x18tc:threadedComment>
  <x18tc:threadedComment ref="H508" dT="2026-04-10T13:18:14.00" personId="{0b3bc193-b857-4408-a4fc-faf2a7b455f0}" id="{0d708cb2-0dd3-46c8-bb5f-d22115281322}" parentId="{5c1b3a6e-ab41-47ac-bf1c-f98213ae16d3}">
    <x18tc:text xml:space="preserve">Thanks so much for this, didn't realise how many pieces I hadnt updated in the docs. 
If you had any feature requests, changes youd like me to make etc. please let me know.</x18tc:text>
  </x18tc:threadedComment>
  <x18tc:threadedComment ref="H508" dT="2026-04-10T14:46:26.00" personId="{313a5751-d2e6-4821-bea1-048fc468eb37}" id="{6f3d1922-9645-4819-a788-7c98bec597f8}" parentId="{5c1b3a6e-ab41-47ac-bf1c-f98213ae16d3}">
    <x18tc:text xml:space="preserve">There is not much. I am quite satisfied with what there is already. The only thing i could ask is for autowater to get a little up. The starting value is ok, but the value at level 10 is 0.44, which is only 0.06 less than what you get with an iridium watering can (18 tiles for 9 energy). There would be no interest in using autowater late. And since the down side of autowater already exist (you take more time to water your crops than doing it with the Ir watering can (18 tiles at once)), i think that would be ok to bring the value down, maybe like 0.3 at level 10 farming? I know that sprinklers exist, but the function of autowater would be useless if we think just like that.</x18tc:text>
  </x18tc:threadedComment>
  <x18tc:threadedComment ref="H508" dT="2026-04-10T15:15:16.00" personId="{0b3bc193-b857-4408-a4fc-faf2a7b455f0}" id="{2d78fe4f-c213-481a-8ac7-ac6140d9cf06}" parentId="{5c1b3a6e-ab41-47ac-bf1c-f98213ae16d3}">
    <x18tc:text xml:space="preserve">That makes sense, I'll buff the level scaling :)</x18tc:text>
  </x18tc:threadedComment>
  <x18tc:threadedComment ref="F283" dT="2026-04-10T09:34:28.00" personId="{313a5751-d2e6-4821-bea1-048fc468eb37}" id="{552c32f8-d2d9-49ec-b47a-2878490285d6}" done="1">
    <x18tc:text xml:space="preserve">caution, there is 3 sailor shirt, 2 of them have this bonus, the third don't have anything</x18tc:text>
  </x18tc:threadedComment>
  <x18tc:threadedComment ref="F283" dT="2026-04-10T13:21:44.00" personId="{0b3bc193-b857-4408-a4fc-faf2a7b455f0}" id="{62b4c328-19ea-4607-ae07-304887643160}" parentId="{552c32f8-d2d9-49ec-b47a-2878490285d6}">
    <x18tc:text xml:space="preserve">will fix, leaving open for now</x18tc:text>
  </x18tc:threadedComment>
  <x18tc:threadedComment ref="A1" dT="2024-07-31T01:22:21.00" personId="{c1264ff8-420c-4261-86b1-abf48a57a963}" id="{dbe9711e-f0b2-4c28-b6b1-34febd989f93}" done="1">
    <x18tc:text xml:space="preserve">Can there be a thorns effect stronger than the thorns ring, I want to spec myself to be Rammus</x18tc:text>
  </x18tc:threadedComment>
  <x18tc:threadedComment ref="A1" dT="2024-07-31T01:23:02.00" personId="{c1264ff8-420c-4261-86b1-abf48a57a963}" id="{67f1ad30-a70e-4628-9f7e-af2cf5e4ded2}" parentId="{dbe9711e-f0b2-4c28-b6b1-34febd989f93}">
    <x18tc:text xml:space="preserve">Add it to a shirt/pants</x18tc:text>
  </x18tc:threadedComment>
  <x18tc:threadedComment ref="A1" dT="2024-07-30T23:56:12.00" personId="{c1264ff8-420c-4261-86b1-abf48a57a963}" id="{32e4a146-404c-4616-947c-9e6fc41d1788}" done="1">
    <x18tc:text xml:space="preserve">What does Auto water mean?</x18tc:text>
  </x18tc:threadedComment>
  <x18tc:threadedComment ref="E217" dT="2026-04-20T18:22:39.00" personId="{313a5751-d2e6-4821-bea1-048fc468eb37}" id="{483fb3c0-784c-4ffa-bdae-f8ea3552560a}" done="1">
    <x18tc:text xml:space="preserve">Hi, it's me again. Just wanted to ask, did you by any chance modify some tailoring recipe? Cause the Green jacket shirt was supposed to be crafted with a duck egg initially, but that is not working (work fine with no mod). I installed "lookup anything" to see, and there is no recipe anymore for it.</x18tc:text>
  </x18tc:threadedComment>
  <x18tc:threadedComment ref="E217" dT="2026-04-20T23:45:41.00" personId="{0b3bc193-b857-4408-a4fc-faf2a7b455f0}" id="{5b998040-f10c-4a63-b7d3-b7013fc76d42}" parentId="{483fb3c0-784c-4ffa-bdae-f8ea3552560a}">
    <x18tc:text xml:space="preserve">This mod does by default change some crafting recipes, like green jacket (to use statue of blessing). This can be disabled in the CP config. I'll look into this and make sure, though</x18tc:text>
  </x18tc:threadedComment>
  <x18tc:threadedComment ref="E217" dT="2026-04-21T15:32:10.00" personId="{313a5751-d2e6-4821-bea1-048fc468eb37}" id="{1af2103c-17e9-4cd2-b8fc-145026747c1c}" parentId="{483fb3c0-784c-4ffa-bdae-f8ea3552560a}">
    <x18tc:text xml:space="preserve">Ok, i didn't see that parameter then, my bad. But what do you mean exactly by "to use statue of blessing"?</x18tc:text>
  </x18tc:threadedComment>
  <x18tc:threadedComment ref="E217" dT="2026-04-21T18:08:50.00" personId="{0b3bc193-b857-4408-a4fc-faf2a7b455f0}" id="{3cc92939-1ab9-4ff2-90c2-cf238596d020}" parentId="{483fb3c0-784c-4ffa-bdae-f8ea3552560a}">
    <x18tc:text xml:space="preserve">It changes the recipe to require / use a statue of blessing, a late game item that is pretty hard to come by.</x18tc:text>
  </x18tc:threadedComment>
  <x18tc:threadedComment ref="F151" dT="2026-02-14T04:05:56.00" personId="{527d27a4-4ed1-4b36-a3b3-e87477201167}" id="{7a750f19-e736-4bc7-b9a8-0f62fad8c1a0}" done="1">
    <x18tc:text xml:space="preserve">What does this mean? Soft edge variant? I'm keen to use this but it looks a little too easy to make with just Fiber or Wood.</x18tc:text>
  </x18tc:threadedComment>
  <x18tc:threadedComment ref="F151" dT="2026-02-14T08:40:26.00" personId="{0b3bc193-b857-4408-a4fc-faf2a7b455f0}" id="{64451c6a-2bab-4d50-845d-0703f94904d4}" parentId="{7a750f19-e736-4bc7-b9a8-0f62fad8c1a0}">
    <x18tc:text xml:space="preserve">The soft edge variant is a very rare variant only obtainable as part of a rare costume during the desert festival from emily's stand.</x18tc:text>
  </x18tc:threadedComment>
  <x18tc:threadedComment ref="F151" dT="2026-02-14T15:37:55.00" personId="{527d27a4-4ed1-4b36-a3b3-e87477201167}" id="{f98909d1-ed64-4349-8d04-a030b4c4b5a9}" parentId="{7a750f19-e736-4bc7-b9a8-0f62fad8c1a0}">
    <x18tc:text xml:space="preserve">Perfect, thank you! I've been away from SDV since before the release of LoZ Tears of the Kingdom so there's been a lot of new content since :)</x18tc:text>
  </x18tc:threadedComment>
  <x18tc:threadedComment ref="A425" dT="2026-04-26T16:50:52.00" personId="{313a5751-d2e6-4821-bea1-048fc468eb37}" id="{438d432d-33f3-4ae1-ae94-d7d66d3914b6}" done="1">
    <x18tc:text xml:space="preserve">Hi, is having several time the loving rancher buff useful? Cause you get it 3 times with the full set of "prairie friend".</x18tc:text>
  </x18tc:threadedComment>
  <x18tc:threadedComment ref="A425" dT="2026-04-27T05:12:01.00" personId="{0b3bc193-b857-4408-a4fc-faf2a7b455f0}" id="{22292c39-5170-4be6-a5f6-2f8c32c1d69a}" parentId="{438d432d-33f3-4ae1-ae94-d7d66d3914b6}">
    <x18tc:text xml:space="preserve">Yes it is, it will act as different instances of chances</x18tc:text>
  </x18tc:threadedComment>
  <x18tc:threadedComment ref="A425" dT="2026-04-27T05:29:57.00" personId="{313a5751-d2e6-4821-bea1-048fc468eb37}" id="{20641122-ed18-4527-b57b-c4d75e72ae8d}" parentId="{438d432d-33f3-4ae1-ae94-d7d66d3914b6}">
    <x18tc:text xml:space="preserve">Ok, thanks</x18tc:text>
  </x18tc:threadedComment>
  <x18tc:threadedComment ref="F28" dT="2026-04-09T17:20:50.00" personId="{313a5751-d2e6-4821-bea1-048fc468eb37}" id="{b3bf0987-bc5b-481d-9a9f-c2243b17deac}" done="1">
    <x18tc:text xml:space="preserve">x1.2 crit damage?</x18tc:text>
  </x18tc:threadedComment>
  <x18tc:threadedComment ref="F28" dT="2026-04-09T18:35:41.00" personId="{0b3bc193-b857-4408-a4fc-faf2a7b455f0}" id="{f4a673ad-f07d-4e16-89a6-6ab227afc28c}" parentId="{b3bf0987-bc5b-481d-9a9f-c2243b17deac}">
    <x18tc:text xml:space="preserve">Should be 2x, will fix in next update.</x18tc:text>
  </x18tc:threadedComment>
  <x18tc:threadedComment ref="F123" dT="2026-04-09T18:37:32.00" personId="{313a5751-d2e6-4821-bea1-048fc468eb37}" id="{2acc1635-0362-4b74-b1d5-28430cdb7924}" done="1">
    <x18tc:text xml:space="preserve">+7 attack (rest ok)
But why does it exist in my game if it is Shiny fish exclusive?</x18tc:text>
  </x18tc:threadedComment>
  <x18tc:threadedComment ref="F123" dT="2026-04-09T18:43:13.00" personId="{0b3bc193-b857-4408-a4fc-faf2a7b455f0}" id="{b1dd8973-31ab-41b2-9320-f8a85e3e3a77}" parentId="{2acc1635-0362-4b74-b1d5-28430cdb7924}">
    <x18tc:text xml:space="preserve">I made both, that's all. Will probably remove next update though.</x18tc:text>
  </x18tc:threadedComment>
  <x18tc:threadedComment ref="F123" dT="2026-04-09T18:43:16.00" personId="{0b3bc193-b857-4408-a4fc-faf2a7b455f0}" id="{6446cd4c-dec4-4e9e-b2e8-10c5fa9fb2ed}" parentId="{2acc1635-0362-4b74-b1d5-28430cdb7924}">
    <x18tc:text xml:space="preserve">Marked as resolved</x18tc:text>
  </x18tc:threadedComment>
  <x18tc:threadedComment ref="F123" dT="2026-04-09T18:43:42.00" personId="{0b3bc193-b857-4408-a4fc-faf2a7b455f0}" id="{d1dd28e3-ec0f-4e85-b6c4-a787cc228004}" parentId="{2acc1635-0362-4b74-b1d5-28430cdb7924}">
    <x18tc:text xml:space="preserve">oops- keeping this open.
Re-opened</x18tc:text>
  </x18tc:threadedComment>
  <x18tc:threadedComment ref="F123" dT="2026-04-09T18:44:40.00" personId="{313a5751-d2e6-4821-bea1-048fc468eb37}" id="{76608381-1e8d-44a8-b29c-cea9671cd981}" parentId="{2acc1635-0362-4b74-b1d5-28430cdb7924}">
    <x18tc:text xml:space="preserve">Is this hat normally accessible in game with normal gameplay? Cause i do not find it on the wiki</x18tc:text>
  </x18tc:threadedComment>
  <x18tc:threadedComment ref="F123" dT="2026-04-09T19:13:09.00" personId="{0b3bc193-b857-4408-a4fc-faf2a7b455f0}" id="{416af53a-3f29-4e8a-8c92-38444a58caaf}" parentId="{2acc1635-0362-4b74-b1d5-28430cdb7924}">
    <x18tc:text xml:space="preserve">It isn't. Its a hat added to be an easter egg for if you also have shiny fish.</x18tc:text>
  </x18tc:threadedComment>
  <x18tc:threadedComment ref="F123" dT="2026-04-09T19:14:45.00" personId="{313a5751-d2e6-4821-bea1-048fc468eb37}" id="{532e363e-eddd-4df3-a277-ce4b1586ff9e}" parentId="{2acc1635-0362-4b74-b1d5-28430cdb7924}">
    <x18tc:text xml:space="preserve">Ok, it's added by your mod  then, thanks for the answer</x18tc:text>
  </x18tc:threadedComment>
  <x18tc:threadedComment ref="F123" dT="2026-04-10T20:07:53.00" personId="{313a5751-d2e6-4821-bea1-048fc468eb37}" id="{46f073a7-857c-44ec-97f0-98f28f0a4618}" parentId="{2acc1635-0362-4b74-b1d5-28430cdb7924}">
    <x18tc:text xml:space="preserve">Marked as resolved</x18tc:text>
  </x18tc:threadedComment>
  <x18tc:threadedComment ref="F123" dT="2026-04-10T20:08:14.00" personId="{313a5751-d2e6-4821-bea1-048fc468eb37}" id="{d0ea9a20-3375-469c-a031-df2f1bbad49c}" parentId="{2acc1635-0362-4b74-b1d5-28430cdb7924}">
    <x18tc:text xml:space="preserve">Re-opened</x18tc:text>
  </x18tc:threadedComment>
  <x18tc:threadedComment ref="A1" dT="2024-07-31T01:18:42.00" personId="{c1264ff8-420c-4261-86b1-abf48a57a963}" id="{8ee814f4-2da0-4d5f-94ef-28d14f8ba3fc}" done="1">
    <x18tc:text xml:space="preserve">Married? You get Mom/Dad strength when working in the town/farm while married with kids</x18tc:text>
  </x18tc:threadedComment>
  <x18tc:threadedComment ref="A1" dT="2024-07-30T04:02:00.00" personId="{2d6cc0c9-edad-45ca-8226-38b5587132a2}" id="{951a8d80-3aa0-4d83-84a1-362729788d8a}" done="1">
    <x18tc:text xml:space="preserve">Change to 1 Luck?</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3" dT="2025-09-09T07:14:01.00" personId="{06b6e1b7-5720-46b8-ba4f-98d133ba21a9}" id="{65735fd0-3fe7-44c7-95d2-3677a85af7e6}" done="1">
    <x18tc:text xml:space="preserve">what</x18tc:text>
  </x18tc:threadedComment>
  <x18tc:threadedComment ref="A123" dT="2025-12-24T01:34:02.00" personId="{0b3bc193-b857-4408-a4fc-faf2a7b455f0}" id="{097eaa54-35f9-4c60-9b45-10b751935ee7}" parentId="{65735fd0-3fe7-44c7-95d2-3677a85af7e6}">
    <x18tc:text xml:space="preserve">This hat is only found if you play with the "Shiny Fish" mod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04" dT="2024-11-11T01:32:39.00" personId="{16fb14c7-ced2-4185-b1fb-60617e043ff5}" id="{ba01829c-287c-4878-ae42-74abf7a27663}" done="1">
    <x18tc:text xml:space="preserve">Proper spelling would be "Mercenary"</x18tc:text>
  </x18tc:threadedComment>
  <x18tc:threadedComment ref="A404" dT="2024-11-11T04:21:08.00" personId="{0b3bc193-b857-4408-a4fc-faf2a7b455f0}" id="{a9365de0-6a13-4dad-aa4b-b2198a9eae7d}" parentId="{ba01829c-287c-4878-ae42-74abf7a27663}">
    <x18tc:text xml:space="preserve">Thanks!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15" dT="2024-11-04T00:03:31.00" personId="{9e913934-91df-4973-9cd2-d351444fe6e7}" id="{32a5029b-6f45-48c3-ae82-5251b97871ea}" done="1">
    <x18tc:text xml:space="preserve">Too OP
If/When a monster drops it then, in less than 10 minutes, stamina becomes full</x18tc:text>
  </x18tc:threadedComment>
  <x18tc:threadedComment ref="F215" dT="2024-11-05T04:45:18.00" personId="{0b3bc193-b857-4408-a4fc-faf2a7b455f0}" id="{a56edc07-3295-4bd4-93f1-a562db611ec2}" parentId="{32a5029b-6f45-48c3-ae82-5251b97871ea}">
    <x18tc:text xml:space="preserve">Marked as resolved</x18tc:text>
  </x18tc:threadedComment>
  <x18tc:threadedComment ref="F215" dT="2024-11-05T04:45:47.00" personId="{0b3bc193-b857-4408-a4fc-faf2a7b455f0}" id="{c3070b50-255a-4f7d-859c-5a1544af5586}" parentId="{32a5029b-6f45-48c3-ae82-5251b97871ea}">
    <x18tc:text xml:space="preserve">Re-opened</x18tc:text>
  </x18tc:threadedComment>
  <x18tc:threadedComment ref="F215" dT="2024-11-05T04:46:08.00" personId="{0b3bc193-b857-4408-a4fc-faf2a7b455f0}" id="{59b65e6a-7094-47a9-b17d-6c6657ace89f}" parentId="{32a5029b-6f45-48c3-ae82-5251b97871ea}">
    <x18tc:text xml:space="preserve">Will triple the time required for stamina regeneration</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stardewvalleywiki.com/Daisy" TargetMode="External"/><Relationship Id="rId194" Type="http://schemas.openxmlformats.org/officeDocument/2006/relationships/hyperlink" Target="https://stardewvalleywiki.com/Cowgal_Hat" TargetMode="External"/><Relationship Id="rId193" Type="http://schemas.openxmlformats.org/officeDocument/2006/relationships/hyperlink" Target="https://stardewvalleywiki.com/Shipping" TargetMode="External"/><Relationship Id="rId192" Type="http://schemas.openxmlformats.org/officeDocument/2006/relationships/hyperlink" Target="https://stardewvalleywiki.com/Cowpoke_Hat" TargetMode="External"/><Relationship Id="rId191" Type="http://schemas.openxmlformats.org/officeDocument/2006/relationships/hyperlink" Target="https://stardewvalleywiki.com/Crafting" TargetMode="External"/><Relationship Id="rId187" Type="http://schemas.openxmlformats.org/officeDocument/2006/relationships/hyperlink" Target="https://stardewvalleywiki.com/Skull_Cavern" TargetMode="External"/><Relationship Id="rId186" Type="http://schemas.openxmlformats.org/officeDocument/2006/relationships/hyperlink" Target="https://stardewvalleywiki.com/Dark_Cowboy_Hat" TargetMode="External"/><Relationship Id="rId185" Type="http://schemas.openxmlformats.org/officeDocument/2006/relationships/hyperlink" Target="https://stardewvalleywiki.com/Desert_Festival" TargetMode="External"/><Relationship Id="rId184" Type="http://schemas.openxmlformats.org/officeDocument/2006/relationships/hyperlink" Target="https://stardewvalleywiki.com/Dark_Velvet_Bow" TargetMode="External"/><Relationship Id="rId189" Type="http://schemas.openxmlformats.org/officeDocument/2006/relationships/hyperlink" Target="https://stardewvalleywiki.com/Desert_Festival" TargetMode="External"/><Relationship Id="rId188" Type="http://schemas.openxmlformats.org/officeDocument/2006/relationships/hyperlink" Target="https://stardewvalleywiki.com/Dark_Ballcap" TargetMode="External"/><Relationship Id="rId183" Type="http://schemas.openxmlformats.org/officeDocument/2006/relationships/hyperlink" Target="https://stardewvalleywiki.com/Cooking" TargetMode="External"/><Relationship Id="rId182" Type="http://schemas.openxmlformats.org/officeDocument/2006/relationships/hyperlink" Target="https://stardewvalleywiki.com/Delicate_Bow" TargetMode="External"/><Relationship Id="rId181" Type="http://schemas.openxmlformats.org/officeDocument/2006/relationships/hyperlink" Target="https://stardewvalleywiki.com/Island_Trader" TargetMode="External"/><Relationship Id="rId180" Type="http://schemas.openxmlformats.org/officeDocument/2006/relationships/hyperlink" Target="https://stardewvalleywiki.com/Deluxe_Cowboy_Hat" TargetMode="External"/><Relationship Id="rId176" Type="http://schemas.openxmlformats.org/officeDocument/2006/relationships/hyperlink" Target="https://stardewvalleywiki.com/Dinosaur_Hat" TargetMode="External"/><Relationship Id="rId297" Type="http://schemas.openxmlformats.org/officeDocument/2006/relationships/hyperlink" Target="https://stardewvalleywiki.com/Gold_Bar" TargetMode="External"/><Relationship Id="rId175" Type="http://schemas.openxmlformats.org/officeDocument/2006/relationships/hyperlink" Target="https://stardewvalleywiki.com/Friendship" TargetMode="External"/><Relationship Id="rId296" Type="http://schemas.openxmlformats.org/officeDocument/2006/relationships/hyperlink" Target="https://stardewvalleywiki.com/Aged_Roe" TargetMode="External"/><Relationship Id="rId174" Type="http://schemas.openxmlformats.org/officeDocument/2006/relationships/hyperlink" Target="https://stardewvalleywiki.com/Earmuffs" TargetMode="External"/><Relationship Id="rId295" Type="http://schemas.openxmlformats.org/officeDocument/2006/relationships/hyperlink" Target="https://stardewvalleywiki.com/Ginger_Ale" TargetMode="External"/><Relationship Id="rId173" Type="http://schemas.openxmlformats.org/officeDocument/2006/relationships/hyperlink" Target="https://stardewvalleywiki.com/Achievements" TargetMode="External"/><Relationship Id="rId294" Type="http://schemas.openxmlformats.org/officeDocument/2006/relationships/hyperlink" Target="https://stardewvalleywiki.com/Chowder" TargetMode="External"/><Relationship Id="rId179" Type="http://schemas.openxmlformats.org/officeDocument/2006/relationships/hyperlink" Target="https://stardewvalleywiki.com/Volcano_Dungeon" TargetMode="External"/><Relationship Id="rId178" Type="http://schemas.openxmlformats.org/officeDocument/2006/relationships/hyperlink" Target="https://stardewvalleywiki.com/Deluxe_Pirate_Hat" TargetMode="External"/><Relationship Id="rId299" Type="http://schemas.openxmlformats.org/officeDocument/2006/relationships/hyperlink" Target="https://stardewvalleywiki.com/Maru" TargetMode="External"/><Relationship Id="rId177" Type="http://schemas.openxmlformats.org/officeDocument/2006/relationships/hyperlink" Target="https://stardewvalleywiki.com/Tailoring" TargetMode="External"/><Relationship Id="rId298" Type="http://schemas.openxmlformats.org/officeDocument/2006/relationships/hyperlink" Target="https://stardewvalleywiki.com/Dried_Starfish" TargetMode="External"/><Relationship Id="rId198" Type="http://schemas.openxmlformats.org/officeDocument/2006/relationships/hyperlink" Target="https://stardewvalleywiki.com/Copper_Pan_(hat)" TargetMode="External"/><Relationship Id="rId197" Type="http://schemas.openxmlformats.org/officeDocument/2006/relationships/hyperlink" Target="https://stardewvalleywiki.com/Museum" TargetMode="External"/><Relationship Id="rId196" Type="http://schemas.openxmlformats.org/officeDocument/2006/relationships/hyperlink" Target="https://stardewvalleywiki.com/Cowboy_Hat" TargetMode="External"/><Relationship Id="rId195" Type="http://schemas.openxmlformats.org/officeDocument/2006/relationships/hyperlink" Target="https://stardewvalleywiki.com/Shipping" TargetMode="External"/><Relationship Id="rId199" Type="http://schemas.openxmlformats.org/officeDocument/2006/relationships/hyperlink" Target="https://stardewvalleywiki.com/Pans" TargetMode="External"/><Relationship Id="rId150" Type="http://schemas.openxmlformats.org/officeDocument/2006/relationships/hyperlink" Target="https://stardewvalleywiki.com/Gil%27s_Hat" TargetMode="External"/><Relationship Id="rId271" Type="http://schemas.openxmlformats.org/officeDocument/2006/relationships/hyperlink" Target="https://stardewvalleywiki.com/Copper_Bar" TargetMode="External"/><Relationship Id="rId392" Type="http://schemas.openxmlformats.org/officeDocument/2006/relationships/hyperlink" Target="https://stardewvalleywiki.com/Sap" TargetMode="External"/><Relationship Id="rId270" Type="http://schemas.openxmlformats.org/officeDocument/2006/relationships/hyperlink" Target="https://stardewvalleywiki.com/Green_Algae" TargetMode="External"/><Relationship Id="rId391" Type="http://schemas.openxmlformats.org/officeDocument/2006/relationships/hyperlink" Target="https://stardewvalleywiki.com/Glazed_Yams" TargetMode="External"/><Relationship Id="rId390" Type="http://schemas.openxmlformats.org/officeDocument/2006/relationships/hyperlink" Target="https://stardewvalleywiki.com/Bouque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stardewvalleywiki.com/Crafting" TargetMode="External"/><Relationship Id="rId4" Type="http://schemas.openxmlformats.org/officeDocument/2006/relationships/hyperlink" Target="https://stardewvalleywiki.com/Witch_Hat" TargetMode="External"/><Relationship Id="rId148" Type="http://schemas.openxmlformats.org/officeDocument/2006/relationships/hyperlink" Target="https://stardewvalleywiki.com/Gnome%27s_Cap" TargetMode="External"/><Relationship Id="rId269" Type="http://schemas.openxmlformats.org/officeDocument/2006/relationships/hyperlink" Target="https://stardewvalleywiki.com/Helvite" TargetMode="External"/><Relationship Id="rId9" Type="http://schemas.openxmlformats.org/officeDocument/2006/relationships/hyperlink" Target="https://stardewvalleywiki.com/Wearable_Dwarf_Helm" TargetMode="External"/><Relationship Id="rId143" Type="http://schemas.openxmlformats.org/officeDocument/2006/relationships/hyperlink" Target="https://stardewvalleywiki.com/Pans" TargetMode="External"/><Relationship Id="rId264" Type="http://schemas.openxmlformats.org/officeDocument/2006/relationships/hyperlink" Target="https://stardewvalleywiki.com/Carp_Surprise" TargetMode="External"/><Relationship Id="rId385" Type="http://schemas.openxmlformats.org/officeDocument/2006/relationships/hyperlink" Target="https://stardewvalleywiki.com/Fried_Calamari" TargetMode="External"/><Relationship Id="rId142" Type="http://schemas.openxmlformats.org/officeDocument/2006/relationships/hyperlink" Target="https://stardewvalleywiki.com/Gold_Pan_(hat)" TargetMode="External"/><Relationship Id="rId263" Type="http://schemas.openxmlformats.org/officeDocument/2006/relationships/hyperlink" Target="https://stardewvalleywiki.com/Large_Egg" TargetMode="External"/><Relationship Id="rId384" Type="http://schemas.openxmlformats.org/officeDocument/2006/relationships/hyperlink" Target="https://stardewvalleywiki.com/Iron_Bar" TargetMode="External"/><Relationship Id="rId141" Type="http://schemas.openxmlformats.org/officeDocument/2006/relationships/hyperlink" Target="https://stardewvalleywiki.com/Golden_Coconut" TargetMode="External"/><Relationship Id="rId262" Type="http://schemas.openxmlformats.org/officeDocument/2006/relationships/hyperlink" Target="https://stardewvalleywiki.com/Anchor" TargetMode="External"/><Relationship Id="rId383" Type="http://schemas.openxmlformats.org/officeDocument/2006/relationships/hyperlink" Target="https://stardewvalleywiki.com/Star_Shards" TargetMode="External"/><Relationship Id="rId140" Type="http://schemas.openxmlformats.org/officeDocument/2006/relationships/hyperlink" Target="https://stardewvalleywiki.com/Golden_Helmet" TargetMode="External"/><Relationship Id="rId261" Type="http://schemas.openxmlformats.org/officeDocument/2006/relationships/hyperlink" Target="https://stardewvalleywiki.com/Chewing_Stick" TargetMode="External"/><Relationship Id="rId382" Type="http://schemas.openxmlformats.org/officeDocument/2006/relationships/hyperlink" Target="https://stardewvalleywiki.com/Juice" TargetMode="External"/><Relationship Id="rId5" Type="http://schemas.openxmlformats.org/officeDocument/2006/relationships/hyperlink" Target="https://stardewvalleywiki.com/Tailoring" TargetMode="External"/><Relationship Id="rId147" Type="http://schemas.openxmlformats.org/officeDocument/2006/relationships/hyperlink" Target="https://stardewvalleywiki.com/Shipping" TargetMode="External"/><Relationship Id="rId268" Type="http://schemas.openxmlformats.org/officeDocument/2006/relationships/hyperlink" Target="https://stardewvalleywiki.com/Complete_Breakfast" TargetMode="External"/><Relationship Id="rId389" Type="http://schemas.openxmlformats.org/officeDocument/2006/relationships/hyperlink" Target="https://stardewvalleywiki.com/Sugar" TargetMode="External"/><Relationship Id="rId6" Type="http://schemas.openxmlformats.org/officeDocument/2006/relationships/hyperlink" Target="https://stardewvalleywiki.com/White_Turban" TargetMode="External"/><Relationship Id="rId146" Type="http://schemas.openxmlformats.org/officeDocument/2006/relationships/hyperlink" Target="https://stardewvalleywiki.com/Goblin_Mask" TargetMode="External"/><Relationship Id="rId267" Type="http://schemas.openxmlformats.org/officeDocument/2006/relationships/hyperlink" Target="https://stardewvalleywiki.com/Rusty_Cog" TargetMode="External"/><Relationship Id="rId388" Type="http://schemas.openxmlformats.org/officeDocument/2006/relationships/hyperlink" Target="https://stardewvalleywiki.com/Obsidian" TargetMode="External"/><Relationship Id="rId7" Type="http://schemas.openxmlformats.org/officeDocument/2006/relationships/hyperlink" Target="https://stardewvalleywiki.com/Tailoring" TargetMode="External"/><Relationship Id="rId145" Type="http://schemas.openxmlformats.org/officeDocument/2006/relationships/hyperlink" Target="https://stardewvalleywiki.com/Tailoring" TargetMode="External"/><Relationship Id="rId266" Type="http://schemas.openxmlformats.org/officeDocument/2006/relationships/hyperlink" Target="https://stardewvalleywiki.com/Escargot" TargetMode="External"/><Relationship Id="rId387" Type="http://schemas.openxmlformats.org/officeDocument/2006/relationships/hyperlink" Target="https://stardewvalleywiki.com/Corn" TargetMode="External"/><Relationship Id="rId8" Type="http://schemas.openxmlformats.org/officeDocument/2006/relationships/hyperlink" Target="https://stardewvalleywiki.com/White_Bow" TargetMode="External"/><Relationship Id="rId144" Type="http://schemas.openxmlformats.org/officeDocument/2006/relationships/hyperlink" Target="https://stardewvalleywiki.com/Goggles" TargetMode="External"/><Relationship Id="rId265" Type="http://schemas.openxmlformats.org/officeDocument/2006/relationships/hyperlink" Target="https://stardewvalleywiki.com/Prehistoric_Handaxe" TargetMode="External"/><Relationship Id="rId386" Type="http://schemas.openxmlformats.org/officeDocument/2006/relationships/hyperlink" Target="https://stardewvalleywiki.com/Coral" TargetMode="External"/><Relationship Id="rId260" Type="http://schemas.openxmlformats.org/officeDocument/2006/relationships/hyperlink" Target="https://stardewvalleywiki.com/Stir_Fry" TargetMode="External"/><Relationship Id="rId381" Type="http://schemas.openxmlformats.org/officeDocument/2006/relationships/hyperlink" Target="https://stardewvalleywiki.com/Arrowhead" TargetMode="External"/><Relationship Id="rId380" Type="http://schemas.openxmlformats.org/officeDocument/2006/relationships/hyperlink" Target="https://stardewvalleywiki.com/Petrified_Slime" TargetMode="External"/><Relationship Id="rId139" Type="http://schemas.openxmlformats.org/officeDocument/2006/relationships/hyperlink" Target="https://stardewvalleywiki.com/Tailoring" TargetMode="External"/><Relationship Id="rId138" Type="http://schemas.openxmlformats.org/officeDocument/2006/relationships/hyperlink" Target="https://stardewvalleywiki.com/Golden_Mask_(hat)" TargetMode="External"/><Relationship Id="rId259" Type="http://schemas.openxmlformats.org/officeDocument/2006/relationships/hyperlink" Target="https://stardewvalleywiki.com/Survival_Burger" TargetMode="External"/><Relationship Id="rId137" Type="http://schemas.openxmlformats.org/officeDocument/2006/relationships/hyperlink" Target="https://stardewvalleywiki.com/Good_Ol%27_Cap" TargetMode="External"/><Relationship Id="rId258" Type="http://schemas.openxmlformats.org/officeDocument/2006/relationships/hyperlink" Target="https://stardewvalleywiki.com/Ancient_Seed" TargetMode="External"/><Relationship Id="rId379" Type="http://schemas.openxmlformats.org/officeDocument/2006/relationships/hyperlink" Target="https://stardewvalleywiki.com/Large_Milk" TargetMode="External"/><Relationship Id="rId132" Type="http://schemas.openxmlformats.org/officeDocument/2006/relationships/hyperlink" Target="https://stardewvalleywiki.com/Tailoring" TargetMode="External"/><Relationship Id="rId253" Type="http://schemas.openxmlformats.org/officeDocument/2006/relationships/hyperlink" Target="https://stardewvalleywiki.com/Strange_Doll_(yellow)" TargetMode="External"/><Relationship Id="rId374" Type="http://schemas.openxmlformats.org/officeDocument/2006/relationships/hyperlink" Target="https://stardewvalleywiki.com/Haunted_Skull" TargetMode="External"/><Relationship Id="rId131" Type="http://schemas.openxmlformats.org/officeDocument/2006/relationships/hyperlink" Target="https://stardewvalleywiki.com/Hair_Bone" TargetMode="External"/><Relationship Id="rId252" Type="http://schemas.openxmlformats.org/officeDocument/2006/relationships/hyperlink" Target="https://stardewvalleywiki.com/Bone_Flute" TargetMode="External"/><Relationship Id="rId373" Type="http://schemas.openxmlformats.org/officeDocument/2006/relationships/hyperlink" Target="https://stardewvalleywiki.com/Radish_Salad" TargetMode="External"/><Relationship Id="rId130" Type="http://schemas.openxmlformats.org/officeDocument/2006/relationships/hyperlink" Target="https://stardewvalleywiki.com/Adventurer%27s_Guild" TargetMode="External"/><Relationship Id="rId251" Type="http://schemas.openxmlformats.org/officeDocument/2006/relationships/hyperlink" Target="https://stardewvalleywiki.com/Frozen_Geode" TargetMode="External"/><Relationship Id="rId372" Type="http://schemas.openxmlformats.org/officeDocument/2006/relationships/hyperlink" Target="https://stardewvalleywiki.com/Shrimp_Cocktail" TargetMode="External"/><Relationship Id="rId250" Type="http://schemas.openxmlformats.org/officeDocument/2006/relationships/hyperlink" Target="https://stardewvalleywiki.com/Octopus" TargetMode="External"/><Relationship Id="rId371" Type="http://schemas.openxmlformats.org/officeDocument/2006/relationships/hyperlink" Target="https://stardewvalleywiki.com/Plum_Pudding" TargetMode="External"/><Relationship Id="rId136" Type="http://schemas.openxmlformats.org/officeDocument/2006/relationships/hyperlink" Target="https://stardewvalleywiki.com/Luau" TargetMode="External"/><Relationship Id="rId257" Type="http://schemas.openxmlformats.org/officeDocument/2006/relationships/hyperlink" Target="https://stardewvalleywiki.com/Hazelnut" TargetMode="External"/><Relationship Id="rId378" Type="http://schemas.openxmlformats.org/officeDocument/2006/relationships/hyperlink" Target="https://stardewvalleywiki.com/Emerald" TargetMode="External"/><Relationship Id="rId135" Type="http://schemas.openxmlformats.org/officeDocument/2006/relationships/hyperlink" Target="https://stardewvalleywiki.com/Governor%27s_Hat" TargetMode="External"/><Relationship Id="rId256" Type="http://schemas.openxmlformats.org/officeDocument/2006/relationships/hyperlink" Target="https://stardewvalleywiki.com/Mudstone" TargetMode="External"/><Relationship Id="rId377" Type="http://schemas.openxmlformats.org/officeDocument/2006/relationships/hyperlink" Target="https://stardewvalleywiki.com/Prehistoric_Skull" TargetMode="External"/><Relationship Id="rId134" Type="http://schemas.openxmlformats.org/officeDocument/2006/relationships/hyperlink" Target="https://stardewvalleywiki.com/Desert_Trader" TargetMode="External"/><Relationship Id="rId255" Type="http://schemas.openxmlformats.org/officeDocument/2006/relationships/hyperlink" Target="https://stardewvalleywiki.com/Ornamental_Fan" TargetMode="External"/><Relationship Id="rId376" Type="http://schemas.openxmlformats.org/officeDocument/2006/relationships/hyperlink" Target="https://stardewvalleywiki.com/Haunted_Skull" TargetMode="External"/><Relationship Id="rId133" Type="http://schemas.openxmlformats.org/officeDocument/2006/relationships/hyperlink" Target="https://stardewvalleywiki.com/Green_Turban" TargetMode="External"/><Relationship Id="rId254" Type="http://schemas.openxmlformats.org/officeDocument/2006/relationships/hyperlink" Target="https://stardewvalleywiki.com/Bomb" TargetMode="External"/><Relationship Id="rId375" Type="http://schemas.openxmlformats.org/officeDocument/2006/relationships/hyperlink" Target="https://stardewvalleywiki.com/Bone_Fragment" TargetMode="External"/><Relationship Id="rId172" Type="http://schemas.openxmlformats.org/officeDocument/2006/relationships/hyperlink" Target="https://stardewvalleywiki.com/Elegant_Turban" TargetMode="External"/><Relationship Id="rId293" Type="http://schemas.openxmlformats.org/officeDocument/2006/relationships/hyperlink" Target="https://stardewvalleywiki.com/Fried_Egg" TargetMode="External"/><Relationship Id="rId171" Type="http://schemas.openxmlformats.org/officeDocument/2006/relationships/hyperlink" Target="https://stardewvalleywiki.com/Emily" TargetMode="External"/><Relationship Id="rId292" Type="http://schemas.openxmlformats.org/officeDocument/2006/relationships/hyperlink" Target="https://stardewvalleywiki.com/Chicken_Statue" TargetMode="External"/><Relationship Id="rId170" Type="http://schemas.openxmlformats.org/officeDocument/2006/relationships/hyperlink" Target="https://stardewvalleywiki.com/Emily%27s_Magic_Hat" TargetMode="External"/><Relationship Id="rId291" Type="http://schemas.openxmlformats.org/officeDocument/2006/relationships/hyperlink" Target="https://stardewvalleywiki.com/Coffee_Bean" TargetMode="External"/><Relationship Id="rId290" Type="http://schemas.openxmlformats.org/officeDocument/2006/relationships/hyperlink" Target="https://stardewvalleywiki.com/Spicy_Eel" TargetMode="External"/><Relationship Id="rId165" Type="http://schemas.openxmlformats.org/officeDocument/2006/relationships/hyperlink" Target="https://stardewvalleywiki.com/Stardew_Valley_Fair" TargetMode="External"/><Relationship Id="rId286" Type="http://schemas.openxmlformats.org/officeDocument/2006/relationships/hyperlink" Target="https://stardewvalleywiki.com/Salmon" TargetMode="External"/><Relationship Id="rId164" Type="http://schemas.openxmlformats.org/officeDocument/2006/relationships/hyperlink" Target="https://stardewvalleywiki.com/Fedora" TargetMode="External"/><Relationship Id="rId285" Type="http://schemas.openxmlformats.org/officeDocument/2006/relationships/hyperlink" Target="https://stardewvalleywiki.com/Ancient_Doll" TargetMode="External"/><Relationship Id="rId163" Type="http://schemas.openxmlformats.org/officeDocument/2006/relationships/hyperlink" Target="https://stardewvalleywiki.com/Tailoring" TargetMode="External"/><Relationship Id="rId284" Type="http://schemas.openxmlformats.org/officeDocument/2006/relationships/hyperlink" Target="https://stardewvalleywiki.com/Maple_Bar" TargetMode="External"/><Relationship Id="rId162" Type="http://schemas.openxmlformats.org/officeDocument/2006/relationships/hyperlink" Target="https://stardewvalleywiki.com/Fishing_Hat" TargetMode="External"/><Relationship Id="rId283" Type="http://schemas.openxmlformats.org/officeDocument/2006/relationships/hyperlink" Target="https://stardewvalleywiki.com/Field_Snack" TargetMode="External"/><Relationship Id="rId169" Type="http://schemas.openxmlformats.org/officeDocument/2006/relationships/hyperlink" Target="https://stardewvalleywiki.com/Fish" TargetMode="External"/><Relationship Id="rId168" Type="http://schemas.openxmlformats.org/officeDocument/2006/relationships/hyperlink" Target="https://stardewvalleywiki.com/Eye_Patch" TargetMode="External"/><Relationship Id="rId289" Type="http://schemas.openxmlformats.org/officeDocument/2006/relationships/hyperlink" Target="https://stardewvalleywiki.com/Bream" TargetMode="External"/><Relationship Id="rId167" Type="http://schemas.openxmlformats.org/officeDocument/2006/relationships/hyperlink" Target="https://stardewvalleywiki.com/Tailoring" TargetMode="External"/><Relationship Id="rId288" Type="http://schemas.openxmlformats.org/officeDocument/2006/relationships/hyperlink" Target="https://stardewvalleywiki.com/Holly" TargetMode="External"/><Relationship Id="rId166" Type="http://schemas.openxmlformats.org/officeDocument/2006/relationships/hyperlink" Target="https://stardewvalleywiki.com/Fashion_Hat" TargetMode="External"/><Relationship Id="rId287" Type="http://schemas.openxmlformats.org/officeDocument/2006/relationships/hyperlink" Target="https://stardewvalleywiki.com/Harvey%27s_Clinic" TargetMode="External"/><Relationship Id="rId161" Type="http://schemas.openxmlformats.org/officeDocument/2006/relationships/hyperlink" Target="https://stardewvalleywiki.com/Tailoring" TargetMode="External"/><Relationship Id="rId282" Type="http://schemas.openxmlformats.org/officeDocument/2006/relationships/hyperlink" Target="https://stardewvalleywiki.com/Wilted_Bouquet" TargetMode="External"/><Relationship Id="rId160" Type="http://schemas.openxmlformats.org/officeDocument/2006/relationships/hyperlink" Target="https://stardewvalleywiki.com/Flat_Topped_Hat" TargetMode="External"/><Relationship Id="rId281" Type="http://schemas.openxmlformats.org/officeDocument/2006/relationships/hyperlink" Target="https://stardewvalleywiki.com/Tigerseye" TargetMode="External"/><Relationship Id="rId280" Type="http://schemas.openxmlformats.org/officeDocument/2006/relationships/hyperlink" Target="https://stardewvalleywiki.com/Bat_Wing" TargetMode="External"/><Relationship Id="rId159" Type="http://schemas.openxmlformats.org/officeDocument/2006/relationships/hyperlink" Target="https://stardewvalleywiki.com/Tailoring" TargetMode="External"/><Relationship Id="rId154" Type="http://schemas.openxmlformats.org/officeDocument/2006/relationships/hyperlink" Target="https://stardewvalleywiki.com/Frog_Hat" TargetMode="External"/><Relationship Id="rId275" Type="http://schemas.openxmlformats.org/officeDocument/2006/relationships/hyperlink" Target="https://stardewvalleywiki.com/Haunted_Skull" TargetMode="External"/><Relationship Id="rId396" Type="http://schemas.openxmlformats.org/officeDocument/2006/relationships/hyperlink" Target="https://stardewvalleywiki.com/Marble" TargetMode="External"/><Relationship Id="rId153" Type="http://schemas.openxmlformats.org/officeDocument/2006/relationships/hyperlink" Target="https://stardewvalleywiki.com/Garbage_Can" TargetMode="External"/><Relationship Id="rId274" Type="http://schemas.openxmlformats.org/officeDocument/2006/relationships/hyperlink" Target="https://stardewvalleywiki.com/Amaranth" TargetMode="External"/><Relationship Id="rId395" Type="http://schemas.openxmlformats.org/officeDocument/2006/relationships/hyperlink" Target="https://stardewvalleywiki.com/Cheese_Cauliflower" TargetMode="External"/><Relationship Id="rId152" Type="http://schemas.openxmlformats.org/officeDocument/2006/relationships/hyperlink" Target="https://stardewvalleywiki.com/Garbage_Hat" TargetMode="External"/><Relationship Id="rId273" Type="http://schemas.openxmlformats.org/officeDocument/2006/relationships/hyperlink" Target="https://stardewvalleywiki.com/Wheat" TargetMode="External"/><Relationship Id="rId394" Type="http://schemas.openxmlformats.org/officeDocument/2006/relationships/hyperlink" Target="https://stardewvalleywiki.com/Green_Tea" TargetMode="External"/><Relationship Id="rId151" Type="http://schemas.openxmlformats.org/officeDocument/2006/relationships/hyperlink" Target="https://stardewvalleywiki.com/Desert_Festival" TargetMode="External"/><Relationship Id="rId272" Type="http://schemas.openxmlformats.org/officeDocument/2006/relationships/hyperlink" Target="https://stardewvalleywiki.com/Crab_Cakes" TargetMode="External"/><Relationship Id="rId393" Type="http://schemas.openxmlformats.org/officeDocument/2006/relationships/hyperlink" Target="https://stardewvalleywiki.com/Radish" TargetMode="External"/><Relationship Id="rId158" Type="http://schemas.openxmlformats.org/officeDocument/2006/relationships/hyperlink" Target="https://stardewvalleywiki.com/Floppy_Beanie" TargetMode="External"/><Relationship Id="rId279" Type="http://schemas.openxmlformats.org/officeDocument/2006/relationships/hyperlink" Target="https://stardewvalleywiki.com/Frozen_Tear" TargetMode="External"/><Relationship Id="rId157" Type="http://schemas.openxmlformats.org/officeDocument/2006/relationships/hyperlink" Target="https://stardewvalleywiki.com/Tailoring" TargetMode="External"/><Relationship Id="rId278" Type="http://schemas.openxmlformats.org/officeDocument/2006/relationships/hyperlink" Target="https://stardewvalleywiki.com/Life_Elixir" TargetMode="External"/><Relationship Id="rId399" Type="http://schemas.openxmlformats.org/officeDocument/2006/relationships/hyperlink" Target="https://stardewvalleywiki.com/Pancakes" TargetMode="External"/><Relationship Id="rId156" Type="http://schemas.openxmlformats.org/officeDocument/2006/relationships/hyperlink" Target="https://stardewvalleywiki.com/Forager%27s_Hat" TargetMode="External"/><Relationship Id="rId277" Type="http://schemas.openxmlformats.org/officeDocument/2006/relationships/hyperlink" Target="https://stardewvalleywiki.com/Haunted_Skull" TargetMode="External"/><Relationship Id="rId398" Type="http://schemas.openxmlformats.org/officeDocument/2006/relationships/hyperlink" Target="https://stardewvalleywiki.com/Tortilla" TargetMode="External"/><Relationship Id="rId155" Type="http://schemas.openxmlformats.org/officeDocument/2006/relationships/hyperlink" Target="https://stardewvalleywiki.com/Fishing" TargetMode="External"/><Relationship Id="rId276" Type="http://schemas.openxmlformats.org/officeDocument/2006/relationships/hyperlink" Target="https://stardewvalleywiki.com/Truffle" TargetMode="External"/><Relationship Id="rId397" Type="http://schemas.openxmlformats.org/officeDocument/2006/relationships/hyperlink" Target="https://stardewvalleywiki.com/Tomato" TargetMode="External"/><Relationship Id="rId40" Type="http://schemas.openxmlformats.org/officeDocument/2006/relationships/hyperlink" Target="https://stardewvalleywiki.com/SquidFest" TargetMode="External"/><Relationship Id="rId42" Type="http://schemas.openxmlformats.org/officeDocument/2006/relationships/hyperlink" Target="https://stardewvalleywiki.com/Tailoring" TargetMode="External"/><Relationship Id="rId41" Type="http://schemas.openxmlformats.org/officeDocument/2006/relationships/hyperlink" Target="https://stardewvalleywiki.com/Spotted_Headscarf" TargetMode="External"/><Relationship Id="rId44" Type="http://schemas.openxmlformats.org/officeDocument/2006/relationships/hyperlink" Target="https://stardewvalleywiki.com/Mayor%27s_Manor" TargetMode="External"/><Relationship Id="rId43" Type="http://schemas.openxmlformats.org/officeDocument/2006/relationships/hyperlink" Target="https://stardewvalleywiki.com/Sports_Cap" TargetMode="External"/><Relationship Id="rId46" Type="http://schemas.openxmlformats.org/officeDocument/2006/relationships/hyperlink" Target="https://stardewvalleywiki.com/The_Mines" TargetMode="External"/><Relationship Id="rId45" Type="http://schemas.openxmlformats.org/officeDocument/2006/relationships/hyperlink" Target="https://stardewvalleywiki.com/Space_Helmet" TargetMode="External"/><Relationship Id="rId48" Type="http://schemas.openxmlformats.org/officeDocument/2006/relationships/hyperlink" Target="https://stardewvalleywiki.com/Fish" TargetMode="External"/><Relationship Id="rId47" Type="http://schemas.openxmlformats.org/officeDocument/2006/relationships/hyperlink" Target="https://stardewvalleywiki.com/Sou%27wester" TargetMode="External"/><Relationship Id="rId49" Type="http://schemas.openxmlformats.org/officeDocument/2006/relationships/hyperlink" Target="https://stardewvalleywiki.com/Sombrero" TargetMode="External"/><Relationship Id="rId31" Type="http://schemas.openxmlformats.org/officeDocument/2006/relationships/hyperlink" Target="https://stardewvalleywiki.com/Tailoring" TargetMode="External"/><Relationship Id="rId30" Type="http://schemas.openxmlformats.org/officeDocument/2006/relationships/hyperlink" Target="https://stardewvalleywiki.com/Sunglasses" TargetMode="External"/><Relationship Id="rId33" Type="http://schemas.openxmlformats.org/officeDocument/2006/relationships/hyperlink" Target="https://stardewvalleywiki.com/Egg_Festival" TargetMode="External"/><Relationship Id="rId32" Type="http://schemas.openxmlformats.org/officeDocument/2006/relationships/hyperlink" Target="https://stardewvalleywiki.com/Straw_Hat" TargetMode="External"/><Relationship Id="rId35" Type="http://schemas.openxmlformats.org/officeDocument/2006/relationships/hyperlink" Target="https://stardewvalleywiki.com/Pans" TargetMode="External"/><Relationship Id="rId34" Type="http://schemas.openxmlformats.org/officeDocument/2006/relationships/hyperlink" Target="https://stardewvalleywiki.com/Steel_Pan_(hat)" TargetMode="External"/><Relationship Id="rId37" Type="http://schemas.openxmlformats.org/officeDocument/2006/relationships/hyperlink" Target="https://stardewvalleywiki.com/Squire%27s_Helmet" TargetMode="External"/><Relationship Id="rId36" Type="http://schemas.openxmlformats.org/officeDocument/2006/relationships/hyperlink" Target="https://stardewvalleywiki.com/Tailoring" TargetMode="External"/><Relationship Id="rId39" Type="http://schemas.openxmlformats.org/officeDocument/2006/relationships/hyperlink" Target="https://stardewvalleywiki.com/Squid_Hat" TargetMode="External"/><Relationship Id="rId38" Type="http://schemas.openxmlformats.org/officeDocument/2006/relationships/hyperlink" Target="https://stardewvalleywiki.com/Metal_Head" TargetMode="External"/><Relationship Id="rId20" Type="http://schemas.openxmlformats.org/officeDocument/2006/relationships/hyperlink" Target="https://stardewvalleywiki.com/Totem_Mask" TargetMode="External"/><Relationship Id="rId22" Type="http://schemas.openxmlformats.org/officeDocument/2006/relationships/hyperlink" Target="https://stardewvalleywiki.com/Top_Hat" TargetMode="External"/><Relationship Id="rId21" Type="http://schemas.openxmlformats.org/officeDocument/2006/relationships/hyperlink" Target="https://stardewvalleywiki.com/Tailoring" TargetMode="External"/><Relationship Id="rId24" Type="http://schemas.openxmlformats.org/officeDocument/2006/relationships/hyperlink" Target="https://stardewvalleywiki.com/Tiger_Hat" TargetMode="External"/><Relationship Id="rId23" Type="http://schemas.openxmlformats.org/officeDocument/2006/relationships/hyperlink" Target="https://stardewvalleywiki.com/Casino" TargetMode="External"/><Relationship Id="rId409" Type="http://schemas.openxmlformats.org/officeDocument/2006/relationships/hyperlink" Target="https://stardewvalleywiki.com/Poppyseed_Muffin" TargetMode="External"/><Relationship Id="rId404" Type="http://schemas.openxmlformats.org/officeDocument/2006/relationships/hyperlink" Target="https://stardewvalleywiki.com/Pepper_Poppers" TargetMode="External"/><Relationship Id="rId403" Type="http://schemas.openxmlformats.org/officeDocument/2006/relationships/hyperlink" Target="https://stardewvalleywiki.com/Sea_Cucumber" TargetMode="External"/><Relationship Id="rId402" Type="http://schemas.openxmlformats.org/officeDocument/2006/relationships/hyperlink" Target="https://stardewvalleywiki.com/Tropical_Curry" TargetMode="External"/><Relationship Id="rId401" Type="http://schemas.openxmlformats.org/officeDocument/2006/relationships/hyperlink" Target="https://stardewvalleywiki.com/Artifact_Trove" TargetMode="External"/><Relationship Id="rId408" Type="http://schemas.openxmlformats.org/officeDocument/2006/relationships/hyperlink" Target="https://stardewvalleywiki.com/Wheat_Flour" TargetMode="External"/><Relationship Id="rId407" Type="http://schemas.openxmlformats.org/officeDocument/2006/relationships/hyperlink" Target="https://stardewvalleywiki.com/Hematite" TargetMode="External"/><Relationship Id="rId406" Type="http://schemas.openxmlformats.org/officeDocument/2006/relationships/hyperlink" Target="https://stardewvalleywiki.com/Coconut" TargetMode="External"/><Relationship Id="rId405" Type="http://schemas.openxmlformats.org/officeDocument/2006/relationships/hyperlink" Target="https://stardewvalleywiki.com/Copper_Ore" TargetMode="External"/><Relationship Id="rId26" Type="http://schemas.openxmlformats.org/officeDocument/2006/relationships/hyperlink" Target="https://stardewvalleywiki.com/Tiara" TargetMode="External"/><Relationship Id="rId25" Type="http://schemas.openxmlformats.org/officeDocument/2006/relationships/hyperlink" Target="https://stardewvalleywiki.com/Slimes" TargetMode="External"/><Relationship Id="rId28" Type="http://schemas.openxmlformats.org/officeDocument/2006/relationships/hyperlink" Target="https://stardewvalleywiki.com/Swashbuckler_Hat" TargetMode="External"/><Relationship Id="rId27" Type="http://schemas.openxmlformats.org/officeDocument/2006/relationships/hyperlink" Target="https://stardewvalleywiki.com/Friendship" TargetMode="External"/><Relationship Id="rId400" Type="http://schemas.openxmlformats.org/officeDocument/2006/relationships/hyperlink" Target="https://stardewvalleywiki.com/Broken_CD" TargetMode="External"/><Relationship Id="rId29" Type="http://schemas.openxmlformats.org/officeDocument/2006/relationships/hyperlink" Target="https://stardewvalleywiki.com/Tailoring" TargetMode="External"/><Relationship Id="rId11" Type="http://schemas.openxmlformats.org/officeDocument/2006/relationships/hyperlink" Target="https://stardewvalleywiki.com/Watermelon_Band" TargetMode="External"/><Relationship Id="rId10" Type="http://schemas.openxmlformats.org/officeDocument/2006/relationships/hyperlink" Target="https://stardewvalleywiki.com/Tailoring" TargetMode="External"/><Relationship Id="rId13" Type="http://schemas.openxmlformats.org/officeDocument/2006/relationships/hyperlink" Target="https://stardewvalleywiki.com/Warrior_Helmet" TargetMode="External"/><Relationship Id="rId12" Type="http://schemas.openxmlformats.org/officeDocument/2006/relationships/hyperlink" Target="https://stardewvalleywiki.com/Fish" TargetMode="External"/><Relationship Id="rId15" Type="http://schemas.openxmlformats.org/officeDocument/2006/relationships/hyperlink" Target="https://stardewvalleywiki.com/Trucker_Hat" TargetMode="External"/><Relationship Id="rId14" Type="http://schemas.openxmlformats.org/officeDocument/2006/relationships/hyperlink" Target="https://stardewvalleywiki.com/Tailoring" TargetMode="External"/><Relationship Id="rId17" Type="http://schemas.openxmlformats.org/officeDocument/2006/relationships/hyperlink" Target="https://stardewvalleywiki.com/Tropiclip" TargetMode="External"/><Relationship Id="rId16" Type="http://schemas.openxmlformats.org/officeDocument/2006/relationships/hyperlink" Target="https://stardewvalleywiki.com/Crafting" TargetMode="External"/><Relationship Id="rId19" Type="http://schemas.openxmlformats.org/officeDocument/2006/relationships/hyperlink" Target="https://stardewvalleywiki.com/Desert_Festival" TargetMode="External"/><Relationship Id="rId18" Type="http://schemas.openxmlformats.org/officeDocument/2006/relationships/hyperlink" Target="https://stardewvalleywiki.com/Tricorn_Hat" TargetMode="External"/><Relationship Id="rId84" Type="http://schemas.openxmlformats.org/officeDocument/2006/relationships/hyperlink" Target="https://stardewvalleywiki.com/Tailoring" TargetMode="External"/><Relationship Id="rId83" Type="http://schemas.openxmlformats.org/officeDocument/2006/relationships/hyperlink" Target="https://stardewvalleywiki.com/Party_Hat_(green)" TargetMode="External"/><Relationship Id="rId86" Type="http://schemas.openxmlformats.org/officeDocument/2006/relationships/hyperlink" Target="https://stardewvalleywiki.com/Ginger_Island" TargetMode="External"/><Relationship Id="rId85" Type="http://schemas.openxmlformats.org/officeDocument/2006/relationships/hyperlink" Target="https://stardewvalleywiki.com/Paper_Hat" TargetMode="External"/><Relationship Id="rId88" Type="http://schemas.openxmlformats.org/officeDocument/2006/relationships/hyperlink" Target="https://stardewvalleywiki.com/Hats" TargetMode="External"/><Relationship Id="rId87" Type="http://schemas.openxmlformats.org/officeDocument/2006/relationships/hyperlink" Target="https://stardewvalleywiki.com/Panda_Hat" TargetMode="External"/><Relationship Id="rId89" Type="http://schemas.openxmlformats.org/officeDocument/2006/relationships/hyperlink" Target="https://stardewvalleywiki.com/Pageboy_Cap" TargetMode="External"/><Relationship Id="rId80" Type="http://schemas.openxmlformats.org/officeDocument/2006/relationships/hyperlink" Target="https://stardewvalleywiki.com/Tailoring" TargetMode="External"/><Relationship Id="rId82" Type="http://schemas.openxmlformats.org/officeDocument/2006/relationships/hyperlink" Target="https://stardewvalleywiki.com/Tailoring" TargetMode="External"/><Relationship Id="rId81" Type="http://schemas.openxmlformats.org/officeDocument/2006/relationships/hyperlink" Target="https://stardewvalleywiki.com/Party_Hat_(blue)" TargetMode="External"/><Relationship Id="rId73" Type="http://schemas.openxmlformats.org/officeDocument/2006/relationships/hyperlink" Target="https://stardewvalleywiki.com/Plum_Chapeau" TargetMode="External"/><Relationship Id="rId72" Type="http://schemas.openxmlformats.org/officeDocument/2006/relationships/hyperlink" Target="https://stardewvalleywiki.com/Quests" TargetMode="External"/><Relationship Id="rId75" Type="http://schemas.openxmlformats.org/officeDocument/2006/relationships/hyperlink" Target="https://stardewvalleywiki.com/Pirate_Hat" TargetMode="External"/><Relationship Id="rId74" Type="http://schemas.openxmlformats.org/officeDocument/2006/relationships/hyperlink" Target="https://stardewvalleywiki.com/Cooking" TargetMode="External"/><Relationship Id="rId77" Type="http://schemas.openxmlformats.org/officeDocument/2006/relationships/hyperlink" Target="https://stardewvalleywiki.com/Pink_Bow" TargetMode="External"/><Relationship Id="rId76" Type="http://schemas.openxmlformats.org/officeDocument/2006/relationships/hyperlink" Target="https://stardewvalleywiki.com/Tailoring" TargetMode="External"/><Relationship Id="rId79" Type="http://schemas.openxmlformats.org/officeDocument/2006/relationships/hyperlink" Target="https://stardewvalleywiki.com/Party_Hat_(red)" TargetMode="External"/><Relationship Id="rId78" Type="http://schemas.openxmlformats.org/officeDocument/2006/relationships/hyperlink" Target="https://stardewvalleywiki.com/Volcano_Dungeon" TargetMode="External"/><Relationship Id="rId71" Type="http://schemas.openxmlformats.org/officeDocument/2006/relationships/hyperlink" Target="https://stardewvalleywiki.com/Polka_Bow" TargetMode="External"/><Relationship Id="rId70" Type="http://schemas.openxmlformats.org/officeDocument/2006/relationships/hyperlink" Target="https://stardewvalleywiki.com/Tailoring" TargetMode="External"/><Relationship Id="rId62" Type="http://schemas.openxmlformats.org/officeDocument/2006/relationships/hyperlink" Target="https://stardewvalleywiki.com/Tailoring" TargetMode="External"/><Relationship Id="rId61" Type="http://schemas.openxmlformats.org/officeDocument/2006/relationships/hyperlink" Target="https://stardewvalleywiki.com/Radioactive_Goggles" TargetMode="External"/><Relationship Id="rId64" Type="http://schemas.openxmlformats.org/officeDocument/2006/relationships/hyperlink" Target="https://stardewvalleywiki.com/Giant_Stump" TargetMode="External"/><Relationship Id="rId63" Type="http://schemas.openxmlformats.org/officeDocument/2006/relationships/hyperlink" Target="https://stardewvalleywiki.com/Raccoon_Hat" TargetMode="External"/><Relationship Id="rId66" Type="http://schemas.openxmlformats.org/officeDocument/2006/relationships/hyperlink" Target="https://stardewvalleywiki.com/Tailoring" TargetMode="External"/><Relationship Id="rId65" Type="http://schemas.openxmlformats.org/officeDocument/2006/relationships/hyperlink" Target="https://stardewvalleywiki.com/Qi_Mask" TargetMode="External"/><Relationship Id="rId68" Type="http://schemas.openxmlformats.org/officeDocument/2006/relationships/hyperlink" Target="https://stardewvalleywiki.com/Tailoring" TargetMode="External"/><Relationship Id="rId67" Type="http://schemas.openxmlformats.org/officeDocument/2006/relationships/hyperlink" Target="https://stardewvalleywiki.com/Pumpkin_Mask" TargetMode="External"/><Relationship Id="rId60" Type="http://schemas.openxmlformats.org/officeDocument/2006/relationships/hyperlink" Target="https://stardewvalleywiki.com/Skull_Cavern" TargetMode="External"/><Relationship Id="rId69" Type="http://schemas.openxmlformats.org/officeDocument/2006/relationships/hyperlink" Target="https://stardewvalleywiki.com/Propeller_Hat" TargetMode="External"/><Relationship Id="rId51" Type="http://schemas.openxmlformats.org/officeDocument/2006/relationships/hyperlink" Target="https://stardewvalleywiki.com/Island_Trader" TargetMode="External"/><Relationship Id="rId50" Type="http://schemas.openxmlformats.org/officeDocument/2006/relationships/hyperlink" Target="https://stardewvalleywiki.com/Small_Cap" TargetMode="External"/><Relationship Id="rId53" Type="http://schemas.openxmlformats.org/officeDocument/2006/relationships/hyperlink" Target="https://stardewvalleywiki.com/Adventurer%27s_Guild" TargetMode="External"/><Relationship Id="rId52" Type="http://schemas.openxmlformats.org/officeDocument/2006/relationships/hyperlink" Target="https://stardewvalleywiki.com/Skeleton_Mask" TargetMode="External"/><Relationship Id="rId55" Type="http://schemas.openxmlformats.org/officeDocument/2006/relationships/hyperlink" Target="https://stardewvalleywiki.com/Sailor%27s_Cap" TargetMode="External"/><Relationship Id="rId54" Type="http://schemas.openxmlformats.org/officeDocument/2006/relationships/hyperlink" Target="https://stardewvalleywiki.com/Friendship" TargetMode="External"/><Relationship Id="rId57" Type="http://schemas.openxmlformats.org/officeDocument/2006/relationships/hyperlink" Target="https://stardewvalleywiki.com/Red_Fez" TargetMode="External"/><Relationship Id="rId56" Type="http://schemas.openxmlformats.org/officeDocument/2006/relationships/hyperlink" Target="https://stardewvalleywiki.com/Festival_of_Ice" TargetMode="External"/><Relationship Id="rId59" Type="http://schemas.openxmlformats.org/officeDocument/2006/relationships/hyperlink" Target="https://stardewvalleywiki.com/Red_Cowboy_Hat" TargetMode="External"/><Relationship Id="rId58" Type="http://schemas.openxmlformats.org/officeDocument/2006/relationships/hyperlink" Target="https://stardewvalleywiki.com/Traveling_Cart" TargetMode="External"/><Relationship Id="rId107" Type="http://schemas.openxmlformats.org/officeDocument/2006/relationships/hyperlink" Target="https://stardewvalleywiki.com/Lucky_Bow" TargetMode="External"/><Relationship Id="rId228" Type="http://schemas.openxmlformats.org/officeDocument/2006/relationships/hyperlink" Target="https://stardewvalleywiki.com/Tailoring" TargetMode="External"/><Relationship Id="rId349" Type="http://schemas.openxmlformats.org/officeDocument/2006/relationships/hyperlink" Target="https://stardewvalleywiki.com/Egg" TargetMode="External"/><Relationship Id="rId106" Type="http://schemas.openxmlformats.org/officeDocument/2006/relationships/hyperlink" Target="https://stardewvalleywiki.com/Desert_Trader" TargetMode="External"/><Relationship Id="rId227" Type="http://schemas.openxmlformats.org/officeDocument/2006/relationships/hyperlink" Target="https://stardewvalleywiki.com/Beanie" TargetMode="External"/><Relationship Id="rId348" Type="http://schemas.openxmlformats.org/officeDocument/2006/relationships/hyperlink" Target="https://stardewvalleywiki.com/Bug_Meat" TargetMode="External"/><Relationship Id="rId105" Type="http://schemas.openxmlformats.org/officeDocument/2006/relationships/hyperlink" Target="https://stardewvalleywiki.com/Magic_Cowboy_Hat" TargetMode="External"/><Relationship Id="rId226" Type="http://schemas.openxmlformats.org/officeDocument/2006/relationships/hyperlink" Target="https://stardewvalleywiki.com/Tailoring" TargetMode="External"/><Relationship Id="rId347" Type="http://schemas.openxmlformats.org/officeDocument/2006/relationships/hyperlink" Target="https://stardewvalleywiki.com/Chanterelle" TargetMode="External"/><Relationship Id="rId104" Type="http://schemas.openxmlformats.org/officeDocument/2006/relationships/hyperlink" Target="https://stardewvalleywiki.com/Desert_Trader" TargetMode="External"/><Relationship Id="rId225" Type="http://schemas.openxmlformats.org/officeDocument/2006/relationships/hyperlink" Target="https://stardewvalleywiki.com/Blobfish_Mask" TargetMode="External"/><Relationship Id="rId346" Type="http://schemas.openxmlformats.org/officeDocument/2006/relationships/hyperlink" Target="https://stardewvalleywiki.com/Vinegar" TargetMode="External"/><Relationship Id="rId109" Type="http://schemas.openxmlformats.org/officeDocument/2006/relationships/hyperlink" Target="https://stardewvalleywiki.com/Tailoring" TargetMode="External"/><Relationship Id="rId108" Type="http://schemas.openxmlformats.org/officeDocument/2006/relationships/hyperlink" Target="https://stardewvalleywiki.com/Logo_Cap" TargetMode="External"/><Relationship Id="rId229" Type="http://schemas.openxmlformats.org/officeDocument/2006/relationships/hyperlink" Target="https://stardewvalleywiki.com/Archer%27s_Cap" TargetMode="External"/><Relationship Id="rId220" Type="http://schemas.openxmlformats.org/officeDocument/2006/relationships/hyperlink" Target="https://stardewvalleywiki.com/Skull_Cavern" TargetMode="External"/><Relationship Id="rId341" Type="http://schemas.openxmlformats.org/officeDocument/2006/relationships/hyperlink" Target="https://stardewvalleywiki.com/Ocean_Stone" TargetMode="External"/><Relationship Id="rId340" Type="http://schemas.openxmlformats.org/officeDocument/2006/relationships/hyperlink" Target="https://stardewvalleywiki.com/Tom_Kha_Soup" TargetMode="External"/><Relationship Id="rId103" Type="http://schemas.openxmlformats.org/officeDocument/2006/relationships/hyperlink" Target="https://stardewvalleywiki.com/Magic_Turban" TargetMode="External"/><Relationship Id="rId224" Type="http://schemas.openxmlformats.org/officeDocument/2006/relationships/hyperlink" Target="https://stardewvalleywiki.com/Museum" TargetMode="External"/><Relationship Id="rId345" Type="http://schemas.openxmlformats.org/officeDocument/2006/relationships/hyperlink" Target="https://stardewvalleywiki.com/Winter_Root" TargetMode="External"/><Relationship Id="rId102" Type="http://schemas.openxmlformats.org/officeDocument/2006/relationships/hyperlink" Target="https://stardewvalleywiki.com/Friendship" TargetMode="External"/><Relationship Id="rId223" Type="http://schemas.openxmlformats.org/officeDocument/2006/relationships/hyperlink" Target="https://stardewvalleywiki.com/Blue_Bonnet" TargetMode="External"/><Relationship Id="rId344" Type="http://schemas.openxmlformats.org/officeDocument/2006/relationships/hyperlink" Target="https://stardewvalleywiki.com/Omni_Geode" TargetMode="External"/><Relationship Id="rId101" Type="http://schemas.openxmlformats.org/officeDocument/2006/relationships/hyperlink" Target="https://stardewvalleywiki.com/Mouse_Ears" TargetMode="External"/><Relationship Id="rId222" Type="http://schemas.openxmlformats.org/officeDocument/2006/relationships/hyperlink" Target="https://stardewvalleywiki.com/Desert_Festival" TargetMode="External"/><Relationship Id="rId343" Type="http://schemas.openxmlformats.org/officeDocument/2006/relationships/hyperlink" Target="https://stardewvalleywiki.com/Oil" TargetMode="External"/><Relationship Id="rId100" Type="http://schemas.openxmlformats.org/officeDocument/2006/relationships/hyperlink" Target="https://stardewvalleywiki.com/Qi%27s_Walnut_Room" TargetMode="External"/><Relationship Id="rId221" Type="http://schemas.openxmlformats.org/officeDocument/2006/relationships/hyperlink" Target="https://stardewvalleywiki.com/Blue_Bow" TargetMode="External"/><Relationship Id="rId342" Type="http://schemas.openxmlformats.org/officeDocument/2006/relationships/hyperlink" Target="https://stardewvalleywiki.com/Glass_Shards" TargetMode="External"/><Relationship Id="rId217" Type="http://schemas.openxmlformats.org/officeDocument/2006/relationships/hyperlink" Target="https://stardewvalleywiki.com/Blue_Ribbon" TargetMode="External"/><Relationship Id="rId338" Type="http://schemas.openxmlformats.org/officeDocument/2006/relationships/hyperlink" Target="https://stardewvalleywiki.com/Morel" TargetMode="External"/><Relationship Id="rId216" Type="http://schemas.openxmlformats.org/officeDocument/2006/relationships/hyperlink" Target="https://stardewvalleywiki.com/Island_Trader" TargetMode="External"/><Relationship Id="rId337" Type="http://schemas.openxmlformats.org/officeDocument/2006/relationships/hyperlink" Target="https://stardewvalleywiki.com/Dandelion" TargetMode="External"/><Relationship Id="rId215" Type="http://schemas.openxmlformats.org/officeDocument/2006/relationships/hyperlink" Target="https://stardewvalleywiki.com/Bluebird_Mask" TargetMode="External"/><Relationship Id="rId336" Type="http://schemas.openxmlformats.org/officeDocument/2006/relationships/hyperlink" Target="https://stardewvalleywiki.com/Seafoam_Pudding" TargetMode="External"/><Relationship Id="rId214" Type="http://schemas.openxmlformats.org/officeDocument/2006/relationships/hyperlink" Target="https://stardewvalleywiki.com/Bowler_Hat" TargetMode="External"/><Relationship Id="rId335" Type="http://schemas.openxmlformats.org/officeDocument/2006/relationships/hyperlink" Target="https://stardewvalleywiki.com/Squid_Ink" TargetMode="External"/><Relationship Id="rId219" Type="http://schemas.openxmlformats.org/officeDocument/2006/relationships/hyperlink" Target="https://stardewvalleywiki.com/Blue_Cowboy_Hat" TargetMode="External"/><Relationship Id="rId218" Type="http://schemas.openxmlformats.org/officeDocument/2006/relationships/hyperlink" Target="https://stardewvalleywiki.com/Stardew_Valley_Fair" TargetMode="External"/><Relationship Id="rId339" Type="http://schemas.openxmlformats.org/officeDocument/2006/relationships/hyperlink" Target="https://stardewvalleywiki.com/Blueberry_Tart" TargetMode="External"/><Relationship Id="rId330" Type="http://schemas.openxmlformats.org/officeDocument/2006/relationships/hyperlink" Target="https://stardewvalleywiki.com/Duck_Feather" TargetMode="External"/><Relationship Id="rId213" Type="http://schemas.openxmlformats.org/officeDocument/2006/relationships/hyperlink" Target="https://stardewvalleywiki.com/Tailoring" TargetMode="External"/><Relationship Id="rId334" Type="http://schemas.openxmlformats.org/officeDocument/2006/relationships/hyperlink" Target="https://stardewvalleywiki.com/Vegetable_Medley" TargetMode="External"/><Relationship Id="rId212" Type="http://schemas.openxmlformats.org/officeDocument/2006/relationships/hyperlink" Target="https://stardewvalleywiki.com/Bridal_Veil" TargetMode="External"/><Relationship Id="rId333" Type="http://schemas.openxmlformats.org/officeDocument/2006/relationships/hyperlink" Target="https://stardewvalleywiki.com/Magic_Rock_Candy" TargetMode="External"/><Relationship Id="rId211" Type="http://schemas.openxmlformats.org/officeDocument/2006/relationships/hyperlink" Target="https://stardewvalleywiki.com/Trout_Derby" TargetMode="External"/><Relationship Id="rId332" Type="http://schemas.openxmlformats.org/officeDocument/2006/relationships/hyperlink" Target="https://stardewvalleywiki.com/Magma_Cap" TargetMode="External"/><Relationship Id="rId210" Type="http://schemas.openxmlformats.org/officeDocument/2006/relationships/hyperlink" Target="https://stardewvalleywiki.com/Bucket_Hat" TargetMode="External"/><Relationship Id="rId331" Type="http://schemas.openxmlformats.org/officeDocument/2006/relationships/hyperlink" Target="https://stardewvalleywiki.com/Leek" TargetMode="External"/><Relationship Id="rId370" Type="http://schemas.openxmlformats.org/officeDocument/2006/relationships/hyperlink" Target="https://stardewvalleywiki.com/Orpiment" TargetMode="External"/><Relationship Id="rId129" Type="http://schemas.openxmlformats.org/officeDocument/2006/relationships/hyperlink" Target="https://stardewvalleywiki.com/Hard_Hat" TargetMode="External"/><Relationship Id="rId128" Type="http://schemas.openxmlformats.org/officeDocument/2006/relationships/hyperlink" Target="https://stardewvalleywiki.com/Hunter%27s_Cap" TargetMode="External"/><Relationship Id="rId249" Type="http://schemas.openxmlformats.org/officeDocument/2006/relationships/hyperlink" Target="https://stardewvalleywiki.com/Fiddlehead_Risotto" TargetMode="External"/><Relationship Id="rId127" Type="http://schemas.openxmlformats.org/officeDocument/2006/relationships/hyperlink" Target="https://stardewvalleywiki.com/Infinity_Blade" TargetMode="External"/><Relationship Id="rId248" Type="http://schemas.openxmlformats.org/officeDocument/2006/relationships/hyperlink" Target="https://stardewvalleywiki.com/Beer" TargetMode="External"/><Relationship Id="rId369" Type="http://schemas.openxmlformats.org/officeDocument/2006/relationships/hyperlink" Target="https://stardewvalleywiki.com/Dish_O%27_The_Sea" TargetMode="External"/><Relationship Id="rId126" Type="http://schemas.openxmlformats.org/officeDocument/2006/relationships/hyperlink" Target="https://stardewvalleywiki.com/Infinity_Crown" TargetMode="External"/><Relationship Id="rId247" Type="http://schemas.openxmlformats.org/officeDocument/2006/relationships/hyperlink" Target="https://stardewvalleywiki.com/Rainbow_Shell" TargetMode="External"/><Relationship Id="rId368" Type="http://schemas.openxmlformats.org/officeDocument/2006/relationships/hyperlink" Target="https://stardewvalleywiki.com/Bruschetta" TargetMode="External"/><Relationship Id="rId121" Type="http://schemas.openxmlformats.org/officeDocument/2006/relationships/hyperlink" Target="https://stardewvalleywiki.com/Desert_Festival" TargetMode="External"/><Relationship Id="rId242" Type="http://schemas.openxmlformats.org/officeDocument/2006/relationships/hyperlink" Target="https://stardewvalleywiki.com/Kyanite" TargetMode="External"/><Relationship Id="rId363" Type="http://schemas.openxmlformats.org/officeDocument/2006/relationships/hyperlink" Target="https://stardewvalleywiki.com/Golden_Relic" TargetMode="External"/><Relationship Id="rId120" Type="http://schemas.openxmlformats.org/officeDocument/2006/relationships/hyperlink" Target="https://stardewvalleywiki.com/Joja_Cap" TargetMode="External"/><Relationship Id="rId241" Type="http://schemas.openxmlformats.org/officeDocument/2006/relationships/hyperlink" Target="https://stardewvalleywiki.com/Jasper" TargetMode="External"/><Relationship Id="rId362" Type="http://schemas.openxmlformats.org/officeDocument/2006/relationships/hyperlink" Target="https://stardewvalleywiki.com/Ancient_Drum" TargetMode="External"/><Relationship Id="rId240" Type="http://schemas.openxmlformats.org/officeDocument/2006/relationships/hyperlink" Target="https://stardewvalleywiki.com/Banana_Pudding" TargetMode="External"/><Relationship Id="rId361" Type="http://schemas.openxmlformats.org/officeDocument/2006/relationships/hyperlink" Target="https://stardewvalleywiki.com/Red_Plate" TargetMode="External"/><Relationship Id="rId360" Type="http://schemas.openxmlformats.org/officeDocument/2006/relationships/hyperlink" Target="https://stardewvalleywiki.com/Cranberry_Candy" TargetMode="External"/><Relationship Id="rId125" Type="http://schemas.openxmlformats.org/officeDocument/2006/relationships/hyperlink" Target="https://stardewvalleywiki.com/Pans" TargetMode="External"/><Relationship Id="rId246" Type="http://schemas.openxmlformats.org/officeDocument/2006/relationships/hyperlink" Target="https://stardewvalleywiki.com/Autumn%27s_Bounty" TargetMode="External"/><Relationship Id="rId367" Type="http://schemas.openxmlformats.org/officeDocument/2006/relationships/hyperlink" Target="https://stardewvalleywiki.com/Carrot" TargetMode="External"/><Relationship Id="rId124" Type="http://schemas.openxmlformats.org/officeDocument/2006/relationships/hyperlink" Target="https://stardewvalleywiki.com/Iridium_Pan_(hat)" TargetMode="External"/><Relationship Id="rId245" Type="http://schemas.openxmlformats.org/officeDocument/2006/relationships/hyperlink" Target="https://stardewvalleywiki.com/Fiber" TargetMode="External"/><Relationship Id="rId366" Type="http://schemas.openxmlformats.org/officeDocument/2006/relationships/hyperlink" Target="https://stardewvalleywiki.com/Spaghetti" TargetMode="External"/><Relationship Id="rId123" Type="http://schemas.openxmlformats.org/officeDocument/2006/relationships/hyperlink" Target="https://stardewvalleywiki.com/Movie_Theater" TargetMode="External"/><Relationship Id="rId244" Type="http://schemas.openxmlformats.org/officeDocument/2006/relationships/hyperlink" Target="https://stardewvalleywiki.com/Tailoring" TargetMode="External"/><Relationship Id="rId365" Type="http://schemas.openxmlformats.org/officeDocument/2006/relationships/hyperlink" Target="https://stardewvalleywiki.com/Rusty_Spoon" TargetMode="External"/><Relationship Id="rId122" Type="http://schemas.openxmlformats.org/officeDocument/2006/relationships/hyperlink" Target="https://stardewvalleywiki.com/Jester_Hat" TargetMode="External"/><Relationship Id="rId243" Type="http://schemas.openxmlformats.org/officeDocument/2006/relationships/hyperlink" Target="https://stardewvalleywiki.com/Fluorapatite" TargetMode="External"/><Relationship Id="rId364" Type="http://schemas.openxmlformats.org/officeDocument/2006/relationships/hyperlink" Target="https://stardewvalleywiki.com/Ice_Cream" TargetMode="External"/><Relationship Id="rId95" Type="http://schemas.openxmlformats.org/officeDocument/2006/relationships/hyperlink" Target="https://stardewvalleywiki.com/Mushroom_Cap" TargetMode="External"/><Relationship Id="rId94" Type="http://schemas.openxmlformats.org/officeDocument/2006/relationships/hyperlink" Target="https://stardewvalleywiki.com/Mystery_Box" TargetMode="External"/><Relationship Id="rId97" Type="http://schemas.openxmlformats.org/officeDocument/2006/relationships/hyperlink" Target="https://stardewvalleywiki.com/Mummy_Mask" TargetMode="External"/><Relationship Id="rId96" Type="http://schemas.openxmlformats.org/officeDocument/2006/relationships/hyperlink" Target="https://stardewvalleywiki.com/Mushroom_Tree" TargetMode="External"/><Relationship Id="rId99" Type="http://schemas.openxmlformats.org/officeDocument/2006/relationships/hyperlink" Target="https://stardewvalleywiki.com/Mr._Qi%27s_Hat" TargetMode="External"/><Relationship Id="rId98" Type="http://schemas.openxmlformats.org/officeDocument/2006/relationships/hyperlink" Target="https://stardewvalleywiki.com/Desert_Festival" TargetMode="External"/><Relationship Id="rId91" Type="http://schemas.openxmlformats.org/officeDocument/2006/relationships/hyperlink" Target="https://stardewvalleywiki.com/Official_Cap" TargetMode="External"/><Relationship Id="rId90" Type="http://schemas.openxmlformats.org/officeDocument/2006/relationships/hyperlink" Target="https://stardewvalleywiki.com/Books" TargetMode="External"/><Relationship Id="rId93" Type="http://schemas.openxmlformats.org/officeDocument/2006/relationships/hyperlink" Target="https://stardewvalleywiki.com/Mystery_Hat" TargetMode="External"/><Relationship Id="rId92" Type="http://schemas.openxmlformats.org/officeDocument/2006/relationships/hyperlink" Target="https://stardewvalleywiki.com/Fish" TargetMode="External"/><Relationship Id="rId118" Type="http://schemas.openxmlformats.org/officeDocument/2006/relationships/hyperlink" Target="https://stardewvalleywiki.com/Junimo_Hat" TargetMode="External"/><Relationship Id="rId239" Type="http://schemas.openxmlformats.org/officeDocument/2006/relationships/hyperlink" Target="https://stardewvalleywiki.com/Duck_Mayonnaise" TargetMode="External"/><Relationship Id="rId117" Type="http://schemas.openxmlformats.org/officeDocument/2006/relationships/hyperlink" Target="https://stardewvalleywiki.com/Adventurer%27s_Guild" TargetMode="External"/><Relationship Id="rId238" Type="http://schemas.openxmlformats.org/officeDocument/2006/relationships/hyperlink" Target="https://stardewvalleywiki.com/Chipped_Amphora" TargetMode="External"/><Relationship Id="rId359" Type="http://schemas.openxmlformats.org/officeDocument/2006/relationships/hyperlink" Target="https://stardewvalleywiki.com/Magma_Geode" TargetMode="External"/><Relationship Id="rId116" Type="http://schemas.openxmlformats.org/officeDocument/2006/relationships/hyperlink" Target="https://stardewvalleywiki.com/Knight%27s_Helmet" TargetMode="External"/><Relationship Id="rId237" Type="http://schemas.openxmlformats.org/officeDocument/2006/relationships/hyperlink" Target="https://stardewvalleywiki.com/Cactus_Fruit" TargetMode="External"/><Relationship Id="rId358" Type="http://schemas.openxmlformats.org/officeDocument/2006/relationships/hyperlink" Target="https://stardewvalleywiki.com/Hashbrowns" TargetMode="External"/><Relationship Id="rId115" Type="http://schemas.openxmlformats.org/officeDocument/2006/relationships/hyperlink" Target="https://stardewvalleywiki.com/Desert_Festival" TargetMode="External"/><Relationship Id="rId236" Type="http://schemas.openxmlformats.org/officeDocument/2006/relationships/hyperlink" Target="https://stardewvalleywiki.com/Forge" TargetMode="External"/><Relationship Id="rId357" Type="http://schemas.openxmlformats.org/officeDocument/2006/relationships/hyperlink" Target="https://stardewvalleywiki.com/Trout_Soup" TargetMode="External"/><Relationship Id="rId119" Type="http://schemas.openxmlformats.org/officeDocument/2006/relationships/hyperlink" Target="https://stardewvalleywiki.com/The_Summit" TargetMode="External"/><Relationship Id="rId110" Type="http://schemas.openxmlformats.org/officeDocument/2006/relationships/hyperlink" Target="https://stardewvalleywiki.com/Living_Hat" TargetMode="External"/><Relationship Id="rId231" Type="http://schemas.openxmlformats.org/officeDocument/2006/relationships/hyperlink" Target="https://stardewvalleywiki.com/Arcane_Hat" TargetMode="External"/><Relationship Id="rId352" Type="http://schemas.openxmlformats.org/officeDocument/2006/relationships/hyperlink" Target="https://stardewvalleywiki.com/Coffee" TargetMode="External"/><Relationship Id="rId230" Type="http://schemas.openxmlformats.org/officeDocument/2006/relationships/hyperlink" Target="https://stardewvalleywiki.com/Cooking" TargetMode="External"/><Relationship Id="rId351" Type="http://schemas.openxmlformats.org/officeDocument/2006/relationships/hyperlink" Target="https://stardewvalleywiki.com/Roe" TargetMode="External"/><Relationship Id="rId350" Type="http://schemas.openxmlformats.org/officeDocument/2006/relationships/hyperlink" Target="https://stardewvalleywiki.com/Wool" TargetMode="External"/><Relationship Id="rId114" Type="http://schemas.openxmlformats.org/officeDocument/2006/relationships/hyperlink" Target="https://stardewvalleywiki.com/Laurel_Wreath_Crown" TargetMode="External"/><Relationship Id="rId235" Type="http://schemas.openxmlformats.org/officeDocument/2006/relationships/hyperlink" Target="https://stardewvalleywiki.com/%3F%3F%3F_(hat)" TargetMode="External"/><Relationship Id="rId356" Type="http://schemas.openxmlformats.org/officeDocument/2006/relationships/hyperlink" Target="https://stardewvalleywiki.com/Crayfish" TargetMode="External"/><Relationship Id="rId113" Type="http://schemas.openxmlformats.org/officeDocument/2006/relationships/hyperlink" Target="https://stardewvalleywiki.com/Abandoned_House" TargetMode="External"/><Relationship Id="rId234" Type="http://schemas.openxmlformats.org/officeDocument/2006/relationships/hyperlink" Target="https://stardewvalleywiki.com/Desert_Festival" TargetMode="External"/><Relationship Id="rId355" Type="http://schemas.openxmlformats.org/officeDocument/2006/relationships/hyperlink" Target="https://stardewvalleywiki.com/Prismatic_Shard" TargetMode="External"/><Relationship Id="rId112" Type="http://schemas.openxmlformats.org/officeDocument/2006/relationships/hyperlink" Target="https://stardewvalleywiki.com/Leprechaun_Hat" TargetMode="External"/><Relationship Id="rId233" Type="http://schemas.openxmlformats.org/officeDocument/2006/relationships/hyperlink" Target="https://stardewvalleywiki.com/Abigail%27s_Bow" TargetMode="External"/><Relationship Id="rId354" Type="http://schemas.openxmlformats.org/officeDocument/2006/relationships/hyperlink" Target="https://stardewvalleywiki.com/Prismatic_Shard" TargetMode="External"/><Relationship Id="rId111" Type="http://schemas.openxmlformats.org/officeDocument/2006/relationships/hyperlink" Target="https://stardewvalleywiki.com/Weeds" TargetMode="External"/><Relationship Id="rId232" Type="http://schemas.openxmlformats.org/officeDocument/2006/relationships/hyperlink" Target="https://stardewvalleywiki.com/Adventurer%27s_Guild" TargetMode="External"/><Relationship Id="rId353" Type="http://schemas.openxmlformats.org/officeDocument/2006/relationships/hyperlink" Target="https://stardewvalleywiki.com/Prismatic_Shard" TargetMode="External"/><Relationship Id="rId305" Type="http://schemas.openxmlformats.org/officeDocument/2006/relationships/hyperlink" Target="https://stardewvalleywiki.com/Malachite" TargetMode="External"/><Relationship Id="rId426" Type="http://schemas.openxmlformats.org/officeDocument/2006/relationships/hyperlink" Target="https://stardewvalleywiki.com/Honey" TargetMode="External"/><Relationship Id="rId304" Type="http://schemas.openxmlformats.org/officeDocument/2006/relationships/hyperlink" Target="https://stardewvalleywiki.com/Cave_Carrot" TargetMode="External"/><Relationship Id="rId425" Type="http://schemas.openxmlformats.org/officeDocument/2006/relationships/hyperlink" Target="https://stardewvalleywiki.com/Slime_Egg" TargetMode="External"/><Relationship Id="rId303" Type="http://schemas.openxmlformats.org/officeDocument/2006/relationships/hyperlink" Target="https://stardewvalleywiki.com/Quartz" TargetMode="External"/><Relationship Id="rId424" Type="http://schemas.openxmlformats.org/officeDocument/2006/relationships/hyperlink" Target="https://stardewvalleywiki.com/Ancient_Fruit" TargetMode="External"/><Relationship Id="rId302" Type="http://schemas.openxmlformats.org/officeDocument/2006/relationships/hyperlink" Target="https://stardewvalleywiki.com/Esperite" TargetMode="External"/><Relationship Id="rId423" Type="http://schemas.openxmlformats.org/officeDocument/2006/relationships/hyperlink" Target="https://stardewvalleywiki.com/Hay" TargetMode="External"/><Relationship Id="rId309" Type="http://schemas.openxmlformats.org/officeDocument/2006/relationships/hyperlink" Target="https://stardewvalleywiki.com/Jamborite" TargetMode="External"/><Relationship Id="rId308" Type="http://schemas.openxmlformats.org/officeDocument/2006/relationships/hyperlink" Target="https://stardewvalleywiki.com/Fiddlehead_Fern" TargetMode="External"/><Relationship Id="rId429" Type="http://schemas.openxmlformats.org/officeDocument/2006/relationships/hyperlink" Target="https://stardewvalleywiki.com/Prismatic_Shard" TargetMode="External"/><Relationship Id="rId307" Type="http://schemas.openxmlformats.org/officeDocument/2006/relationships/hyperlink" Target="https://stardewvalleywiki.com/Super_Meal" TargetMode="External"/><Relationship Id="rId428" Type="http://schemas.openxmlformats.org/officeDocument/2006/relationships/hyperlink" Target="https://stardewvalleywiki.com/Orange" TargetMode="External"/><Relationship Id="rId306" Type="http://schemas.openxmlformats.org/officeDocument/2006/relationships/hyperlink" Target="https://stardewvalleywiki.com/Rhubarb" TargetMode="External"/><Relationship Id="rId427" Type="http://schemas.openxmlformats.org/officeDocument/2006/relationships/hyperlink" Target="https://stardewvalleywiki.com/Apple" TargetMode="External"/><Relationship Id="rId301" Type="http://schemas.openxmlformats.org/officeDocument/2006/relationships/hyperlink" Target="https://stardewvalleywiki.com/Geode" TargetMode="External"/><Relationship Id="rId422" Type="http://schemas.openxmlformats.org/officeDocument/2006/relationships/hyperlink" Target="https://stardewvalleywiki.com/Dinosaur_Mayonnaise" TargetMode="External"/><Relationship Id="rId300" Type="http://schemas.openxmlformats.org/officeDocument/2006/relationships/hyperlink" Target="https://stardewvalleywiki.com/Lunarite" TargetMode="External"/><Relationship Id="rId421" Type="http://schemas.openxmlformats.org/officeDocument/2006/relationships/hyperlink" Target="https://stardewvalleywiki.com/Poppy" TargetMode="External"/><Relationship Id="rId420" Type="http://schemas.openxmlformats.org/officeDocument/2006/relationships/hyperlink" Target="https://stardewvalleywiki.com/Blue_Jazz" TargetMode="External"/><Relationship Id="rId415" Type="http://schemas.openxmlformats.org/officeDocument/2006/relationships/hyperlink" Target="https://stardewvalleywiki.com/Omelet" TargetMode="External"/><Relationship Id="rId414" Type="http://schemas.openxmlformats.org/officeDocument/2006/relationships/hyperlink" Target="https://stardewvalleywiki.com/Strange_Doll_(green)" TargetMode="External"/><Relationship Id="rId413" Type="http://schemas.openxmlformats.org/officeDocument/2006/relationships/hyperlink" Target="https://stardewvalleywiki.com/Stone" TargetMode="External"/><Relationship Id="rId412" Type="http://schemas.openxmlformats.org/officeDocument/2006/relationships/hyperlink" Target="https://stardewvalleywiki.com/Milk" TargetMode="External"/><Relationship Id="rId419" Type="http://schemas.openxmlformats.org/officeDocument/2006/relationships/hyperlink" Target="https://stardewvalleywiki.com/Fairy_Rose" TargetMode="External"/><Relationship Id="rId418" Type="http://schemas.openxmlformats.org/officeDocument/2006/relationships/hyperlink" Target="https://stardewvalleywiki.com/Blueberry" TargetMode="External"/><Relationship Id="rId417" Type="http://schemas.openxmlformats.org/officeDocument/2006/relationships/hyperlink" Target="https://stardewvalleywiki.com/Cranberries" TargetMode="External"/><Relationship Id="rId416" Type="http://schemas.openxmlformats.org/officeDocument/2006/relationships/hyperlink" Target="https://stardewvalleywiki.com/Mango_Sticky_Rice" TargetMode="External"/><Relationship Id="rId411" Type="http://schemas.openxmlformats.org/officeDocument/2006/relationships/hyperlink" Target="https://stardewvalleywiki.com/Rice" TargetMode="External"/><Relationship Id="rId410" Type="http://schemas.openxmlformats.org/officeDocument/2006/relationships/hyperlink" Target="https://stardewvalleywiki.com/Pale_Broth" TargetMode="External"/><Relationship Id="rId206" Type="http://schemas.openxmlformats.org/officeDocument/2006/relationships/hyperlink" Target="https://stardewvalleywiki.com/Cat_Ears" TargetMode="External"/><Relationship Id="rId327" Type="http://schemas.openxmlformats.org/officeDocument/2006/relationships/hyperlink" Target="https://stardewvalleywiki.com/Harvey%27s_Clinic" TargetMode="External"/><Relationship Id="rId205" Type="http://schemas.openxmlformats.org/officeDocument/2006/relationships/hyperlink" Target="https://stardewvalleywiki.com/Cooking" TargetMode="External"/><Relationship Id="rId326" Type="http://schemas.openxmlformats.org/officeDocument/2006/relationships/hyperlink" Target="https://stardewvalleywiki.com/Jagoite" TargetMode="External"/><Relationship Id="rId204" Type="http://schemas.openxmlformats.org/officeDocument/2006/relationships/hyperlink" Target="https://stardewvalleywiki.com/Chef_Hat" TargetMode="External"/><Relationship Id="rId325" Type="http://schemas.openxmlformats.org/officeDocument/2006/relationships/hyperlink" Target="https://stardewvalleywiki.com/Seaweed" TargetMode="External"/><Relationship Id="rId203" Type="http://schemas.openxmlformats.org/officeDocument/2006/relationships/hyperlink" Target="https://stardewvalleywiki.com/Quests" TargetMode="External"/><Relationship Id="rId324" Type="http://schemas.openxmlformats.org/officeDocument/2006/relationships/hyperlink" Target="https://stardewvalleywiki.com/Elvish_Jewelry" TargetMode="External"/><Relationship Id="rId209" Type="http://schemas.openxmlformats.org/officeDocument/2006/relationships/hyperlink" Target="https://stardewvalleywiki.com/Friendship" TargetMode="External"/><Relationship Id="rId208" Type="http://schemas.openxmlformats.org/officeDocument/2006/relationships/hyperlink" Target="https://stardewvalleywiki.com/Butterfly_Bow" TargetMode="External"/><Relationship Id="rId329" Type="http://schemas.openxmlformats.org/officeDocument/2006/relationships/hyperlink" Target="https://stardewvalleywiki.com/Rice_Pudding" TargetMode="External"/><Relationship Id="rId207" Type="http://schemas.openxmlformats.org/officeDocument/2006/relationships/hyperlink" Target="https://stardewvalleywiki.com/Friendship" TargetMode="External"/><Relationship Id="rId328" Type="http://schemas.openxmlformats.org/officeDocument/2006/relationships/hyperlink" Target="https://stardewvalleywiki.com/Mayonnaise" TargetMode="External"/><Relationship Id="rId202" Type="http://schemas.openxmlformats.org/officeDocument/2006/relationships/hyperlink" Target="https://stardewvalleywiki.com/Night_Market" TargetMode="External"/><Relationship Id="rId323" Type="http://schemas.openxmlformats.org/officeDocument/2006/relationships/hyperlink" Target="https://stardewvalleywiki.com/Pyrite" TargetMode="External"/><Relationship Id="rId201" Type="http://schemas.openxmlformats.org/officeDocument/2006/relationships/hyperlink" Target="https://stardewvalleywiki.com/Cone_Hat" TargetMode="External"/><Relationship Id="rId322" Type="http://schemas.openxmlformats.org/officeDocument/2006/relationships/hyperlink" Target="https://stardewvalleywiki.com/Golden_Coconut" TargetMode="External"/><Relationship Id="rId200" Type="http://schemas.openxmlformats.org/officeDocument/2006/relationships/hyperlink" Target="https://stardewvalleywiki.com/Cool_Cap" TargetMode="External"/><Relationship Id="rId321" Type="http://schemas.openxmlformats.org/officeDocument/2006/relationships/hyperlink" Target="https://stardewvalleywiki.com/Iridium_Ore" TargetMode="External"/><Relationship Id="rId320" Type="http://schemas.openxmlformats.org/officeDocument/2006/relationships/hyperlink" Target="https://stardewvalleywiki.com/Iridium_Bar" TargetMode="External"/><Relationship Id="rId316" Type="http://schemas.openxmlformats.org/officeDocument/2006/relationships/hyperlink" Target="https://stardewvalleywiki.com/Basic_Fertilizer" TargetMode="External"/><Relationship Id="rId315" Type="http://schemas.openxmlformats.org/officeDocument/2006/relationships/hyperlink" Target="https://stardewvalleywiki.com/Torch" TargetMode="External"/><Relationship Id="rId314" Type="http://schemas.openxmlformats.org/officeDocument/2006/relationships/hyperlink" Target="https://stardewvalleywiki.com/Strange_Bun" TargetMode="External"/><Relationship Id="rId313" Type="http://schemas.openxmlformats.org/officeDocument/2006/relationships/hyperlink" Target="https://stardewvalleywiki.com/Oasis" TargetMode="External"/><Relationship Id="rId319" Type="http://schemas.openxmlformats.org/officeDocument/2006/relationships/hyperlink" Target="https://stardewvalleywiki.com/Poi" TargetMode="External"/><Relationship Id="rId318" Type="http://schemas.openxmlformats.org/officeDocument/2006/relationships/hyperlink" Target="https://stardewvalleywiki.com/Pumpkin_Pie" TargetMode="External"/><Relationship Id="rId317" Type="http://schemas.openxmlformats.org/officeDocument/2006/relationships/hyperlink" Target="https://stardewvalleywiki.com/Deluxe_Speed-Gro" TargetMode="External"/><Relationship Id="rId312" Type="http://schemas.openxmlformats.org/officeDocument/2006/relationships/hyperlink" Target="https://stardewvalleywiki.com/Lemon_Stone" TargetMode="External"/><Relationship Id="rId311" Type="http://schemas.openxmlformats.org/officeDocument/2006/relationships/hyperlink" Target="https://stardewvalleywiki.com/Bean_Hotpot" TargetMode="External"/><Relationship Id="rId432" Type="http://schemas.openxmlformats.org/officeDocument/2006/relationships/vmlDrawing" Target="../drawings/vmlDrawing1.vml"/><Relationship Id="rId310" Type="http://schemas.openxmlformats.org/officeDocument/2006/relationships/hyperlink" Target="https://stardewvalleywiki.com/Ancient_Sword" TargetMode="External"/><Relationship Id="rId431" Type="http://schemas.openxmlformats.org/officeDocument/2006/relationships/drawing" Target="../drawings/drawing1.xml"/><Relationship Id="rId430" Type="http://schemas.openxmlformats.org/officeDocument/2006/relationships/hyperlink" Target="https://stardewvalleywiki.com/Prismatic_Shard"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stardewvalleywiki.com/Daisy" TargetMode="External"/><Relationship Id="rId194" Type="http://schemas.openxmlformats.org/officeDocument/2006/relationships/hyperlink" Target="https://stardewvalleywiki.com/Cowgal_Hat" TargetMode="External"/><Relationship Id="rId193" Type="http://schemas.openxmlformats.org/officeDocument/2006/relationships/hyperlink" Target="https://stardewvalleywiki.com/Shipping" TargetMode="External"/><Relationship Id="rId192" Type="http://schemas.openxmlformats.org/officeDocument/2006/relationships/hyperlink" Target="https://stardewvalleywiki.com/Cowpoke_Hat" TargetMode="External"/><Relationship Id="rId191" Type="http://schemas.openxmlformats.org/officeDocument/2006/relationships/hyperlink" Target="https://stardewvalleywiki.com/Crafting" TargetMode="External"/><Relationship Id="rId187" Type="http://schemas.openxmlformats.org/officeDocument/2006/relationships/hyperlink" Target="https://stardewvalleywiki.com/Skull_Cavern" TargetMode="External"/><Relationship Id="rId186" Type="http://schemas.openxmlformats.org/officeDocument/2006/relationships/hyperlink" Target="https://stardewvalleywiki.com/Dark_Cowboy_Hat" TargetMode="External"/><Relationship Id="rId185" Type="http://schemas.openxmlformats.org/officeDocument/2006/relationships/hyperlink" Target="https://stardewvalleywiki.com/Desert_Festival" TargetMode="External"/><Relationship Id="rId184" Type="http://schemas.openxmlformats.org/officeDocument/2006/relationships/hyperlink" Target="https://stardewvalleywiki.com/Dark_Velvet_Bow" TargetMode="External"/><Relationship Id="rId189" Type="http://schemas.openxmlformats.org/officeDocument/2006/relationships/hyperlink" Target="https://stardewvalleywiki.com/Desert_Festival" TargetMode="External"/><Relationship Id="rId188" Type="http://schemas.openxmlformats.org/officeDocument/2006/relationships/hyperlink" Target="https://stardewvalleywiki.com/Dark_Ballcap" TargetMode="External"/><Relationship Id="rId183" Type="http://schemas.openxmlformats.org/officeDocument/2006/relationships/hyperlink" Target="https://stardewvalleywiki.com/Cooking" TargetMode="External"/><Relationship Id="rId182" Type="http://schemas.openxmlformats.org/officeDocument/2006/relationships/hyperlink" Target="https://stardewvalleywiki.com/Delicate_Bow" TargetMode="External"/><Relationship Id="rId181" Type="http://schemas.openxmlformats.org/officeDocument/2006/relationships/hyperlink" Target="https://stardewvalleywiki.com/Island_Trader" TargetMode="External"/><Relationship Id="rId180" Type="http://schemas.openxmlformats.org/officeDocument/2006/relationships/hyperlink" Target="https://stardewvalleywiki.com/Deluxe_Cowboy_Hat" TargetMode="External"/><Relationship Id="rId176" Type="http://schemas.openxmlformats.org/officeDocument/2006/relationships/hyperlink" Target="https://stardewvalleywiki.com/Dinosaur_Hat" TargetMode="External"/><Relationship Id="rId297" Type="http://schemas.openxmlformats.org/officeDocument/2006/relationships/hyperlink" Target="https://stardewvalleywiki.com/Gold_Bar" TargetMode="External"/><Relationship Id="rId175" Type="http://schemas.openxmlformats.org/officeDocument/2006/relationships/hyperlink" Target="https://stardewvalleywiki.com/Friendship" TargetMode="External"/><Relationship Id="rId296" Type="http://schemas.openxmlformats.org/officeDocument/2006/relationships/hyperlink" Target="https://stardewvalleywiki.com/Aged_Roe" TargetMode="External"/><Relationship Id="rId174" Type="http://schemas.openxmlformats.org/officeDocument/2006/relationships/hyperlink" Target="https://stardewvalleywiki.com/Earmuffs" TargetMode="External"/><Relationship Id="rId295" Type="http://schemas.openxmlformats.org/officeDocument/2006/relationships/hyperlink" Target="https://stardewvalleywiki.com/Ginger_Ale" TargetMode="External"/><Relationship Id="rId173" Type="http://schemas.openxmlformats.org/officeDocument/2006/relationships/hyperlink" Target="https://stardewvalleywiki.com/Achievements" TargetMode="External"/><Relationship Id="rId294" Type="http://schemas.openxmlformats.org/officeDocument/2006/relationships/hyperlink" Target="https://stardewvalleywiki.com/Chowder" TargetMode="External"/><Relationship Id="rId179" Type="http://schemas.openxmlformats.org/officeDocument/2006/relationships/hyperlink" Target="https://stardewvalleywiki.com/Volcano_Dungeon" TargetMode="External"/><Relationship Id="rId178" Type="http://schemas.openxmlformats.org/officeDocument/2006/relationships/hyperlink" Target="https://stardewvalleywiki.com/Deluxe_Pirate_Hat" TargetMode="External"/><Relationship Id="rId299" Type="http://schemas.openxmlformats.org/officeDocument/2006/relationships/hyperlink" Target="https://stardewvalleywiki.com/Maru" TargetMode="External"/><Relationship Id="rId177" Type="http://schemas.openxmlformats.org/officeDocument/2006/relationships/hyperlink" Target="https://stardewvalleywiki.com/Tailoring" TargetMode="External"/><Relationship Id="rId298" Type="http://schemas.openxmlformats.org/officeDocument/2006/relationships/hyperlink" Target="https://stardewvalleywiki.com/Dried_Starfish" TargetMode="External"/><Relationship Id="rId198" Type="http://schemas.openxmlformats.org/officeDocument/2006/relationships/hyperlink" Target="https://stardewvalleywiki.com/Copper_Pan_(hat)" TargetMode="External"/><Relationship Id="rId197" Type="http://schemas.openxmlformats.org/officeDocument/2006/relationships/hyperlink" Target="https://stardewvalleywiki.com/Museum" TargetMode="External"/><Relationship Id="rId196" Type="http://schemas.openxmlformats.org/officeDocument/2006/relationships/hyperlink" Target="https://stardewvalleywiki.com/Cowboy_Hat" TargetMode="External"/><Relationship Id="rId195" Type="http://schemas.openxmlformats.org/officeDocument/2006/relationships/hyperlink" Target="https://stardewvalleywiki.com/Shipping" TargetMode="External"/><Relationship Id="rId199" Type="http://schemas.openxmlformats.org/officeDocument/2006/relationships/hyperlink" Target="https://stardewvalleywiki.com/Pans" TargetMode="External"/><Relationship Id="rId150" Type="http://schemas.openxmlformats.org/officeDocument/2006/relationships/hyperlink" Target="https://stardewvalleywiki.com/Gil%27s_Hat" TargetMode="External"/><Relationship Id="rId271" Type="http://schemas.openxmlformats.org/officeDocument/2006/relationships/hyperlink" Target="https://stardewvalleywiki.com/Copper_Bar" TargetMode="External"/><Relationship Id="rId392" Type="http://schemas.openxmlformats.org/officeDocument/2006/relationships/hyperlink" Target="https://stardewvalleywiki.com/Sap" TargetMode="External"/><Relationship Id="rId270" Type="http://schemas.openxmlformats.org/officeDocument/2006/relationships/hyperlink" Target="https://stardewvalleywiki.com/Green_Algae" TargetMode="External"/><Relationship Id="rId391" Type="http://schemas.openxmlformats.org/officeDocument/2006/relationships/hyperlink" Target="https://stardewvalleywiki.com/Glazed_Yams" TargetMode="External"/><Relationship Id="rId390" Type="http://schemas.openxmlformats.org/officeDocument/2006/relationships/hyperlink" Target="https://stardewvalleywiki.com/Bouquet"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stardewvalleywiki.com/Crafting" TargetMode="External"/><Relationship Id="rId4" Type="http://schemas.openxmlformats.org/officeDocument/2006/relationships/hyperlink" Target="https://stardewvalleywiki.com/Witch_Hat" TargetMode="External"/><Relationship Id="rId148" Type="http://schemas.openxmlformats.org/officeDocument/2006/relationships/hyperlink" Target="https://stardewvalleywiki.com/Gnome%27s_Cap" TargetMode="External"/><Relationship Id="rId269" Type="http://schemas.openxmlformats.org/officeDocument/2006/relationships/hyperlink" Target="https://stardewvalleywiki.com/Helvite" TargetMode="External"/><Relationship Id="rId9" Type="http://schemas.openxmlformats.org/officeDocument/2006/relationships/hyperlink" Target="https://stardewvalleywiki.com/Wearable_Dwarf_Helm" TargetMode="External"/><Relationship Id="rId143" Type="http://schemas.openxmlformats.org/officeDocument/2006/relationships/hyperlink" Target="https://stardewvalleywiki.com/Pans" TargetMode="External"/><Relationship Id="rId264" Type="http://schemas.openxmlformats.org/officeDocument/2006/relationships/hyperlink" Target="https://stardewvalleywiki.com/Carp_Surprise" TargetMode="External"/><Relationship Id="rId385" Type="http://schemas.openxmlformats.org/officeDocument/2006/relationships/hyperlink" Target="https://stardewvalleywiki.com/Fried_Calamari" TargetMode="External"/><Relationship Id="rId142" Type="http://schemas.openxmlformats.org/officeDocument/2006/relationships/hyperlink" Target="https://stardewvalleywiki.com/Gold_Pan_(hat)" TargetMode="External"/><Relationship Id="rId263" Type="http://schemas.openxmlformats.org/officeDocument/2006/relationships/hyperlink" Target="https://stardewvalleywiki.com/Large_Egg" TargetMode="External"/><Relationship Id="rId384" Type="http://schemas.openxmlformats.org/officeDocument/2006/relationships/hyperlink" Target="https://stardewvalleywiki.com/Iron_Bar" TargetMode="External"/><Relationship Id="rId141" Type="http://schemas.openxmlformats.org/officeDocument/2006/relationships/hyperlink" Target="https://stardewvalleywiki.com/Golden_Coconut" TargetMode="External"/><Relationship Id="rId262" Type="http://schemas.openxmlformats.org/officeDocument/2006/relationships/hyperlink" Target="https://stardewvalleywiki.com/Anchor" TargetMode="External"/><Relationship Id="rId383" Type="http://schemas.openxmlformats.org/officeDocument/2006/relationships/hyperlink" Target="https://stardewvalleywiki.com/Star_Shards" TargetMode="External"/><Relationship Id="rId140" Type="http://schemas.openxmlformats.org/officeDocument/2006/relationships/hyperlink" Target="https://stardewvalleywiki.com/Golden_Helmet" TargetMode="External"/><Relationship Id="rId261" Type="http://schemas.openxmlformats.org/officeDocument/2006/relationships/hyperlink" Target="https://stardewvalleywiki.com/Chewing_Stick" TargetMode="External"/><Relationship Id="rId382" Type="http://schemas.openxmlformats.org/officeDocument/2006/relationships/hyperlink" Target="https://stardewvalleywiki.com/Juice" TargetMode="External"/><Relationship Id="rId5" Type="http://schemas.openxmlformats.org/officeDocument/2006/relationships/hyperlink" Target="https://stardewvalleywiki.com/Tailoring" TargetMode="External"/><Relationship Id="rId147" Type="http://schemas.openxmlformats.org/officeDocument/2006/relationships/hyperlink" Target="https://stardewvalleywiki.com/Shipping" TargetMode="External"/><Relationship Id="rId268" Type="http://schemas.openxmlformats.org/officeDocument/2006/relationships/hyperlink" Target="https://stardewvalleywiki.com/Complete_Breakfast" TargetMode="External"/><Relationship Id="rId389" Type="http://schemas.openxmlformats.org/officeDocument/2006/relationships/hyperlink" Target="https://stardewvalleywiki.com/Sugar" TargetMode="External"/><Relationship Id="rId6" Type="http://schemas.openxmlformats.org/officeDocument/2006/relationships/hyperlink" Target="https://stardewvalleywiki.com/White_Turban" TargetMode="External"/><Relationship Id="rId146" Type="http://schemas.openxmlformats.org/officeDocument/2006/relationships/hyperlink" Target="https://stardewvalleywiki.com/Goblin_Mask" TargetMode="External"/><Relationship Id="rId267" Type="http://schemas.openxmlformats.org/officeDocument/2006/relationships/hyperlink" Target="https://stardewvalleywiki.com/Rusty_Cog" TargetMode="External"/><Relationship Id="rId388" Type="http://schemas.openxmlformats.org/officeDocument/2006/relationships/hyperlink" Target="https://stardewvalleywiki.com/Obsidian" TargetMode="External"/><Relationship Id="rId7" Type="http://schemas.openxmlformats.org/officeDocument/2006/relationships/hyperlink" Target="https://stardewvalleywiki.com/Tailoring" TargetMode="External"/><Relationship Id="rId145" Type="http://schemas.openxmlformats.org/officeDocument/2006/relationships/hyperlink" Target="https://stardewvalleywiki.com/Tailoring" TargetMode="External"/><Relationship Id="rId266" Type="http://schemas.openxmlformats.org/officeDocument/2006/relationships/hyperlink" Target="https://stardewvalleywiki.com/Escargot" TargetMode="External"/><Relationship Id="rId387" Type="http://schemas.openxmlformats.org/officeDocument/2006/relationships/hyperlink" Target="https://stardewvalleywiki.com/Corn" TargetMode="External"/><Relationship Id="rId8" Type="http://schemas.openxmlformats.org/officeDocument/2006/relationships/hyperlink" Target="https://stardewvalleywiki.com/White_Bow" TargetMode="External"/><Relationship Id="rId144" Type="http://schemas.openxmlformats.org/officeDocument/2006/relationships/hyperlink" Target="https://stardewvalleywiki.com/Goggles" TargetMode="External"/><Relationship Id="rId265" Type="http://schemas.openxmlformats.org/officeDocument/2006/relationships/hyperlink" Target="https://stardewvalleywiki.com/Prehistoric_Handaxe" TargetMode="External"/><Relationship Id="rId386" Type="http://schemas.openxmlformats.org/officeDocument/2006/relationships/hyperlink" Target="https://stardewvalleywiki.com/Coral" TargetMode="External"/><Relationship Id="rId260" Type="http://schemas.openxmlformats.org/officeDocument/2006/relationships/hyperlink" Target="https://stardewvalleywiki.com/Stir_Fry" TargetMode="External"/><Relationship Id="rId381" Type="http://schemas.openxmlformats.org/officeDocument/2006/relationships/hyperlink" Target="https://stardewvalleywiki.com/Arrowhead" TargetMode="External"/><Relationship Id="rId380" Type="http://schemas.openxmlformats.org/officeDocument/2006/relationships/hyperlink" Target="https://stardewvalleywiki.com/Petrified_Slime" TargetMode="External"/><Relationship Id="rId139" Type="http://schemas.openxmlformats.org/officeDocument/2006/relationships/hyperlink" Target="https://stardewvalleywiki.com/Tailoring" TargetMode="External"/><Relationship Id="rId138" Type="http://schemas.openxmlformats.org/officeDocument/2006/relationships/hyperlink" Target="https://stardewvalleywiki.com/Golden_Mask_(hat)" TargetMode="External"/><Relationship Id="rId259" Type="http://schemas.openxmlformats.org/officeDocument/2006/relationships/hyperlink" Target="https://stardewvalleywiki.com/Survival_Burger" TargetMode="External"/><Relationship Id="rId137" Type="http://schemas.openxmlformats.org/officeDocument/2006/relationships/hyperlink" Target="https://stardewvalleywiki.com/Good_Ol%27_Cap" TargetMode="External"/><Relationship Id="rId258" Type="http://schemas.openxmlformats.org/officeDocument/2006/relationships/hyperlink" Target="https://stardewvalleywiki.com/Ancient_Seed" TargetMode="External"/><Relationship Id="rId379" Type="http://schemas.openxmlformats.org/officeDocument/2006/relationships/hyperlink" Target="https://stardewvalleywiki.com/Large_Milk" TargetMode="External"/><Relationship Id="rId132" Type="http://schemas.openxmlformats.org/officeDocument/2006/relationships/hyperlink" Target="https://stardewvalleywiki.com/Tailoring" TargetMode="External"/><Relationship Id="rId253" Type="http://schemas.openxmlformats.org/officeDocument/2006/relationships/hyperlink" Target="https://stardewvalleywiki.com/Strange_Doll_(yellow)" TargetMode="External"/><Relationship Id="rId374" Type="http://schemas.openxmlformats.org/officeDocument/2006/relationships/hyperlink" Target="https://stardewvalleywiki.com/Haunted_Skull" TargetMode="External"/><Relationship Id="rId131" Type="http://schemas.openxmlformats.org/officeDocument/2006/relationships/hyperlink" Target="https://stardewvalleywiki.com/Hair_Bone" TargetMode="External"/><Relationship Id="rId252" Type="http://schemas.openxmlformats.org/officeDocument/2006/relationships/hyperlink" Target="https://stardewvalleywiki.com/Bone_Flute" TargetMode="External"/><Relationship Id="rId373" Type="http://schemas.openxmlformats.org/officeDocument/2006/relationships/hyperlink" Target="https://stardewvalleywiki.com/Radish_Salad" TargetMode="External"/><Relationship Id="rId130" Type="http://schemas.openxmlformats.org/officeDocument/2006/relationships/hyperlink" Target="https://stardewvalleywiki.com/Adventurer%27s_Guild" TargetMode="External"/><Relationship Id="rId251" Type="http://schemas.openxmlformats.org/officeDocument/2006/relationships/hyperlink" Target="https://stardewvalleywiki.com/Frozen_Geode" TargetMode="External"/><Relationship Id="rId372" Type="http://schemas.openxmlformats.org/officeDocument/2006/relationships/hyperlink" Target="https://stardewvalleywiki.com/Shrimp_Cocktail" TargetMode="External"/><Relationship Id="rId250" Type="http://schemas.openxmlformats.org/officeDocument/2006/relationships/hyperlink" Target="https://stardewvalleywiki.com/Octopus" TargetMode="External"/><Relationship Id="rId371" Type="http://schemas.openxmlformats.org/officeDocument/2006/relationships/hyperlink" Target="https://stardewvalleywiki.com/Plum_Pudding" TargetMode="External"/><Relationship Id="rId136" Type="http://schemas.openxmlformats.org/officeDocument/2006/relationships/hyperlink" Target="https://stardewvalleywiki.com/Luau" TargetMode="External"/><Relationship Id="rId257" Type="http://schemas.openxmlformats.org/officeDocument/2006/relationships/hyperlink" Target="https://stardewvalleywiki.com/Hazelnut" TargetMode="External"/><Relationship Id="rId378" Type="http://schemas.openxmlformats.org/officeDocument/2006/relationships/hyperlink" Target="https://stardewvalleywiki.com/Emerald" TargetMode="External"/><Relationship Id="rId135" Type="http://schemas.openxmlformats.org/officeDocument/2006/relationships/hyperlink" Target="https://stardewvalleywiki.com/Governor%27s_Hat" TargetMode="External"/><Relationship Id="rId256" Type="http://schemas.openxmlformats.org/officeDocument/2006/relationships/hyperlink" Target="https://stardewvalleywiki.com/Mudstone" TargetMode="External"/><Relationship Id="rId377" Type="http://schemas.openxmlformats.org/officeDocument/2006/relationships/hyperlink" Target="https://stardewvalleywiki.com/Prehistoric_Skull" TargetMode="External"/><Relationship Id="rId134" Type="http://schemas.openxmlformats.org/officeDocument/2006/relationships/hyperlink" Target="https://stardewvalleywiki.com/Desert_Trader" TargetMode="External"/><Relationship Id="rId255" Type="http://schemas.openxmlformats.org/officeDocument/2006/relationships/hyperlink" Target="https://stardewvalleywiki.com/Ornamental_Fan" TargetMode="External"/><Relationship Id="rId376" Type="http://schemas.openxmlformats.org/officeDocument/2006/relationships/hyperlink" Target="https://stardewvalleywiki.com/Haunted_Skull" TargetMode="External"/><Relationship Id="rId133" Type="http://schemas.openxmlformats.org/officeDocument/2006/relationships/hyperlink" Target="https://stardewvalleywiki.com/Green_Turban" TargetMode="External"/><Relationship Id="rId254" Type="http://schemas.openxmlformats.org/officeDocument/2006/relationships/hyperlink" Target="https://stardewvalleywiki.com/Bomb" TargetMode="External"/><Relationship Id="rId375" Type="http://schemas.openxmlformats.org/officeDocument/2006/relationships/hyperlink" Target="https://stardewvalleywiki.com/Bone_Fragment" TargetMode="External"/><Relationship Id="rId172" Type="http://schemas.openxmlformats.org/officeDocument/2006/relationships/hyperlink" Target="https://stardewvalleywiki.com/Elegant_Turban" TargetMode="External"/><Relationship Id="rId293" Type="http://schemas.openxmlformats.org/officeDocument/2006/relationships/hyperlink" Target="https://stardewvalleywiki.com/Fried_Egg" TargetMode="External"/><Relationship Id="rId171" Type="http://schemas.openxmlformats.org/officeDocument/2006/relationships/hyperlink" Target="https://stardewvalleywiki.com/Emily" TargetMode="External"/><Relationship Id="rId292" Type="http://schemas.openxmlformats.org/officeDocument/2006/relationships/hyperlink" Target="https://stardewvalleywiki.com/Chicken_Statue" TargetMode="External"/><Relationship Id="rId170" Type="http://schemas.openxmlformats.org/officeDocument/2006/relationships/hyperlink" Target="https://stardewvalleywiki.com/Emily%27s_Magic_Hat" TargetMode="External"/><Relationship Id="rId291" Type="http://schemas.openxmlformats.org/officeDocument/2006/relationships/hyperlink" Target="https://stardewvalleywiki.com/Coffee_Bean" TargetMode="External"/><Relationship Id="rId290" Type="http://schemas.openxmlformats.org/officeDocument/2006/relationships/hyperlink" Target="https://stardewvalleywiki.com/Spicy_Eel" TargetMode="External"/><Relationship Id="rId165" Type="http://schemas.openxmlformats.org/officeDocument/2006/relationships/hyperlink" Target="https://stardewvalleywiki.com/Stardew_Valley_Fair" TargetMode="External"/><Relationship Id="rId286" Type="http://schemas.openxmlformats.org/officeDocument/2006/relationships/hyperlink" Target="https://stardewvalleywiki.com/Salmon" TargetMode="External"/><Relationship Id="rId164" Type="http://schemas.openxmlformats.org/officeDocument/2006/relationships/hyperlink" Target="https://stardewvalleywiki.com/Fedora" TargetMode="External"/><Relationship Id="rId285" Type="http://schemas.openxmlformats.org/officeDocument/2006/relationships/hyperlink" Target="https://stardewvalleywiki.com/Ancient_Doll" TargetMode="External"/><Relationship Id="rId163" Type="http://schemas.openxmlformats.org/officeDocument/2006/relationships/hyperlink" Target="https://stardewvalleywiki.com/Tailoring" TargetMode="External"/><Relationship Id="rId284" Type="http://schemas.openxmlformats.org/officeDocument/2006/relationships/hyperlink" Target="https://stardewvalleywiki.com/Maple_Bar" TargetMode="External"/><Relationship Id="rId162" Type="http://schemas.openxmlformats.org/officeDocument/2006/relationships/hyperlink" Target="https://stardewvalleywiki.com/Fishing_Hat" TargetMode="External"/><Relationship Id="rId283" Type="http://schemas.openxmlformats.org/officeDocument/2006/relationships/hyperlink" Target="https://stardewvalleywiki.com/Field_Snack" TargetMode="External"/><Relationship Id="rId169" Type="http://schemas.openxmlformats.org/officeDocument/2006/relationships/hyperlink" Target="https://stardewvalleywiki.com/Fish" TargetMode="External"/><Relationship Id="rId168" Type="http://schemas.openxmlformats.org/officeDocument/2006/relationships/hyperlink" Target="https://stardewvalleywiki.com/Eye_Patch" TargetMode="External"/><Relationship Id="rId289" Type="http://schemas.openxmlformats.org/officeDocument/2006/relationships/hyperlink" Target="https://stardewvalleywiki.com/Bream" TargetMode="External"/><Relationship Id="rId167" Type="http://schemas.openxmlformats.org/officeDocument/2006/relationships/hyperlink" Target="https://stardewvalleywiki.com/Tailoring" TargetMode="External"/><Relationship Id="rId288" Type="http://schemas.openxmlformats.org/officeDocument/2006/relationships/hyperlink" Target="https://stardewvalleywiki.com/Holly" TargetMode="External"/><Relationship Id="rId166" Type="http://schemas.openxmlformats.org/officeDocument/2006/relationships/hyperlink" Target="https://stardewvalleywiki.com/Fashion_Hat" TargetMode="External"/><Relationship Id="rId287" Type="http://schemas.openxmlformats.org/officeDocument/2006/relationships/hyperlink" Target="https://stardewvalleywiki.com/Harvey%27s_Clinic" TargetMode="External"/><Relationship Id="rId161" Type="http://schemas.openxmlformats.org/officeDocument/2006/relationships/hyperlink" Target="https://stardewvalleywiki.com/Tailoring" TargetMode="External"/><Relationship Id="rId282" Type="http://schemas.openxmlformats.org/officeDocument/2006/relationships/hyperlink" Target="https://stardewvalleywiki.com/Wilted_Bouquet" TargetMode="External"/><Relationship Id="rId160" Type="http://schemas.openxmlformats.org/officeDocument/2006/relationships/hyperlink" Target="https://stardewvalleywiki.com/Flat_Topped_Hat" TargetMode="External"/><Relationship Id="rId281" Type="http://schemas.openxmlformats.org/officeDocument/2006/relationships/hyperlink" Target="https://stardewvalleywiki.com/Tigerseye" TargetMode="External"/><Relationship Id="rId280" Type="http://schemas.openxmlformats.org/officeDocument/2006/relationships/hyperlink" Target="https://stardewvalleywiki.com/Bat_Wing" TargetMode="External"/><Relationship Id="rId159" Type="http://schemas.openxmlformats.org/officeDocument/2006/relationships/hyperlink" Target="https://stardewvalleywiki.com/Tailoring" TargetMode="External"/><Relationship Id="rId154" Type="http://schemas.openxmlformats.org/officeDocument/2006/relationships/hyperlink" Target="https://stardewvalleywiki.com/Frog_Hat" TargetMode="External"/><Relationship Id="rId275" Type="http://schemas.openxmlformats.org/officeDocument/2006/relationships/hyperlink" Target="https://stardewvalleywiki.com/Haunted_Skull" TargetMode="External"/><Relationship Id="rId396" Type="http://schemas.openxmlformats.org/officeDocument/2006/relationships/hyperlink" Target="https://stardewvalleywiki.com/Marble" TargetMode="External"/><Relationship Id="rId153" Type="http://schemas.openxmlformats.org/officeDocument/2006/relationships/hyperlink" Target="https://stardewvalleywiki.com/Garbage_Can" TargetMode="External"/><Relationship Id="rId274" Type="http://schemas.openxmlformats.org/officeDocument/2006/relationships/hyperlink" Target="https://stardewvalleywiki.com/Amaranth" TargetMode="External"/><Relationship Id="rId395" Type="http://schemas.openxmlformats.org/officeDocument/2006/relationships/hyperlink" Target="https://stardewvalleywiki.com/Cheese_Cauliflower" TargetMode="External"/><Relationship Id="rId152" Type="http://schemas.openxmlformats.org/officeDocument/2006/relationships/hyperlink" Target="https://stardewvalleywiki.com/Garbage_Hat" TargetMode="External"/><Relationship Id="rId273" Type="http://schemas.openxmlformats.org/officeDocument/2006/relationships/hyperlink" Target="https://stardewvalleywiki.com/Wheat" TargetMode="External"/><Relationship Id="rId394" Type="http://schemas.openxmlformats.org/officeDocument/2006/relationships/hyperlink" Target="https://stardewvalleywiki.com/Green_Tea" TargetMode="External"/><Relationship Id="rId151" Type="http://schemas.openxmlformats.org/officeDocument/2006/relationships/hyperlink" Target="https://stardewvalleywiki.com/Desert_Festival" TargetMode="External"/><Relationship Id="rId272" Type="http://schemas.openxmlformats.org/officeDocument/2006/relationships/hyperlink" Target="https://stardewvalleywiki.com/Crab_Cakes" TargetMode="External"/><Relationship Id="rId393" Type="http://schemas.openxmlformats.org/officeDocument/2006/relationships/hyperlink" Target="https://stardewvalleywiki.com/Radish" TargetMode="External"/><Relationship Id="rId158" Type="http://schemas.openxmlformats.org/officeDocument/2006/relationships/hyperlink" Target="https://stardewvalleywiki.com/Floppy_Beanie" TargetMode="External"/><Relationship Id="rId279" Type="http://schemas.openxmlformats.org/officeDocument/2006/relationships/hyperlink" Target="https://stardewvalleywiki.com/Frozen_Tear" TargetMode="External"/><Relationship Id="rId157" Type="http://schemas.openxmlformats.org/officeDocument/2006/relationships/hyperlink" Target="https://stardewvalleywiki.com/Tailoring" TargetMode="External"/><Relationship Id="rId278" Type="http://schemas.openxmlformats.org/officeDocument/2006/relationships/hyperlink" Target="https://stardewvalleywiki.com/Life_Elixir" TargetMode="External"/><Relationship Id="rId399" Type="http://schemas.openxmlformats.org/officeDocument/2006/relationships/hyperlink" Target="https://stardewvalleywiki.com/Pancakes" TargetMode="External"/><Relationship Id="rId156" Type="http://schemas.openxmlformats.org/officeDocument/2006/relationships/hyperlink" Target="https://stardewvalleywiki.com/Forager%27s_Hat" TargetMode="External"/><Relationship Id="rId277" Type="http://schemas.openxmlformats.org/officeDocument/2006/relationships/hyperlink" Target="https://stardewvalleywiki.com/Haunted_Skull" TargetMode="External"/><Relationship Id="rId398" Type="http://schemas.openxmlformats.org/officeDocument/2006/relationships/hyperlink" Target="https://stardewvalleywiki.com/Tortilla" TargetMode="External"/><Relationship Id="rId155" Type="http://schemas.openxmlformats.org/officeDocument/2006/relationships/hyperlink" Target="https://stardewvalleywiki.com/Fishing" TargetMode="External"/><Relationship Id="rId276" Type="http://schemas.openxmlformats.org/officeDocument/2006/relationships/hyperlink" Target="https://stardewvalleywiki.com/Truffle" TargetMode="External"/><Relationship Id="rId397" Type="http://schemas.openxmlformats.org/officeDocument/2006/relationships/hyperlink" Target="https://stardewvalleywiki.com/Tomato" TargetMode="External"/><Relationship Id="rId40" Type="http://schemas.openxmlformats.org/officeDocument/2006/relationships/hyperlink" Target="https://stardewvalleywiki.com/SquidFest" TargetMode="External"/><Relationship Id="rId42" Type="http://schemas.openxmlformats.org/officeDocument/2006/relationships/hyperlink" Target="https://stardewvalleywiki.com/Tailoring" TargetMode="External"/><Relationship Id="rId41" Type="http://schemas.openxmlformats.org/officeDocument/2006/relationships/hyperlink" Target="https://stardewvalleywiki.com/Spotted_Headscarf" TargetMode="External"/><Relationship Id="rId44" Type="http://schemas.openxmlformats.org/officeDocument/2006/relationships/hyperlink" Target="https://stardewvalleywiki.com/Mayor%27s_Manor" TargetMode="External"/><Relationship Id="rId43" Type="http://schemas.openxmlformats.org/officeDocument/2006/relationships/hyperlink" Target="https://stardewvalleywiki.com/Sports_Cap" TargetMode="External"/><Relationship Id="rId46" Type="http://schemas.openxmlformats.org/officeDocument/2006/relationships/hyperlink" Target="https://stardewvalleywiki.com/The_Mines" TargetMode="External"/><Relationship Id="rId45" Type="http://schemas.openxmlformats.org/officeDocument/2006/relationships/hyperlink" Target="https://stardewvalleywiki.com/Space_Helmet" TargetMode="External"/><Relationship Id="rId48" Type="http://schemas.openxmlformats.org/officeDocument/2006/relationships/hyperlink" Target="https://stardewvalleywiki.com/Fish" TargetMode="External"/><Relationship Id="rId47" Type="http://schemas.openxmlformats.org/officeDocument/2006/relationships/hyperlink" Target="https://stardewvalleywiki.com/Sou%27wester" TargetMode="External"/><Relationship Id="rId49" Type="http://schemas.openxmlformats.org/officeDocument/2006/relationships/hyperlink" Target="https://stardewvalleywiki.com/Sombrero" TargetMode="External"/><Relationship Id="rId31" Type="http://schemas.openxmlformats.org/officeDocument/2006/relationships/hyperlink" Target="https://stardewvalleywiki.com/Tailoring" TargetMode="External"/><Relationship Id="rId30" Type="http://schemas.openxmlformats.org/officeDocument/2006/relationships/hyperlink" Target="https://stardewvalleywiki.com/Sunglasses" TargetMode="External"/><Relationship Id="rId33" Type="http://schemas.openxmlformats.org/officeDocument/2006/relationships/hyperlink" Target="https://stardewvalleywiki.com/Egg_Festival" TargetMode="External"/><Relationship Id="rId32" Type="http://schemas.openxmlformats.org/officeDocument/2006/relationships/hyperlink" Target="https://stardewvalleywiki.com/Straw_Hat" TargetMode="External"/><Relationship Id="rId35" Type="http://schemas.openxmlformats.org/officeDocument/2006/relationships/hyperlink" Target="https://stardewvalleywiki.com/Pans" TargetMode="External"/><Relationship Id="rId34" Type="http://schemas.openxmlformats.org/officeDocument/2006/relationships/hyperlink" Target="https://stardewvalleywiki.com/Steel_Pan_(hat)" TargetMode="External"/><Relationship Id="rId37" Type="http://schemas.openxmlformats.org/officeDocument/2006/relationships/hyperlink" Target="https://stardewvalleywiki.com/Squire%27s_Helmet" TargetMode="External"/><Relationship Id="rId36" Type="http://schemas.openxmlformats.org/officeDocument/2006/relationships/hyperlink" Target="https://stardewvalleywiki.com/Tailoring" TargetMode="External"/><Relationship Id="rId39" Type="http://schemas.openxmlformats.org/officeDocument/2006/relationships/hyperlink" Target="https://stardewvalleywiki.com/Squid_Hat" TargetMode="External"/><Relationship Id="rId38" Type="http://schemas.openxmlformats.org/officeDocument/2006/relationships/hyperlink" Target="https://stardewvalleywiki.com/Metal_Head" TargetMode="External"/><Relationship Id="rId20" Type="http://schemas.openxmlformats.org/officeDocument/2006/relationships/hyperlink" Target="https://stardewvalleywiki.com/Totem_Mask" TargetMode="External"/><Relationship Id="rId22" Type="http://schemas.openxmlformats.org/officeDocument/2006/relationships/hyperlink" Target="https://stardewvalleywiki.com/Top_Hat" TargetMode="External"/><Relationship Id="rId21" Type="http://schemas.openxmlformats.org/officeDocument/2006/relationships/hyperlink" Target="https://stardewvalleywiki.com/Tailoring" TargetMode="External"/><Relationship Id="rId24" Type="http://schemas.openxmlformats.org/officeDocument/2006/relationships/hyperlink" Target="https://stardewvalleywiki.com/Tiger_Hat" TargetMode="External"/><Relationship Id="rId23" Type="http://schemas.openxmlformats.org/officeDocument/2006/relationships/hyperlink" Target="https://stardewvalleywiki.com/Casino" TargetMode="External"/><Relationship Id="rId409" Type="http://schemas.openxmlformats.org/officeDocument/2006/relationships/hyperlink" Target="https://stardewvalleywiki.com/Poppyseed_Muffin" TargetMode="External"/><Relationship Id="rId404" Type="http://schemas.openxmlformats.org/officeDocument/2006/relationships/hyperlink" Target="https://stardewvalleywiki.com/Pepper_Poppers" TargetMode="External"/><Relationship Id="rId403" Type="http://schemas.openxmlformats.org/officeDocument/2006/relationships/hyperlink" Target="https://stardewvalleywiki.com/Sea_Cucumber" TargetMode="External"/><Relationship Id="rId402" Type="http://schemas.openxmlformats.org/officeDocument/2006/relationships/hyperlink" Target="https://stardewvalleywiki.com/Tropical_Curry" TargetMode="External"/><Relationship Id="rId401" Type="http://schemas.openxmlformats.org/officeDocument/2006/relationships/hyperlink" Target="https://stardewvalleywiki.com/Artifact_Trove" TargetMode="External"/><Relationship Id="rId408" Type="http://schemas.openxmlformats.org/officeDocument/2006/relationships/hyperlink" Target="https://stardewvalleywiki.com/Wheat_Flour" TargetMode="External"/><Relationship Id="rId407" Type="http://schemas.openxmlformats.org/officeDocument/2006/relationships/hyperlink" Target="https://stardewvalleywiki.com/Hematite" TargetMode="External"/><Relationship Id="rId406" Type="http://schemas.openxmlformats.org/officeDocument/2006/relationships/hyperlink" Target="https://stardewvalleywiki.com/Coconut" TargetMode="External"/><Relationship Id="rId405" Type="http://schemas.openxmlformats.org/officeDocument/2006/relationships/hyperlink" Target="https://stardewvalleywiki.com/Copper_Ore" TargetMode="External"/><Relationship Id="rId26" Type="http://schemas.openxmlformats.org/officeDocument/2006/relationships/hyperlink" Target="https://stardewvalleywiki.com/Tiara" TargetMode="External"/><Relationship Id="rId25" Type="http://schemas.openxmlformats.org/officeDocument/2006/relationships/hyperlink" Target="https://stardewvalleywiki.com/Slimes" TargetMode="External"/><Relationship Id="rId28" Type="http://schemas.openxmlformats.org/officeDocument/2006/relationships/hyperlink" Target="https://stardewvalleywiki.com/Swashbuckler_Hat" TargetMode="External"/><Relationship Id="rId27" Type="http://schemas.openxmlformats.org/officeDocument/2006/relationships/hyperlink" Target="https://stardewvalleywiki.com/Friendship" TargetMode="External"/><Relationship Id="rId400" Type="http://schemas.openxmlformats.org/officeDocument/2006/relationships/hyperlink" Target="https://stardewvalleywiki.com/Broken_CD" TargetMode="External"/><Relationship Id="rId29" Type="http://schemas.openxmlformats.org/officeDocument/2006/relationships/hyperlink" Target="https://stardewvalleywiki.com/Tailoring" TargetMode="External"/><Relationship Id="rId11" Type="http://schemas.openxmlformats.org/officeDocument/2006/relationships/hyperlink" Target="https://stardewvalleywiki.com/Watermelon_Band" TargetMode="External"/><Relationship Id="rId10" Type="http://schemas.openxmlformats.org/officeDocument/2006/relationships/hyperlink" Target="https://stardewvalleywiki.com/Tailoring" TargetMode="External"/><Relationship Id="rId13" Type="http://schemas.openxmlformats.org/officeDocument/2006/relationships/hyperlink" Target="https://stardewvalleywiki.com/Warrior_Helmet" TargetMode="External"/><Relationship Id="rId12" Type="http://schemas.openxmlformats.org/officeDocument/2006/relationships/hyperlink" Target="https://stardewvalleywiki.com/Fish" TargetMode="External"/><Relationship Id="rId15" Type="http://schemas.openxmlformats.org/officeDocument/2006/relationships/hyperlink" Target="https://stardewvalleywiki.com/Trucker_Hat" TargetMode="External"/><Relationship Id="rId14" Type="http://schemas.openxmlformats.org/officeDocument/2006/relationships/hyperlink" Target="https://stardewvalleywiki.com/Tailoring" TargetMode="External"/><Relationship Id="rId17" Type="http://schemas.openxmlformats.org/officeDocument/2006/relationships/hyperlink" Target="https://stardewvalleywiki.com/Tropiclip" TargetMode="External"/><Relationship Id="rId16" Type="http://schemas.openxmlformats.org/officeDocument/2006/relationships/hyperlink" Target="https://stardewvalleywiki.com/Crafting" TargetMode="External"/><Relationship Id="rId19" Type="http://schemas.openxmlformats.org/officeDocument/2006/relationships/hyperlink" Target="https://stardewvalleywiki.com/Desert_Festival" TargetMode="External"/><Relationship Id="rId18" Type="http://schemas.openxmlformats.org/officeDocument/2006/relationships/hyperlink" Target="https://stardewvalleywiki.com/Tricorn_Hat" TargetMode="External"/><Relationship Id="rId84" Type="http://schemas.openxmlformats.org/officeDocument/2006/relationships/hyperlink" Target="https://stardewvalleywiki.com/Tailoring" TargetMode="External"/><Relationship Id="rId83" Type="http://schemas.openxmlformats.org/officeDocument/2006/relationships/hyperlink" Target="https://stardewvalleywiki.com/Party_Hat_(green)" TargetMode="External"/><Relationship Id="rId86" Type="http://schemas.openxmlformats.org/officeDocument/2006/relationships/hyperlink" Target="https://stardewvalleywiki.com/Ginger_Island" TargetMode="External"/><Relationship Id="rId85" Type="http://schemas.openxmlformats.org/officeDocument/2006/relationships/hyperlink" Target="https://stardewvalleywiki.com/Paper_Hat" TargetMode="External"/><Relationship Id="rId88" Type="http://schemas.openxmlformats.org/officeDocument/2006/relationships/hyperlink" Target="https://stardewvalleywiki.com/Hats" TargetMode="External"/><Relationship Id="rId87" Type="http://schemas.openxmlformats.org/officeDocument/2006/relationships/hyperlink" Target="https://stardewvalleywiki.com/Panda_Hat" TargetMode="External"/><Relationship Id="rId89" Type="http://schemas.openxmlformats.org/officeDocument/2006/relationships/hyperlink" Target="https://stardewvalleywiki.com/Pageboy_Cap" TargetMode="External"/><Relationship Id="rId80" Type="http://schemas.openxmlformats.org/officeDocument/2006/relationships/hyperlink" Target="https://stardewvalleywiki.com/Tailoring" TargetMode="External"/><Relationship Id="rId82" Type="http://schemas.openxmlformats.org/officeDocument/2006/relationships/hyperlink" Target="https://stardewvalleywiki.com/Tailoring" TargetMode="External"/><Relationship Id="rId81" Type="http://schemas.openxmlformats.org/officeDocument/2006/relationships/hyperlink" Target="https://stardewvalleywiki.com/Party_Hat_(blue)" TargetMode="External"/><Relationship Id="rId73" Type="http://schemas.openxmlformats.org/officeDocument/2006/relationships/hyperlink" Target="https://stardewvalleywiki.com/Plum_Chapeau" TargetMode="External"/><Relationship Id="rId72" Type="http://schemas.openxmlformats.org/officeDocument/2006/relationships/hyperlink" Target="https://stardewvalleywiki.com/Quests" TargetMode="External"/><Relationship Id="rId75" Type="http://schemas.openxmlformats.org/officeDocument/2006/relationships/hyperlink" Target="https://stardewvalleywiki.com/Pirate_Hat" TargetMode="External"/><Relationship Id="rId74" Type="http://schemas.openxmlformats.org/officeDocument/2006/relationships/hyperlink" Target="https://stardewvalleywiki.com/Cooking" TargetMode="External"/><Relationship Id="rId77" Type="http://schemas.openxmlformats.org/officeDocument/2006/relationships/hyperlink" Target="https://stardewvalleywiki.com/Pink_Bow" TargetMode="External"/><Relationship Id="rId76" Type="http://schemas.openxmlformats.org/officeDocument/2006/relationships/hyperlink" Target="https://stardewvalleywiki.com/Tailoring" TargetMode="External"/><Relationship Id="rId79" Type="http://schemas.openxmlformats.org/officeDocument/2006/relationships/hyperlink" Target="https://stardewvalleywiki.com/Party_Hat_(red)" TargetMode="External"/><Relationship Id="rId78" Type="http://schemas.openxmlformats.org/officeDocument/2006/relationships/hyperlink" Target="https://stardewvalleywiki.com/Volcano_Dungeon" TargetMode="External"/><Relationship Id="rId71" Type="http://schemas.openxmlformats.org/officeDocument/2006/relationships/hyperlink" Target="https://stardewvalleywiki.com/Polka_Bow" TargetMode="External"/><Relationship Id="rId70" Type="http://schemas.openxmlformats.org/officeDocument/2006/relationships/hyperlink" Target="https://stardewvalleywiki.com/Tailoring" TargetMode="External"/><Relationship Id="rId62" Type="http://schemas.openxmlformats.org/officeDocument/2006/relationships/hyperlink" Target="https://stardewvalleywiki.com/Tailoring" TargetMode="External"/><Relationship Id="rId61" Type="http://schemas.openxmlformats.org/officeDocument/2006/relationships/hyperlink" Target="https://stardewvalleywiki.com/Radioactive_Goggles" TargetMode="External"/><Relationship Id="rId64" Type="http://schemas.openxmlformats.org/officeDocument/2006/relationships/hyperlink" Target="https://stardewvalleywiki.com/Giant_Stump" TargetMode="External"/><Relationship Id="rId63" Type="http://schemas.openxmlformats.org/officeDocument/2006/relationships/hyperlink" Target="https://stardewvalleywiki.com/Raccoon_Hat" TargetMode="External"/><Relationship Id="rId66" Type="http://schemas.openxmlformats.org/officeDocument/2006/relationships/hyperlink" Target="https://stardewvalleywiki.com/Tailoring" TargetMode="External"/><Relationship Id="rId65" Type="http://schemas.openxmlformats.org/officeDocument/2006/relationships/hyperlink" Target="https://stardewvalleywiki.com/Qi_Mask" TargetMode="External"/><Relationship Id="rId68" Type="http://schemas.openxmlformats.org/officeDocument/2006/relationships/hyperlink" Target="https://stardewvalleywiki.com/Tailoring" TargetMode="External"/><Relationship Id="rId67" Type="http://schemas.openxmlformats.org/officeDocument/2006/relationships/hyperlink" Target="https://stardewvalleywiki.com/Pumpkin_Mask" TargetMode="External"/><Relationship Id="rId60" Type="http://schemas.openxmlformats.org/officeDocument/2006/relationships/hyperlink" Target="https://stardewvalleywiki.com/Skull_Cavern" TargetMode="External"/><Relationship Id="rId69" Type="http://schemas.openxmlformats.org/officeDocument/2006/relationships/hyperlink" Target="https://stardewvalleywiki.com/Propeller_Hat" TargetMode="External"/><Relationship Id="rId51" Type="http://schemas.openxmlformats.org/officeDocument/2006/relationships/hyperlink" Target="https://stardewvalleywiki.com/Island_Trader" TargetMode="External"/><Relationship Id="rId50" Type="http://schemas.openxmlformats.org/officeDocument/2006/relationships/hyperlink" Target="https://stardewvalleywiki.com/Small_Cap" TargetMode="External"/><Relationship Id="rId53" Type="http://schemas.openxmlformats.org/officeDocument/2006/relationships/hyperlink" Target="https://stardewvalleywiki.com/Adventurer%27s_Guild" TargetMode="External"/><Relationship Id="rId52" Type="http://schemas.openxmlformats.org/officeDocument/2006/relationships/hyperlink" Target="https://stardewvalleywiki.com/Skeleton_Mask" TargetMode="External"/><Relationship Id="rId55" Type="http://schemas.openxmlformats.org/officeDocument/2006/relationships/hyperlink" Target="https://stardewvalleywiki.com/Sailor%27s_Cap" TargetMode="External"/><Relationship Id="rId54" Type="http://schemas.openxmlformats.org/officeDocument/2006/relationships/hyperlink" Target="https://stardewvalleywiki.com/Friendship" TargetMode="External"/><Relationship Id="rId57" Type="http://schemas.openxmlformats.org/officeDocument/2006/relationships/hyperlink" Target="https://stardewvalleywiki.com/Red_Fez" TargetMode="External"/><Relationship Id="rId56" Type="http://schemas.openxmlformats.org/officeDocument/2006/relationships/hyperlink" Target="https://stardewvalleywiki.com/Festival_of_Ice" TargetMode="External"/><Relationship Id="rId59" Type="http://schemas.openxmlformats.org/officeDocument/2006/relationships/hyperlink" Target="https://stardewvalleywiki.com/Red_Cowboy_Hat" TargetMode="External"/><Relationship Id="rId58" Type="http://schemas.openxmlformats.org/officeDocument/2006/relationships/hyperlink" Target="https://stardewvalleywiki.com/Traveling_Cart" TargetMode="External"/><Relationship Id="rId107" Type="http://schemas.openxmlformats.org/officeDocument/2006/relationships/hyperlink" Target="https://stardewvalleywiki.com/Lucky_Bow" TargetMode="External"/><Relationship Id="rId228" Type="http://schemas.openxmlformats.org/officeDocument/2006/relationships/hyperlink" Target="https://stardewvalleywiki.com/Tailoring" TargetMode="External"/><Relationship Id="rId349" Type="http://schemas.openxmlformats.org/officeDocument/2006/relationships/hyperlink" Target="https://stardewvalleywiki.com/Egg" TargetMode="External"/><Relationship Id="rId106" Type="http://schemas.openxmlformats.org/officeDocument/2006/relationships/hyperlink" Target="https://stardewvalleywiki.com/Desert_Trader" TargetMode="External"/><Relationship Id="rId227" Type="http://schemas.openxmlformats.org/officeDocument/2006/relationships/hyperlink" Target="https://stardewvalleywiki.com/Beanie" TargetMode="External"/><Relationship Id="rId348" Type="http://schemas.openxmlformats.org/officeDocument/2006/relationships/hyperlink" Target="https://stardewvalleywiki.com/Bug_Meat" TargetMode="External"/><Relationship Id="rId105" Type="http://schemas.openxmlformats.org/officeDocument/2006/relationships/hyperlink" Target="https://stardewvalleywiki.com/Magic_Cowboy_Hat" TargetMode="External"/><Relationship Id="rId226" Type="http://schemas.openxmlformats.org/officeDocument/2006/relationships/hyperlink" Target="https://stardewvalleywiki.com/Tailoring" TargetMode="External"/><Relationship Id="rId347" Type="http://schemas.openxmlformats.org/officeDocument/2006/relationships/hyperlink" Target="https://stardewvalleywiki.com/Chanterelle" TargetMode="External"/><Relationship Id="rId104" Type="http://schemas.openxmlformats.org/officeDocument/2006/relationships/hyperlink" Target="https://stardewvalleywiki.com/Desert_Trader" TargetMode="External"/><Relationship Id="rId225" Type="http://schemas.openxmlformats.org/officeDocument/2006/relationships/hyperlink" Target="https://stardewvalleywiki.com/Blobfish_Mask" TargetMode="External"/><Relationship Id="rId346" Type="http://schemas.openxmlformats.org/officeDocument/2006/relationships/hyperlink" Target="https://stardewvalleywiki.com/Vinegar" TargetMode="External"/><Relationship Id="rId109" Type="http://schemas.openxmlformats.org/officeDocument/2006/relationships/hyperlink" Target="https://stardewvalleywiki.com/Tailoring" TargetMode="External"/><Relationship Id="rId108" Type="http://schemas.openxmlformats.org/officeDocument/2006/relationships/hyperlink" Target="https://stardewvalleywiki.com/Logo_Cap" TargetMode="External"/><Relationship Id="rId229" Type="http://schemas.openxmlformats.org/officeDocument/2006/relationships/hyperlink" Target="https://stardewvalleywiki.com/Archer%27s_Cap" TargetMode="External"/><Relationship Id="rId220" Type="http://schemas.openxmlformats.org/officeDocument/2006/relationships/hyperlink" Target="https://stardewvalleywiki.com/Skull_Cavern" TargetMode="External"/><Relationship Id="rId341" Type="http://schemas.openxmlformats.org/officeDocument/2006/relationships/hyperlink" Target="https://stardewvalleywiki.com/Ocean_Stone" TargetMode="External"/><Relationship Id="rId340" Type="http://schemas.openxmlformats.org/officeDocument/2006/relationships/hyperlink" Target="https://stardewvalleywiki.com/Tom_Kha_Soup" TargetMode="External"/><Relationship Id="rId103" Type="http://schemas.openxmlformats.org/officeDocument/2006/relationships/hyperlink" Target="https://stardewvalleywiki.com/Magic_Turban" TargetMode="External"/><Relationship Id="rId224" Type="http://schemas.openxmlformats.org/officeDocument/2006/relationships/hyperlink" Target="https://stardewvalleywiki.com/Museum" TargetMode="External"/><Relationship Id="rId345" Type="http://schemas.openxmlformats.org/officeDocument/2006/relationships/hyperlink" Target="https://stardewvalleywiki.com/Winter_Root" TargetMode="External"/><Relationship Id="rId102" Type="http://schemas.openxmlformats.org/officeDocument/2006/relationships/hyperlink" Target="https://stardewvalleywiki.com/Friendship" TargetMode="External"/><Relationship Id="rId223" Type="http://schemas.openxmlformats.org/officeDocument/2006/relationships/hyperlink" Target="https://stardewvalleywiki.com/Blue_Bonnet" TargetMode="External"/><Relationship Id="rId344" Type="http://schemas.openxmlformats.org/officeDocument/2006/relationships/hyperlink" Target="https://stardewvalleywiki.com/Omni_Geode" TargetMode="External"/><Relationship Id="rId101" Type="http://schemas.openxmlformats.org/officeDocument/2006/relationships/hyperlink" Target="https://stardewvalleywiki.com/Mouse_Ears" TargetMode="External"/><Relationship Id="rId222" Type="http://schemas.openxmlformats.org/officeDocument/2006/relationships/hyperlink" Target="https://stardewvalleywiki.com/Desert_Festival" TargetMode="External"/><Relationship Id="rId343" Type="http://schemas.openxmlformats.org/officeDocument/2006/relationships/hyperlink" Target="https://stardewvalleywiki.com/Oil" TargetMode="External"/><Relationship Id="rId100" Type="http://schemas.openxmlformats.org/officeDocument/2006/relationships/hyperlink" Target="https://stardewvalleywiki.com/Qi%27s_Walnut_Room" TargetMode="External"/><Relationship Id="rId221" Type="http://schemas.openxmlformats.org/officeDocument/2006/relationships/hyperlink" Target="https://stardewvalleywiki.com/Blue_Bow" TargetMode="External"/><Relationship Id="rId342" Type="http://schemas.openxmlformats.org/officeDocument/2006/relationships/hyperlink" Target="https://stardewvalleywiki.com/Glass_Shards" TargetMode="External"/><Relationship Id="rId217" Type="http://schemas.openxmlformats.org/officeDocument/2006/relationships/hyperlink" Target="https://stardewvalleywiki.com/Blue_Ribbon" TargetMode="External"/><Relationship Id="rId338" Type="http://schemas.openxmlformats.org/officeDocument/2006/relationships/hyperlink" Target="https://stardewvalleywiki.com/Morel" TargetMode="External"/><Relationship Id="rId216" Type="http://schemas.openxmlformats.org/officeDocument/2006/relationships/hyperlink" Target="https://stardewvalleywiki.com/Island_Trader" TargetMode="External"/><Relationship Id="rId337" Type="http://schemas.openxmlformats.org/officeDocument/2006/relationships/hyperlink" Target="https://stardewvalleywiki.com/Dandelion" TargetMode="External"/><Relationship Id="rId215" Type="http://schemas.openxmlformats.org/officeDocument/2006/relationships/hyperlink" Target="https://stardewvalleywiki.com/Bluebird_Mask" TargetMode="External"/><Relationship Id="rId336" Type="http://schemas.openxmlformats.org/officeDocument/2006/relationships/hyperlink" Target="https://stardewvalleywiki.com/Seafoam_Pudding" TargetMode="External"/><Relationship Id="rId214" Type="http://schemas.openxmlformats.org/officeDocument/2006/relationships/hyperlink" Target="https://stardewvalleywiki.com/Bowler_Hat" TargetMode="External"/><Relationship Id="rId335" Type="http://schemas.openxmlformats.org/officeDocument/2006/relationships/hyperlink" Target="https://stardewvalleywiki.com/Squid_Ink" TargetMode="External"/><Relationship Id="rId219" Type="http://schemas.openxmlformats.org/officeDocument/2006/relationships/hyperlink" Target="https://stardewvalleywiki.com/Blue_Cowboy_Hat" TargetMode="External"/><Relationship Id="rId218" Type="http://schemas.openxmlformats.org/officeDocument/2006/relationships/hyperlink" Target="https://stardewvalleywiki.com/Stardew_Valley_Fair" TargetMode="External"/><Relationship Id="rId339" Type="http://schemas.openxmlformats.org/officeDocument/2006/relationships/hyperlink" Target="https://stardewvalleywiki.com/Blueberry_Tart" TargetMode="External"/><Relationship Id="rId330" Type="http://schemas.openxmlformats.org/officeDocument/2006/relationships/hyperlink" Target="https://stardewvalleywiki.com/Duck_Feather" TargetMode="External"/><Relationship Id="rId213" Type="http://schemas.openxmlformats.org/officeDocument/2006/relationships/hyperlink" Target="https://stardewvalleywiki.com/Tailoring" TargetMode="External"/><Relationship Id="rId334" Type="http://schemas.openxmlformats.org/officeDocument/2006/relationships/hyperlink" Target="https://stardewvalleywiki.com/Vegetable_Medley" TargetMode="External"/><Relationship Id="rId212" Type="http://schemas.openxmlformats.org/officeDocument/2006/relationships/hyperlink" Target="https://stardewvalleywiki.com/Bridal_Veil" TargetMode="External"/><Relationship Id="rId333" Type="http://schemas.openxmlformats.org/officeDocument/2006/relationships/hyperlink" Target="https://stardewvalleywiki.com/Magic_Rock_Candy" TargetMode="External"/><Relationship Id="rId211" Type="http://schemas.openxmlformats.org/officeDocument/2006/relationships/hyperlink" Target="https://stardewvalleywiki.com/Trout_Derby" TargetMode="External"/><Relationship Id="rId332" Type="http://schemas.openxmlformats.org/officeDocument/2006/relationships/hyperlink" Target="https://stardewvalleywiki.com/Magma_Cap" TargetMode="External"/><Relationship Id="rId210" Type="http://schemas.openxmlformats.org/officeDocument/2006/relationships/hyperlink" Target="https://stardewvalleywiki.com/Bucket_Hat" TargetMode="External"/><Relationship Id="rId331" Type="http://schemas.openxmlformats.org/officeDocument/2006/relationships/hyperlink" Target="https://stardewvalleywiki.com/Leek" TargetMode="External"/><Relationship Id="rId370" Type="http://schemas.openxmlformats.org/officeDocument/2006/relationships/hyperlink" Target="https://stardewvalleywiki.com/Orpiment" TargetMode="External"/><Relationship Id="rId129" Type="http://schemas.openxmlformats.org/officeDocument/2006/relationships/hyperlink" Target="https://stardewvalleywiki.com/Hard_Hat" TargetMode="External"/><Relationship Id="rId128" Type="http://schemas.openxmlformats.org/officeDocument/2006/relationships/hyperlink" Target="https://stardewvalleywiki.com/Hunter%27s_Cap" TargetMode="External"/><Relationship Id="rId249" Type="http://schemas.openxmlformats.org/officeDocument/2006/relationships/hyperlink" Target="https://stardewvalleywiki.com/Fiddlehead_Risotto" TargetMode="External"/><Relationship Id="rId127" Type="http://schemas.openxmlformats.org/officeDocument/2006/relationships/hyperlink" Target="https://stardewvalleywiki.com/Infinity_Blade" TargetMode="External"/><Relationship Id="rId248" Type="http://schemas.openxmlformats.org/officeDocument/2006/relationships/hyperlink" Target="https://stardewvalleywiki.com/Beer" TargetMode="External"/><Relationship Id="rId369" Type="http://schemas.openxmlformats.org/officeDocument/2006/relationships/hyperlink" Target="https://stardewvalleywiki.com/Dish_O%27_The_Sea" TargetMode="External"/><Relationship Id="rId126" Type="http://schemas.openxmlformats.org/officeDocument/2006/relationships/hyperlink" Target="https://stardewvalleywiki.com/Infinity_Crown" TargetMode="External"/><Relationship Id="rId247" Type="http://schemas.openxmlformats.org/officeDocument/2006/relationships/hyperlink" Target="https://stardewvalleywiki.com/Rainbow_Shell" TargetMode="External"/><Relationship Id="rId368" Type="http://schemas.openxmlformats.org/officeDocument/2006/relationships/hyperlink" Target="https://stardewvalleywiki.com/Bruschetta" TargetMode="External"/><Relationship Id="rId121" Type="http://schemas.openxmlformats.org/officeDocument/2006/relationships/hyperlink" Target="https://stardewvalleywiki.com/Desert_Festival" TargetMode="External"/><Relationship Id="rId242" Type="http://schemas.openxmlformats.org/officeDocument/2006/relationships/hyperlink" Target="https://stardewvalleywiki.com/Kyanite" TargetMode="External"/><Relationship Id="rId363" Type="http://schemas.openxmlformats.org/officeDocument/2006/relationships/hyperlink" Target="https://stardewvalleywiki.com/Golden_Relic" TargetMode="External"/><Relationship Id="rId120" Type="http://schemas.openxmlformats.org/officeDocument/2006/relationships/hyperlink" Target="https://stardewvalleywiki.com/Joja_Cap" TargetMode="External"/><Relationship Id="rId241" Type="http://schemas.openxmlformats.org/officeDocument/2006/relationships/hyperlink" Target="https://stardewvalleywiki.com/Jasper" TargetMode="External"/><Relationship Id="rId362" Type="http://schemas.openxmlformats.org/officeDocument/2006/relationships/hyperlink" Target="https://stardewvalleywiki.com/Ancient_Drum" TargetMode="External"/><Relationship Id="rId240" Type="http://schemas.openxmlformats.org/officeDocument/2006/relationships/hyperlink" Target="https://stardewvalleywiki.com/Banana_Pudding" TargetMode="External"/><Relationship Id="rId361" Type="http://schemas.openxmlformats.org/officeDocument/2006/relationships/hyperlink" Target="https://stardewvalleywiki.com/Red_Plate" TargetMode="External"/><Relationship Id="rId360" Type="http://schemas.openxmlformats.org/officeDocument/2006/relationships/hyperlink" Target="https://stardewvalleywiki.com/Cranberry_Candy" TargetMode="External"/><Relationship Id="rId125" Type="http://schemas.openxmlformats.org/officeDocument/2006/relationships/hyperlink" Target="https://stardewvalleywiki.com/Pans" TargetMode="External"/><Relationship Id="rId246" Type="http://schemas.openxmlformats.org/officeDocument/2006/relationships/hyperlink" Target="https://stardewvalleywiki.com/Autumn%27s_Bounty" TargetMode="External"/><Relationship Id="rId367" Type="http://schemas.openxmlformats.org/officeDocument/2006/relationships/hyperlink" Target="https://stardewvalleywiki.com/Carrot" TargetMode="External"/><Relationship Id="rId124" Type="http://schemas.openxmlformats.org/officeDocument/2006/relationships/hyperlink" Target="https://stardewvalleywiki.com/Iridium_Pan_(hat)" TargetMode="External"/><Relationship Id="rId245" Type="http://schemas.openxmlformats.org/officeDocument/2006/relationships/hyperlink" Target="https://stardewvalleywiki.com/Fiber" TargetMode="External"/><Relationship Id="rId366" Type="http://schemas.openxmlformats.org/officeDocument/2006/relationships/hyperlink" Target="https://stardewvalleywiki.com/Spaghetti" TargetMode="External"/><Relationship Id="rId123" Type="http://schemas.openxmlformats.org/officeDocument/2006/relationships/hyperlink" Target="https://stardewvalleywiki.com/Movie_Theater" TargetMode="External"/><Relationship Id="rId244" Type="http://schemas.openxmlformats.org/officeDocument/2006/relationships/hyperlink" Target="https://stardewvalleywiki.com/Tailoring" TargetMode="External"/><Relationship Id="rId365" Type="http://schemas.openxmlformats.org/officeDocument/2006/relationships/hyperlink" Target="https://stardewvalleywiki.com/Rusty_Spoon" TargetMode="External"/><Relationship Id="rId122" Type="http://schemas.openxmlformats.org/officeDocument/2006/relationships/hyperlink" Target="https://stardewvalleywiki.com/Jester_Hat" TargetMode="External"/><Relationship Id="rId243" Type="http://schemas.openxmlformats.org/officeDocument/2006/relationships/hyperlink" Target="https://stardewvalleywiki.com/Fluorapatite" TargetMode="External"/><Relationship Id="rId364" Type="http://schemas.openxmlformats.org/officeDocument/2006/relationships/hyperlink" Target="https://stardewvalleywiki.com/Ice_Cream" TargetMode="External"/><Relationship Id="rId95" Type="http://schemas.openxmlformats.org/officeDocument/2006/relationships/hyperlink" Target="https://stardewvalleywiki.com/Mushroom_Cap" TargetMode="External"/><Relationship Id="rId94" Type="http://schemas.openxmlformats.org/officeDocument/2006/relationships/hyperlink" Target="https://stardewvalleywiki.com/Mystery_Box" TargetMode="External"/><Relationship Id="rId97" Type="http://schemas.openxmlformats.org/officeDocument/2006/relationships/hyperlink" Target="https://stardewvalleywiki.com/Mummy_Mask" TargetMode="External"/><Relationship Id="rId96" Type="http://schemas.openxmlformats.org/officeDocument/2006/relationships/hyperlink" Target="https://stardewvalleywiki.com/Mushroom_Tree" TargetMode="External"/><Relationship Id="rId99" Type="http://schemas.openxmlformats.org/officeDocument/2006/relationships/hyperlink" Target="https://stardewvalleywiki.com/Mr._Qi%27s_Hat" TargetMode="External"/><Relationship Id="rId98" Type="http://schemas.openxmlformats.org/officeDocument/2006/relationships/hyperlink" Target="https://stardewvalleywiki.com/Desert_Festival" TargetMode="External"/><Relationship Id="rId91" Type="http://schemas.openxmlformats.org/officeDocument/2006/relationships/hyperlink" Target="https://stardewvalleywiki.com/Official_Cap" TargetMode="External"/><Relationship Id="rId90" Type="http://schemas.openxmlformats.org/officeDocument/2006/relationships/hyperlink" Target="https://stardewvalleywiki.com/Books" TargetMode="External"/><Relationship Id="rId93" Type="http://schemas.openxmlformats.org/officeDocument/2006/relationships/hyperlink" Target="https://stardewvalleywiki.com/Mystery_Hat" TargetMode="External"/><Relationship Id="rId92" Type="http://schemas.openxmlformats.org/officeDocument/2006/relationships/hyperlink" Target="https://stardewvalleywiki.com/Fish" TargetMode="External"/><Relationship Id="rId118" Type="http://schemas.openxmlformats.org/officeDocument/2006/relationships/hyperlink" Target="https://stardewvalleywiki.com/Junimo_Hat" TargetMode="External"/><Relationship Id="rId239" Type="http://schemas.openxmlformats.org/officeDocument/2006/relationships/hyperlink" Target="https://stardewvalleywiki.com/Duck_Mayonnaise" TargetMode="External"/><Relationship Id="rId117" Type="http://schemas.openxmlformats.org/officeDocument/2006/relationships/hyperlink" Target="https://stardewvalleywiki.com/Adventurer%27s_Guild" TargetMode="External"/><Relationship Id="rId238" Type="http://schemas.openxmlformats.org/officeDocument/2006/relationships/hyperlink" Target="https://stardewvalleywiki.com/Chipped_Amphora" TargetMode="External"/><Relationship Id="rId359" Type="http://schemas.openxmlformats.org/officeDocument/2006/relationships/hyperlink" Target="https://stardewvalleywiki.com/Magma_Geode" TargetMode="External"/><Relationship Id="rId116" Type="http://schemas.openxmlformats.org/officeDocument/2006/relationships/hyperlink" Target="https://stardewvalleywiki.com/Knight%27s_Helmet" TargetMode="External"/><Relationship Id="rId237" Type="http://schemas.openxmlformats.org/officeDocument/2006/relationships/hyperlink" Target="https://stardewvalleywiki.com/Cactus_Fruit" TargetMode="External"/><Relationship Id="rId358" Type="http://schemas.openxmlformats.org/officeDocument/2006/relationships/hyperlink" Target="https://stardewvalleywiki.com/Hashbrowns" TargetMode="External"/><Relationship Id="rId115" Type="http://schemas.openxmlformats.org/officeDocument/2006/relationships/hyperlink" Target="https://stardewvalleywiki.com/Desert_Festival" TargetMode="External"/><Relationship Id="rId236" Type="http://schemas.openxmlformats.org/officeDocument/2006/relationships/hyperlink" Target="https://stardewvalleywiki.com/Forge" TargetMode="External"/><Relationship Id="rId357" Type="http://schemas.openxmlformats.org/officeDocument/2006/relationships/hyperlink" Target="https://stardewvalleywiki.com/Trout_Soup" TargetMode="External"/><Relationship Id="rId119" Type="http://schemas.openxmlformats.org/officeDocument/2006/relationships/hyperlink" Target="https://stardewvalleywiki.com/The_Summit" TargetMode="External"/><Relationship Id="rId110" Type="http://schemas.openxmlformats.org/officeDocument/2006/relationships/hyperlink" Target="https://stardewvalleywiki.com/Living_Hat" TargetMode="External"/><Relationship Id="rId231" Type="http://schemas.openxmlformats.org/officeDocument/2006/relationships/hyperlink" Target="https://stardewvalleywiki.com/Arcane_Hat" TargetMode="External"/><Relationship Id="rId352" Type="http://schemas.openxmlformats.org/officeDocument/2006/relationships/hyperlink" Target="https://stardewvalleywiki.com/Coffee" TargetMode="External"/><Relationship Id="rId230" Type="http://schemas.openxmlformats.org/officeDocument/2006/relationships/hyperlink" Target="https://stardewvalleywiki.com/Cooking" TargetMode="External"/><Relationship Id="rId351" Type="http://schemas.openxmlformats.org/officeDocument/2006/relationships/hyperlink" Target="https://stardewvalleywiki.com/Roe" TargetMode="External"/><Relationship Id="rId350" Type="http://schemas.openxmlformats.org/officeDocument/2006/relationships/hyperlink" Target="https://stardewvalleywiki.com/Wool" TargetMode="External"/><Relationship Id="rId114" Type="http://schemas.openxmlformats.org/officeDocument/2006/relationships/hyperlink" Target="https://stardewvalleywiki.com/Laurel_Wreath_Crown" TargetMode="External"/><Relationship Id="rId235" Type="http://schemas.openxmlformats.org/officeDocument/2006/relationships/hyperlink" Target="https://stardewvalleywiki.com/%3F%3F%3F_(hat)" TargetMode="External"/><Relationship Id="rId356" Type="http://schemas.openxmlformats.org/officeDocument/2006/relationships/hyperlink" Target="https://stardewvalleywiki.com/Crayfish" TargetMode="External"/><Relationship Id="rId113" Type="http://schemas.openxmlformats.org/officeDocument/2006/relationships/hyperlink" Target="https://stardewvalleywiki.com/Abandoned_House" TargetMode="External"/><Relationship Id="rId234" Type="http://schemas.openxmlformats.org/officeDocument/2006/relationships/hyperlink" Target="https://stardewvalleywiki.com/Desert_Festival" TargetMode="External"/><Relationship Id="rId355" Type="http://schemas.openxmlformats.org/officeDocument/2006/relationships/hyperlink" Target="https://stardewvalleywiki.com/Prismatic_Shard" TargetMode="External"/><Relationship Id="rId112" Type="http://schemas.openxmlformats.org/officeDocument/2006/relationships/hyperlink" Target="https://stardewvalleywiki.com/Leprechaun_Hat" TargetMode="External"/><Relationship Id="rId233" Type="http://schemas.openxmlformats.org/officeDocument/2006/relationships/hyperlink" Target="https://stardewvalleywiki.com/Abigail%27s_Bow" TargetMode="External"/><Relationship Id="rId354" Type="http://schemas.openxmlformats.org/officeDocument/2006/relationships/hyperlink" Target="https://stardewvalleywiki.com/Prismatic_Shard" TargetMode="External"/><Relationship Id="rId111" Type="http://schemas.openxmlformats.org/officeDocument/2006/relationships/hyperlink" Target="https://stardewvalleywiki.com/Weeds" TargetMode="External"/><Relationship Id="rId232" Type="http://schemas.openxmlformats.org/officeDocument/2006/relationships/hyperlink" Target="https://stardewvalleywiki.com/Adventurer%27s_Guild" TargetMode="External"/><Relationship Id="rId353" Type="http://schemas.openxmlformats.org/officeDocument/2006/relationships/hyperlink" Target="https://stardewvalleywiki.com/Prismatic_Shard" TargetMode="External"/><Relationship Id="rId305" Type="http://schemas.openxmlformats.org/officeDocument/2006/relationships/hyperlink" Target="https://stardewvalleywiki.com/Malachite" TargetMode="External"/><Relationship Id="rId426" Type="http://schemas.openxmlformats.org/officeDocument/2006/relationships/hyperlink" Target="https://stardewvalleywiki.com/Honey" TargetMode="External"/><Relationship Id="rId304" Type="http://schemas.openxmlformats.org/officeDocument/2006/relationships/hyperlink" Target="https://stardewvalleywiki.com/Cave_Carrot" TargetMode="External"/><Relationship Id="rId425" Type="http://schemas.openxmlformats.org/officeDocument/2006/relationships/hyperlink" Target="https://stardewvalleywiki.com/Slime_Egg" TargetMode="External"/><Relationship Id="rId303" Type="http://schemas.openxmlformats.org/officeDocument/2006/relationships/hyperlink" Target="https://stardewvalleywiki.com/Quartz" TargetMode="External"/><Relationship Id="rId424" Type="http://schemas.openxmlformats.org/officeDocument/2006/relationships/hyperlink" Target="https://stardewvalleywiki.com/Ancient_Fruit" TargetMode="External"/><Relationship Id="rId302" Type="http://schemas.openxmlformats.org/officeDocument/2006/relationships/hyperlink" Target="https://stardewvalleywiki.com/Esperite" TargetMode="External"/><Relationship Id="rId423" Type="http://schemas.openxmlformats.org/officeDocument/2006/relationships/hyperlink" Target="https://stardewvalleywiki.com/Hay" TargetMode="External"/><Relationship Id="rId309" Type="http://schemas.openxmlformats.org/officeDocument/2006/relationships/hyperlink" Target="https://stardewvalleywiki.com/Jamborite" TargetMode="External"/><Relationship Id="rId308" Type="http://schemas.openxmlformats.org/officeDocument/2006/relationships/hyperlink" Target="https://stardewvalleywiki.com/Fiddlehead_Fern" TargetMode="External"/><Relationship Id="rId429" Type="http://schemas.openxmlformats.org/officeDocument/2006/relationships/hyperlink" Target="https://stardewvalleywiki.com/Prismatic_Shard" TargetMode="External"/><Relationship Id="rId307" Type="http://schemas.openxmlformats.org/officeDocument/2006/relationships/hyperlink" Target="https://stardewvalleywiki.com/Super_Meal" TargetMode="External"/><Relationship Id="rId428" Type="http://schemas.openxmlformats.org/officeDocument/2006/relationships/hyperlink" Target="https://stardewvalleywiki.com/Orange" TargetMode="External"/><Relationship Id="rId306" Type="http://schemas.openxmlformats.org/officeDocument/2006/relationships/hyperlink" Target="https://stardewvalleywiki.com/Rhubarb" TargetMode="External"/><Relationship Id="rId427" Type="http://schemas.openxmlformats.org/officeDocument/2006/relationships/hyperlink" Target="https://stardewvalleywiki.com/Apple" TargetMode="External"/><Relationship Id="rId301" Type="http://schemas.openxmlformats.org/officeDocument/2006/relationships/hyperlink" Target="https://stardewvalleywiki.com/Geode" TargetMode="External"/><Relationship Id="rId422" Type="http://schemas.openxmlformats.org/officeDocument/2006/relationships/hyperlink" Target="https://stardewvalleywiki.com/Dinosaur_Mayonnaise" TargetMode="External"/><Relationship Id="rId300" Type="http://schemas.openxmlformats.org/officeDocument/2006/relationships/hyperlink" Target="https://stardewvalleywiki.com/Lunarite" TargetMode="External"/><Relationship Id="rId421" Type="http://schemas.openxmlformats.org/officeDocument/2006/relationships/hyperlink" Target="https://stardewvalleywiki.com/Poppy" TargetMode="External"/><Relationship Id="rId420" Type="http://schemas.openxmlformats.org/officeDocument/2006/relationships/hyperlink" Target="https://stardewvalleywiki.com/Blue_Jazz" TargetMode="External"/><Relationship Id="rId415" Type="http://schemas.openxmlformats.org/officeDocument/2006/relationships/hyperlink" Target="https://stardewvalleywiki.com/Omelet" TargetMode="External"/><Relationship Id="rId414" Type="http://schemas.openxmlformats.org/officeDocument/2006/relationships/hyperlink" Target="https://stardewvalleywiki.com/Strange_Doll_(green)" TargetMode="External"/><Relationship Id="rId413" Type="http://schemas.openxmlformats.org/officeDocument/2006/relationships/hyperlink" Target="https://stardewvalleywiki.com/Stone" TargetMode="External"/><Relationship Id="rId412" Type="http://schemas.openxmlformats.org/officeDocument/2006/relationships/hyperlink" Target="https://stardewvalleywiki.com/Milk" TargetMode="External"/><Relationship Id="rId419" Type="http://schemas.openxmlformats.org/officeDocument/2006/relationships/hyperlink" Target="https://stardewvalleywiki.com/Fairy_Rose" TargetMode="External"/><Relationship Id="rId418" Type="http://schemas.openxmlformats.org/officeDocument/2006/relationships/hyperlink" Target="https://stardewvalleywiki.com/Blueberry" TargetMode="External"/><Relationship Id="rId417" Type="http://schemas.openxmlformats.org/officeDocument/2006/relationships/hyperlink" Target="https://stardewvalleywiki.com/Cranberries" TargetMode="External"/><Relationship Id="rId416" Type="http://schemas.openxmlformats.org/officeDocument/2006/relationships/hyperlink" Target="https://stardewvalleywiki.com/Mango_Sticky_Rice" TargetMode="External"/><Relationship Id="rId411" Type="http://schemas.openxmlformats.org/officeDocument/2006/relationships/hyperlink" Target="https://stardewvalleywiki.com/Rice" TargetMode="External"/><Relationship Id="rId410" Type="http://schemas.openxmlformats.org/officeDocument/2006/relationships/hyperlink" Target="https://stardewvalleywiki.com/Pale_Broth" TargetMode="External"/><Relationship Id="rId206" Type="http://schemas.openxmlformats.org/officeDocument/2006/relationships/hyperlink" Target="https://stardewvalleywiki.com/Cat_Ears" TargetMode="External"/><Relationship Id="rId327" Type="http://schemas.openxmlformats.org/officeDocument/2006/relationships/hyperlink" Target="https://stardewvalleywiki.com/Harvey%27s_Clinic" TargetMode="External"/><Relationship Id="rId205" Type="http://schemas.openxmlformats.org/officeDocument/2006/relationships/hyperlink" Target="https://stardewvalleywiki.com/Cooking" TargetMode="External"/><Relationship Id="rId326" Type="http://schemas.openxmlformats.org/officeDocument/2006/relationships/hyperlink" Target="https://stardewvalleywiki.com/Jagoite" TargetMode="External"/><Relationship Id="rId204" Type="http://schemas.openxmlformats.org/officeDocument/2006/relationships/hyperlink" Target="https://stardewvalleywiki.com/Chef_Hat" TargetMode="External"/><Relationship Id="rId325" Type="http://schemas.openxmlformats.org/officeDocument/2006/relationships/hyperlink" Target="https://stardewvalleywiki.com/Seaweed" TargetMode="External"/><Relationship Id="rId203" Type="http://schemas.openxmlformats.org/officeDocument/2006/relationships/hyperlink" Target="https://stardewvalleywiki.com/Quests" TargetMode="External"/><Relationship Id="rId324" Type="http://schemas.openxmlformats.org/officeDocument/2006/relationships/hyperlink" Target="https://stardewvalleywiki.com/Elvish_Jewelry" TargetMode="External"/><Relationship Id="rId209" Type="http://schemas.openxmlformats.org/officeDocument/2006/relationships/hyperlink" Target="https://stardewvalleywiki.com/Friendship" TargetMode="External"/><Relationship Id="rId208" Type="http://schemas.openxmlformats.org/officeDocument/2006/relationships/hyperlink" Target="https://stardewvalleywiki.com/Butterfly_Bow" TargetMode="External"/><Relationship Id="rId329" Type="http://schemas.openxmlformats.org/officeDocument/2006/relationships/hyperlink" Target="https://stardewvalleywiki.com/Rice_Pudding" TargetMode="External"/><Relationship Id="rId207" Type="http://schemas.openxmlformats.org/officeDocument/2006/relationships/hyperlink" Target="https://stardewvalleywiki.com/Friendship" TargetMode="External"/><Relationship Id="rId328" Type="http://schemas.openxmlformats.org/officeDocument/2006/relationships/hyperlink" Target="https://stardewvalleywiki.com/Mayonnaise" TargetMode="External"/><Relationship Id="rId202" Type="http://schemas.openxmlformats.org/officeDocument/2006/relationships/hyperlink" Target="https://stardewvalleywiki.com/Night_Market" TargetMode="External"/><Relationship Id="rId323" Type="http://schemas.openxmlformats.org/officeDocument/2006/relationships/hyperlink" Target="https://stardewvalleywiki.com/Pyrite" TargetMode="External"/><Relationship Id="rId201" Type="http://schemas.openxmlformats.org/officeDocument/2006/relationships/hyperlink" Target="https://stardewvalleywiki.com/Cone_Hat" TargetMode="External"/><Relationship Id="rId322" Type="http://schemas.openxmlformats.org/officeDocument/2006/relationships/hyperlink" Target="https://stardewvalleywiki.com/Golden_Coconut" TargetMode="External"/><Relationship Id="rId200" Type="http://schemas.openxmlformats.org/officeDocument/2006/relationships/hyperlink" Target="https://stardewvalleywiki.com/Cool_Cap" TargetMode="External"/><Relationship Id="rId321" Type="http://schemas.openxmlformats.org/officeDocument/2006/relationships/hyperlink" Target="https://stardewvalleywiki.com/Iridium_Ore" TargetMode="External"/><Relationship Id="rId320" Type="http://schemas.openxmlformats.org/officeDocument/2006/relationships/hyperlink" Target="https://stardewvalleywiki.com/Iridium_Bar" TargetMode="External"/><Relationship Id="rId316" Type="http://schemas.openxmlformats.org/officeDocument/2006/relationships/hyperlink" Target="https://stardewvalleywiki.com/Basic_Fertilizer" TargetMode="External"/><Relationship Id="rId315" Type="http://schemas.openxmlformats.org/officeDocument/2006/relationships/hyperlink" Target="https://stardewvalleywiki.com/Torch" TargetMode="External"/><Relationship Id="rId314" Type="http://schemas.openxmlformats.org/officeDocument/2006/relationships/hyperlink" Target="https://stardewvalleywiki.com/Strange_Bun" TargetMode="External"/><Relationship Id="rId313" Type="http://schemas.openxmlformats.org/officeDocument/2006/relationships/hyperlink" Target="https://stardewvalleywiki.com/Oasis" TargetMode="External"/><Relationship Id="rId319" Type="http://schemas.openxmlformats.org/officeDocument/2006/relationships/hyperlink" Target="https://stardewvalleywiki.com/Poi" TargetMode="External"/><Relationship Id="rId318" Type="http://schemas.openxmlformats.org/officeDocument/2006/relationships/hyperlink" Target="https://stardewvalleywiki.com/Pumpkin_Pie" TargetMode="External"/><Relationship Id="rId317" Type="http://schemas.openxmlformats.org/officeDocument/2006/relationships/hyperlink" Target="https://stardewvalleywiki.com/Deluxe_Speed-Gro" TargetMode="External"/><Relationship Id="rId312" Type="http://schemas.openxmlformats.org/officeDocument/2006/relationships/hyperlink" Target="https://stardewvalleywiki.com/Lemon_Stone" TargetMode="External"/><Relationship Id="rId311" Type="http://schemas.openxmlformats.org/officeDocument/2006/relationships/hyperlink" Target="https://stardewvalleywiki.com/Bean_Hotpot" TargetMode="External"/><Relationship Id="rId432" Type="http://schemas.openxmlformats.org/officeDocument/2006/relationships/vmlDrawing" Target="../drawings/vmlDrawing2.vml"/><Relationship Id="rId310" Type="http://schemas.openxmlformats.org/officeDocument/2006/relationships/hyperlink" Target="https://stardewvalleywiki.com/Ancient_Sword" TargetMode="External"/><Relationship Id="rId431" Type="http://schemas.openxmlformats.org/officeDocument/2006/relationships/drawing" Target="../drawings/drawing2.xml"/><Relationship Id="rId430" Type="http://schemas.openxmlformats.org/officeDocument/2006/relationships/hyperlink" Target="https://stardewvalleywiki.com/Prismatic_Shard"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stardewvalleywiki.com/Shipping" TargetMode="External"/><Relationship Id="rId194" Type="http://schemas.openxmlformats.org/officeDocument/2006/relationships/hyperlink" Target="https://stardewvalleywiki.com/Museum" TargetMode="External"/><Relationship Id="rId193" Type="http://schemas.openxmlformats.org/officeDocument/2006/relationships/hyperlink" Target="https://stardewvalleywiki.com/Cowboy_Hat" TargetMode="External"/><Relationship Id="rId192" Type="http://schemas.openxmlformats.org/officeDocument/2006/relationships/hyperlink" Target="https://stardewvalleywiki.com/Shipping" TargetMode="External"/><Relationship Id="rId191" Type="http://schemas.openxmlformats.org/officeDocument/2006/relationships/hyperlink" Target="https://stardewvalleywiki.com/Cowgal_Hat" TargetMode="External"/><Relationship Id="rId187" Type="http://schemas.openxmlformats.org/officeDocument/2006/relationships/hyperlink" Target="https://stardewvalleywiki.com/Daisy" TargetMode="External"/><Relationship Id="rId186" Type="http://schemas.openxmlformats.org/officeDocument/2006/relationships/hyperlink" Target="https://stardewvalleywiki.com/Desert_Festival" TargetMode="External"/><Relationship Id="rId185" Type="http://schemas.openxmlformats.org/officeDocument/2006/relationships/hyperlink" Target="https://stardewvalleywiki.com/Dark_Ballcap" TargetMode="External"/><Relationship Id="rId184" Type="http://schemas.openxmlformats.org/officeDocument/2006/relationships/hyperlink" Target="https://stardewvalleywiki.com/Skull_Cavern" TargetMode="External"/><Relationship Id="rId189" Type="http://schemas.openxmlformats.org/officeDocument/2006/relationships/hyperlink" Target="https://stardewvalleywiki.com/Cowpoke_Hat" TargetMode="External"/><Relationship Id="rId188" Type="http://schemas.openxmlformats.org/officeDocument/2006/relationships/hyperlink" Target="https://stardewvalleywiki.com/Crafting" TargetMode="External"/><Relationship Id="rId183" Type="http://schemas.openxmlformats.org/officeDocument/2006/relationships/hyperlink" Target="https://stardewvalleywiki.com/Dark_Cowboy_Hat" TargetMode="External"/><Relationship Id="rId182" Type="http://schemas.openxmlformats.org/officeDocument/2006/relationships/hyperlink" Target="https://stardewvalleywiki.com/Desert_Festival" TargetMode="External"/><Relationship Id="rId181" Type="http://schemas.openxmlformats.org/officeDocument/2006/relationships/hyperlink" Target="https://stardewvalleywiki.com/Dark_Velvet_Bow" TargetMode="External"/><Relationship Id="rId180" Type="http://schemas.openxmlformats.org/officeDocument/2006/relationships/hyperlink" Target="https://stardewvalleywiki.com/Cooking" TargetMode="External"/><Relationship Id="rId176" Type="http://schemas.openxmlformats.org/officeDocument/2006/relationships/hyperlink" Target="https://stardewvalleywiki.com/Volcano_Dungeon" TargetMode="External"/><Relationship Id="rId297" Type="http://schemas.openxmlformats.org/officeDocument/2006/relationships/hyperlink" Target="https://stardewvalleywiki.com/Lunarite" TargetMode="External"/><Relationship Id="rId175" Type="http://schemas.openxmlformats.org/officeDocument/2006/relationships/hyperlink" Target="https://stardewvalleywiki.com/Deluxe_Pirate_Hat" TargetMode="External"/><Relationship Id="rId296" Type="http://schemas.openxmlformats.org/officeDocument/2006/relationships/hyperlink" Target="https://stardewvalleywiki.com/Maru" TargetMode="External"/><Relationship Id="rId174" Type="http://schemas.openxmlformats.org/officeDocument/2006/relationships/hyperlink" Target="https://stardewvalleywiki.com/Tailoring" TargetMode="External"/><Relationship Id="rId295" Type="http://schemas.openxmlformats.org/officeDocument/2006/relationships/hyperlink" Target="https://stardewvalleywiki.com/Dried_Starfish" TargetMode="External"/><Relationship Id="rId173" Type="http://schemas.openxmlformats.org/officeDocument/2006/relationships/hyperlink" Target="https://stardewvalleywiki.com/Dinosaur_Hat" TargetMode="External"/><Relationship Id="rId294" Type="http://schemas.openxmlformats.org/officeDocument/2006/relationships/hyperlink" Target="https://stardewvalleywiki.com/Gold_Bar" TargetMode="External"/><Relationship Id="rId179" Type="http://schemas.openxmlformats.org/officeDocument/2006/relationships/hyperlink" Target="https://stardewvalleywiki.com/Delicate_Bow" TargetMode="External"/><Relationship Id="rId178" Type="http://schemas.openxmlformats.org/officeDocument/2006/relationships/hyperlink" Target="https://stardewvalleywiki.com/Island_Trader" TargetMode="External"/><Relationship Id="rId299" Type="http://schemas.openxmlformats.org/officeDocument/2006/relationships/hyperlink" Target="https://stardewvalleywiki.com/Esperite" TargetMode="External"/><Relationship Id="rId177" Type="http://schemas.openxmlformats.org/officeDocument/2006/relationships/hyperlink" Target="https://stardewvalleywiki.com/Deluxe_Cowboy_Hat" TargetMode="External"/><Relationship Id="rId298" Type="http://schemas.openxmlformats.org/officeDocument/2006/relationships/hyperlink" Target="https://stardewvalleywiki.com/Geode" TargetMode="External"/><Relationship Id="rId198" Type="http://schemas.openxmlformats.org/officeDocument/2006/relationships/hyperlink" Target="https://stardewvalleywiki.com/Cone_Hat" TargetMode="External"/><Relationship Id="rId197" Type="http://schemas.openxmlformats.org/officeDocument/2006/relationships/hyperlink" Target="https://stardewvalleywiki.com/Cool_Cap" TargetMode="External"/><Relationship Id="rId196" Type="http://schemas.openxmlformats.org/officeDocument/2006/relationships/hyperlink" Target="https://stardewvalleywiki.com/Pans" TargetMode="External"/><Relationship Id="rId195" Type="http://schemas.openxmlformats.org/officeDocument/2006/relationships/hyperlink" Target="https://stardewvalleywiki.com/Copper_Pan_(hat)" TargetMode="External"/><Relationship Id="rId199" Type="http://schemas.openxmlformats.org/officeDocument/2006/relationships/hyperlink" Target="https://stardewvalleywiki.com/Night_Market" TargetMode="External"/><Relationship Id="rId150" Type="http://schemas.openxmlformats.org/officeDocument/2006/relationships/hyperlink" Target="https://stardewvalleywiki.com/Garbage_Can" TargetMode="External"/><Relationship Id="rId271" Type="http://schemas.openxmlformats.org/officeDocument/2006/relationships/hyperlink" Target="https://stardewvalleywiki.com/Amaranth" TargetMode="External"/><Relationship Id="rId392" Type="http://schemas.openxmlformats.org/officeDocument/2006/relationships/hyperlink" Target="https://stardewvalleywiki.com/Cheese_Cauliflower" TargetMode="External"/><Relationship Id="rId270" Type="http://schemas.openxmlformats.org/officeDocument/2006/relationships/hyperlink" Target="https://stardewvalleywiki.com/Wheat" TargetMode="External"/><Relationship Id="rId391" Type="http://schemas.openxmlformats.org/officeDocument/2006/relationships/hyperlink" Target="https://stardewvalleywiki.com/Green_Tea" TargetMode="External"/><Relationship Id="rId390" Type="http://schemas.openxmlformats.org/officeDocument/2006/relationships/hyperlink" Target="https://stardewvalleywiki.com/Radish" TargetMode="External"/><Relationship Id="rId1" Type="http://schemas.openxmlformats.org/officeDocument/2006/relationships/hyperlink" Target="https://stardewvalleywiki.com/Witch_Hat" TargetMode="External"/><Relationship Id="rId2" Type="http://schemas.openxmlformats.org/officeDocument/2006/relationships/hyperlink" Target="https://stardewvalleywiki.com/Tailoring" TargetMode="External"/><Relationship Id="rId3" Type="http://schemas.openxmlformats.org/officeDocument/2006/relationships/hyperlink" Target="https://stardewvalleywiki.com/White_Turban" TargetMode="External"/><Relationship Id="rId149" Type="http://schemas.openxmlformats.org/officeDocument/2006/relationships/hyperlink" Target="https://stardewvalleywiki.com/Garbage_Hat" TargetMode="External"/><Relationship Id="rId4" Type="http://schemas.openxmlformats.org/officeDocument/2006/relationships/hyperlink" Target="https://stardewvalleywiki.com/Tailoring" TargetMode="External"/><Relationship Id="rId148" Type="http://schemas.openxmlformats.org/officeDocument/2006/relationships/hyperlink" Target="https://stardewvalleywiki.com/Desert_Festival" TargetMode="External"/><Relationship Id="rId269" Type="http://schemas.openxmlformats.org/officeDocument/2006/relationships/hyperlink" Target="https://stardewvalleywiki.com/Crab_Cakes" TargetMode="External"/><Relationship Id="rId9" Type="http://schemas.openxmlformats.org/officeDocument/2006/relationships/hyperlink" Target="https://stardewvalleywiki.com/Fish" TargetMode="External"/><Relationship Id="rId143" Type="http://schemas.openxmlformats.org/officeDocument/2006/relationships/hyperlink" Target="https://stardewvalleywiki.com/Goblin_Mask" TargetMode="External"/><Relationship Id="rId264" Type="http://schemas.openxmlformats.org/officeDocument/2006/relationships/hyperlink" Target="https://stardewvalleywiki.com/Rusty_Cog" TargetMode="External"/><Relationship Id="rId385" Type="http://schemas.openxmlformats.org/officeDocument/2006/relationships/hyperlink" Target="https://stardewvalleywiki.com/Obsidian" TargetMode="External"/><Relationship Id="rId142" Type="http://schemas.openxmlformats.org/officeDocument/2006/relationships/hyperlink" Target="https://stardewvalleywiki.com/Tailoring" TargetMode="External"/><Relationship Id="rId263" Type="http://schemas.openxmlformats.org/officeDocument/2006/relationships/hyperlink" Target="https://stardewvalleywiki.com/Escargot" TargetMode="External"/><Relationship Id="rId384" Type="http://schemas.openxmlformats.org/officeDocument/2006/relationships/hyperlink" Target="https://stardewvalleywiki.com/Corn" TargetMode="External"/><Relationship Id="rId141" Type="http://schemas.openxmlformats.org/officeDocument/2006/relationships/hyperlink" Target="https://stardewvalleywiki.com/Goggles" TargetMode="External"/><Relationship Id="rId262" Type="http://schemas.openxmlformats.org/officeDocument/2006/relationships/hyperlink" Target="https://stardewvalleywiki.com/Prehistoric_Handaxe" TargetMode="External"/><Relationship Id="rId383" Type="http://schemas.openxmlformats.org/officeDocument/2006/relationships/hyperlink" Target="https://stardewvalleywiki.com/Coral" TargetMode="External"/><Relationship Id="rId140" Type="http://schemas.openxmlformats.org/officeDocument/2006/relationships/hyperlink" Target="https://stardewvalleywiki.com/Pans" TargetMode="External"/><Relationship Id="rId261" Type="http://schemas.openxmlformats.org/officeDocument/2006/relationships/hyperlink" Target="https://stardewvalleywiki.com/Carp_Surprise" TargetMode="External"/><Relationship Id="rId382" Type="http://schemas.openxmlformats.org/officeDocument/2006/relationships/hyperlink" Target="https://stardewvalleywiki.com/Fried_Calamari" TargetMode="External"/><Relationship Id="rId5" Type="http://schemas.openxmlformats.org/officeDocument/2006/relationships/hyperlink" Target="https://stardewvalleywiki.com/White_Bow" TargetMode="External"/><Relationship Id="rId147" Type="http://schemas.openxmlformats.org/officeDocument/2006/relationships/hyperlink" Target="https://stardewvalleywiki.com/Gil%27s_Hat" TargetMode="External"/><Relationship Id="rId268" Type="http://schemas.openxmlformats.org/officeDocument/2006/relationships/hyperlink" Target="https://stardewvalleywiki.com/Copper_Bar" TargetMode="External"/><Relationship Id="rId389" Type="http://schemas.openxmlformats.org/officeDocument/2006/relationships/hyperlink" Target="https://stardewvalleywiki.com/Sap" TargetMode="External"/><Relationship Id="rId6" Type="http://schemas.openxmlformats.org/officeDocument/2006/relationships/hyperlink" Target="https://stardewvalleywiki.com/Wearable_Dwarf_Helm" TargetMode="External"/><Relationship Id="rId146" Type="http://schemas.openxmlformats.org/officeDocument/2006/relationships/hyperlink" Target="https://stardewvalleywiki.com/Crafting" TargetMode="External"/><Relationship Id="rId267" Type="http://schemas.openxmlformats.org/officeDocument/2006/relationships/hyperlink" Target="https://stardewvalleywiki.com/Green_Algae" TargetMode="External"/><Relationship Id="rId388" Type="http://schemas.openxmlformats.org/officeDocument/2006/relationships/hyperlink" Target="https://stardewvalleywiki.com/Glazed_Yams" TargetMode="External"/><Relationship Id="rId7" Type="http://schemas.openxmlformats.org/officeDocument/2006/relationships/hyperlink" Target="https://stardewvalleywiki.com/Tailoring" TargetMode="External"/><Relationship Id="rId145" Type="http://schemas.openxmlformats.org/officeDocument/2006/relationships/hyperlink" Target="https://stardewvalleywiki.com/Gnome%27s_Cap" TargetMode="External"/><Relationship Id="rId266" Type="http://schemas.openxmlformats.org/officeDocument/2006/relationships/hyperlink" Target="https://stardewvalleywiki.com/Helvite" TargetMode="External"/><Relationship Id="rId387" Type="http://schemas.openxmlformats.org/officeDocument/2006/relationships/hyperlink" Target="https://stardewvalleywiki.com/Bouquet" TargetMode="External"/><Relationship Id="rId8" Type="http://schemas.openxmlformats.org/officeDocument/2006/relationships/hyperlink" Target="https://stardewvalleywiki.com/Watermelon_Band" TargetMode="External"/><Relationship Id="rId144" Type="http://schemas.openxmlformats.org/officeDocument/2006/relationships/hyperlink" Target="https://stardewvalleywiki.com/Shipping" TargetMode="External"/><Relationship Id="rId265" Type="http://schemas.openxmlformats.org/officeDocument/2006/relationships/hyperlink" Target="https://stardewvalleywiki.com/Complete_Breakfast" TargetMode="External"/><Relationship Id="rId386" Type="http://schemas.openxmlformats.org/officeDocument/2006/relationships/hyperlink" Target="https://stardewvalleywiki.com/Sugar" TargetMode="External"/><Relationship Id="rId260" Type="http://schemas.openxmlformats.org/officeDocument/2006/relationships/hyperlink" Target="https://stardewvalleywiki.com/Large_Egg" TargetMode="External"/><Relationship Id="rId381" Type="http://schemas.openxmlformats.org/officeDocument/2006/relationships/hyperlink" Target="https://stardewvalleywiki.com/Iron_Bar" TargetMode="External"/><Relationship Id="rId380" Type="http://schemas.openxmlformats.org/officeDocument/2006/relationships/hyperlink" Target="https://stardewvalleywiki.com/Star_Shards" TargetMode="External"/><Relationship Id="rId139" Type="http://schemas.openxmlformats.org/officeDocument/2006/relationships/hyperlink" Target="https://stardewvalleywiki.com/Gold_Pan_(hat)" TargetMode="External"/><Relationship Id="rId138" Type="http://schemas.openxmlformats.org/officeDocument/2006/relationships/hyperlink" Target="https://stardewvalleywiki.com/Golden_Coconut" TargetMode="External"/><Relationship Id="rId259" Type="http://schemas.openxmlformats.org/officeDocument/2006/relationships/hyperlink" Target="https://stardewvalleywiki.com/Anchor" TargetMode="External"/><Relationship Id="rId137" Type="http://schemas.openxmlformats.org/officeDocument/2006/relationships/hyperlink" Target="https://stardewvalleywiki.com/Golden_Helmet" TargetMode="External"/><Relationship Id="rId258" Type="http://schemas.openxmlformats.org/officeDocument/2006/relationships/hyperlink" Target="https://stardewvalleywiki.com/Chewing_Stick" TargetMode="External"/><Relationship Id="rId379" Type="http://schemas.openxmlformats.org/officeDocument/2006/relationships/hyperlink" Target="https://stardewvalleywiki.com/Juice" TargetMode="External"/><Relationship Id="rId132" Type="http://schemas.openxmlformats.org/officeDocument/2006/relationships/hyperlink" Target="https://stardewvalleywiki.com/Governor%27s_Hat" TargetMode="External"/><Relationship Id="rId253" Type="http://schemas.openxmlformats.org/officeDocument/2006/relationships/hyperlink" Target="https://stardewvalleywiki.com/Mudstone" TargetMode="External"/><Relationship Id="rId374" Type="http://schemas.openxmlformats.org/officeDocument/2006/relationships/hyperlink" Target="https://stardewvalleywiki.com/Prehistoric_Skull" TargetMode="External"/><Relationship Id="rId131" Type="http://schemas.openxmlformats.org/officeDocument/2006/relationships/hyperlink" Target="https://stardewvalleywiki.com/Desert_Trader" TargetMode="External"/><Relationship Id="rId252" Type="http://schemas.openxmlformats.org/officeDocument/2006/relationships/hyperlink" Target="https://stardewvalleywiki.com/Ornamental_Fan" TargetMode="External"/><Relationship Id="rId373" Type="http://schemas.openxmlformats.org/officeDocument/2006/relationships/hyperlink" Target="https://stardewvalleywiki.com/Haunted_Skull" TargetMode="External"/><Relationship Id="rId130" Type="http://schemas.openxmlformats.org/officeDocument/2006/relationships/hyperlink" Target="https://stardewvalleywiki.com/Green_Turban" TargetMode="External"/><Relationship Id="rId251" Type="http://schemas.openxmlformats.org/officeDocument/2006/relationships/hyperlink" Target="https://stardewvalleywiki.com/Bomb" TargetMode="External"/><Relationship Id="rId372" Type="http://schemas.openxmlformats.org/officeDocument/2006/relationships/hyperlink" Target="https://stardewvalleywiki.com/Bone_Fragment" TargetMode="External"/><Relationship Id="rId250" Type="http://schemas.openxmlformats.org/officeDocument/2006/relationships/hyperlink" Target="https://stardewvalleywiki.com/Strange_Doll_(yellow)" TargetMode="External"/><Relationship Id="rId371" Type="http://schemas.openxmlformats.org/officeDocument/2006/relationships/hyperlink" Target="https://stardewvalleywiki.com/Haunted_Skull" TargetMode="External"/><Relationship Id="rId136" Type="http://schemas.openxmlformats.org/officeDocument/2006/relationships/hyperlink" Target="https://stardewvalleywiki.com/Tailoring" TargetMode="External"/><Relationship Id="rId257" Type="http://schemas.openxmlformats.org/officeDocument/2006/relationships/hyperlink" Target="https://stardewvalleywiki.com/Stir_Fry" TargetMode="External"/><Relationship Id="rId378" Type="http://schemas.openxmlformats.org/officeDocument/2006/relationships/hyperlink" Target="https://stardewvalleywiki.com/Arrowhead" TargetMode="External"/><Relationship Id="rId135" Type="http://schemas.openxmlformats.org/officeDocument/2006/relationships/hyperlink" Target="https://stardewvalleywiki.com/Golden_Mask_(hat)" TargetMode="External"/><Relationship Id="rId256" Type="http://schemas.openxmlformats.org/officeDocument/2006/relationships/hyperlink" Target="https://stardewvalleywiki.com/Survival_Burger" TargetMode="External"/><Relationship Id="rId377" Type="http://schemas.openxmlformats.org/officeDocument/2006/relationships/hyperlink" Target="https://stardewvalleywiki.com/Petrified_Slime" TargetMode="External"/><Relationship Id="rId134" Type="http://schemas.openxmlformats.org/officeDocument/2006/relationships/hyperlink" Target="https://stardewvalleywiki.com/Good_Ol%27_Cap" TargetMode="External"/><Relationship Id="rId255" Type="http://schemas.openxmlformats.org/officeDocument/2006/relationships/hyperlink" Target="https://stardewvalleywiki.com/Ancient_Seed" TargetMode="External"/><Relationship Id="rId376" Type="http://schemas.openxmlformats.org/officeDocument/2006/relationships/hyperlink" Target="https://stardewvalleywiki.com/Large_Milk" TargetMode="External"/><Relationship Id="rId133" Type="http://schemas.openxmlformats.org/officeDocument/2006/relationships/hyperlink" Target="https://stardewvalleywiki.com/Luau" TargetMode="External"/><Relationship Id="rId254" Type="http://schemas.openxmlformats.org/officeDocument/2006/relationships/hyperlink" Target="https://stardewvalleywiki.com/Hazelnut" TargetMode="External"/><Relationship Id="rId375" Type="http://schemas.openxmlformats.org/officeDocument/2006/relationships/hyperlink" Target="https://stardewvalleywiki.com/Emerald" TargetMode="External"/><Relationship Id="rId172" Type="http://schemas.openxmlformats.org/officeDocument/2006/relationships/hyperlink" Target="https://stardewvalleywiki.com/Friendship" TargetMode="External"/><Relationship Id="rId293" Type="http://schemas.openxmlformats.org/officeDocument/2006/relationships/hyperlink" Target="https://stardewvalleywiki.com/Aged_Roe" TargetMode="External"/><Relationship Id="rId171" Type="http://schemas.openxmlformats.org/officeDocument/2006/relationships/hyperlink" Target="https://stardewvalleywiki.com/Earmuffs" TargetMode="External"/><Relationship Id="rId292" Type="http://schemas.openxmlformats.org/officeDocument/2006/relationships/hyperlink" Target="https://stardewvalleywiki.com/Ginger_Ale" TargetMode="External"/><Relationship Id="rId170" Type="http://schemas.openxmlformats.org/officeDocument/2006/relationships/hyperlink" Target="https://stardewvalleywiki.com/Achievements" TargetMode="External"/><Relationship Id="rId291" Type="http://schemas.openxmlformats.org/officeDocument/2006/relationships/hyperlink" Target="https://stardewvalleywiki.com/Chowder" TargetMode="External"/><Relationship Id="rId290" Type="http://schemas.openxmlformats.org/officeDocument/2006/relationships/hyperlink" Target="https://stardewvalleywiki.com/Fried_Egg" TargetMode="External"/><Relationship Id="rId165" Type="http://schemas.openxmlformats.org/officeDocument/2006/relationships/hyperlink" Target="https://stardewvalleywiki.com/Eye_Patch" TargetMode="External"/><Relationship Id="rId286" Type="http://schemas.openxmlformats.org/officeDocument/2006/relationships/hyperlink" Target="https://stardewvalleywiki.com/Bream" TargetMode="External"/><Relationship Id="rId164" Type="http://schemas.openxmlformats.org/officeDocument/2006/relationships/hyperlink" Target="https://stardewvalleywiki.com/Tailoring" TargetMode="External"/><Relationship Id="rId285" Type="http://schemas.openxmlformats.org/officeDocument/2006/relationships/hyperlink" Target="https://stardewvalleywiki.com/Holly" TargetMode="External"/><Relationship Id="rId163" Type="http://schemas.openxmlformats.org/officeDocument/2006/relationships/hyperlink" Target="https://stardewvalleywiki.com/Fashion_Hat" TargetMode="External"/><Relationship Id="rId284" Type="http://schemas.openxmlformats.org/officeDocument/2006/relationships/hyperlink" Target="https://stardewvalleywiki.com/Harvey%27s_Clinic" TargetMode="External"/><Relationship Id="rId162" Type="http://schemas.openxmlformats.org/officeDocument/2006/relationships/hyperlink" Target="https://stardewvalleywiki.com/Stardew_Valley_Fair" TargetMode="External"/><Relationship Id="rId283" Type="http://schemas.openxmlformats.org/officeDocument/2006/relationships/hyperlink" Target="https://stardewvalleywiki.com/Salmon" TargetMode="External"/><Relationship Id="rId169" Type="http://schemas.openxmlformats.org/officeDocument/2006/relationships/hyperlink" Target="https://stardewvalleywiki.com/Elegant_Turban" TargetMode="External"/><Relationship Id="rId168" Type="http://schemas.openxmlformats.org/officeDocument/2006/relationships/hyperlink" Target="https://stardewvalleywiki.com/Emily" TargetMode="External"/><Relationship Id="rId289" Type="http://schemas.openxmlformats.org/officeDocument/2006/relationships/hyperlink" Target="https://stardewvalleywiki.com/Chicken_Statue" TargetMode="External"/><Relationship Id="rId167" Type="http://schemas.openxmlformats.org/officeDocument/2006/relationships/hyperlink" Target="https://stardewvalleywiki.com/Emily%27s_Magic_Hat" TargetMode="External"/><Relationship Id="rId288" Type="http://schemas.openxmlformats.org/officeDocument/2006/relationships/hyperlink" Target="https://stardewvalleywiki.com/Coffee_Bean" TargetMode="External"/><Relationship Id="rId166" Type="http://schemas.openxmlformats.org/officeDocument/2006/relationships/hyperlink" Target="https://stardewvalleywiki.com/Fish" TargetMode="External"/><Relationship Id="rId287" Type="http://schemas.openxmlformats.org/officeDocument/2006/relationships/hyperlink" Target="https://stardewvalleywiki.com/Spicy_Eel" TargetMode="External"/><Relationship Id="rId161" Type="http://schemas.openxmlformats.org/officeDocument/2006/relationships/hyperlink" Target="https://stardewvalleywiki.com/Fedora" TargetMode="External"/><Relationship Id="rId282" Type="http://schemas.openxmlformats.org/officeDocument/2006/relationships/hyperlink" Target="https://stardewvalleywiki.com/Ancient_Doll" TargetMode="External"/><Relationship Id="rId160" Type="http://schemas.openxmlformats.org/officeDocument/2006/relationships/hyperlink" Target="https://stardewvalleywiki.com/Tailoring" TargetMode="External"/><Relationship Id="rId281" Type="http://schemas.openxmlformats.org/officeDocument/2006/relationships/hyperlink" Target="https://stardewvalleywiki.com/Maple_Bar" TargetMode="External"/><Relationship Id="rId280" Type="http://schemas.openxmlformats.org/officeDocument/2006/relationships/hyperlink" Target="https://stardewvalleywiki.com/Field_Snack" TargetMode="External"/><Relationship Id="rId159" Type="http://schemas.openxmlformats.org/officeDocument/2006/relationships/hyperlink" Target="https://stardewvalleywiki.com/Fishing_Hat" TargetMode="External"/><Relationship Id="rId154" Type="http://schemas.openxmlformats.org/officeDocument/2006/relationships/hyperlink" Target="https://stardewvalleywiki.com/Tailoring" TargetMode="External"/><Relationship Id="rId275" Type="http://schemas.openxmlformats.org/officeDocument/2006/relationships/hyperlink" Target="https://stardewvalleywiki.com/Life_Elixir" TargetMode="External"/><Relationship Id="rId396" Type="http://schemas.openxmlformats.org/officeDocument/2006/relationships/hyperlink" Target="https://stardewvalleywiki.com/Pancakes" TargetMode="External"/><Relationship Id="rId153" Type="http://schemas.openxmlformats.org/officeDocument/2006/relationships/hyperlink" Target="https://stardewvalleywiki.com/Forager%27s_Hat" TargetMode="External"/><Relationship Id="rId274" Type="http://schemas.openxmlformats.org/officeDocument/2006/relationships/hyperlink" Target="https://stardewvalleywiki.com/Haunted_Skull" TargetMode="External"/><Relationship Id="rId395" Type="http://schemas.openxmlformats.org/officeDocument/2006/relationships/hyperlink" Target="https://stardewvalleywiki.com/Tortilla" TargetMode="External"/><Relationship Id="rId152" Type="http://schemas.openxmlformats.org/officeDocument/2006/relationships/hyperlink" Target="https://stardewvalleywiki.com/Fishing" TargetMode="External"/><Relationship Id="rId273" Type="http://schemas.openxmlformats.org/officeDocument/2006/relationships/hyperlink" Target="https://stardewvalleywiki.com/Truffle" TargetMode="External"/><Relationship Id="rId394" Type="http://schemas.openxmlformats.org/officeDocument/2006/relationships/hyperlink" Target="https://stardewvalleywiki.com/Tomato" TargetMode="External"/><Relationship Id="rId151" Type="http://schemas.openxmlformats.org/officeDocument/2006/relationships/hyperlink" Target="https://stardewvalleywiki.com/Frog_Hat" TargetMode="External"/><Relationship Id="rId272" Type="http://schemas.openxmlformats.org/officeDocument/2006/relationships/hyperlink" Target="https://stardewvalleywiki.com/Haunted_Skull" TargetMode="External"/><Relationship Id="rId393" Type="http://schemas.openxmlformats.org/officeDocument/2006/relationships/hyperlink" Target="https://stardewvalleywiki.com/Marble" TargetMode="External"/><Relationship Id="rId158" Type="http://schemas.openxmlformats.org/officeDocument/2006/relationships/hyperlink" Target="https://stardewvalleywiki.com/Tailoring" TargetMode="External"/><Relationship Id="rId279" Type="http://schemas.openxmlformats.org/officeDocument/2006/relationships/hyperlink" Target="https://stardewvalleywiki.com/Wilted_Bouquet" TargetMode="External"/><Relationship Id="rId157" Type="http://schemas.openxmlformats.org/officeDocument/2006/relationships/hyperlink" Target="https://stardewvalleywiki.com/Flat_Topped_Hat" TargetMode="External"/><Relationship Id="rId278" Type="http://schemas.openxmlformats.org/officeDocument/2006/relationships/hyperlink" Target="https://stardewvalleywiki.com/Tigerseye" TargetMode="External"/><Relationship Id="rId399" Type="http://schemas.openxmlformats.org/officeDocument/2006/relationships/hyperlink" Target="https://stardewvalleywiki.com/Tropical_Curry" TargetMode="External"/><Relationship Id="rId156" Type="http://schemas.openxmlformats.org/officeDocument/2006/relationships/hyperlink" Target="https://stardewvalleywiki.com/Tailoring" TargetMode="External"/><Relationship Id="rId277" Type="http://schemas.openxmlformats.org/officeDocument/2006/relationships/hyperlink" Target="https://stardewvalleywiki.com/Bat_Wing" TargetMode="External"/><Relationship Id="rId398" Type="http://schemas.openxmlformats.org/officeDocument/2006/relationships/hyperlink" Target="https://stardewvalleywiki.com/Artifact_Trove" TargetMode="External"/><Relationship Id="rId155" Type="http://schemas.openxmlformats.org/officeDocument/2006/relationships/hyperlink" Target="https://stardewvalleywiki.com/Floppy_Beanie" TargetMode="External"/><Relationship Id="rId276" Type="http://schemas.openxmlformats.org/officeDocument/2006/relationships/hyperlink" Target="https://stardewvalleywiki.com/Frozen_Tear" TargetMode="External"/><Relationship Id="rId397" Type="http://schemas.openxmlformats.org/officeDocument/2006/relationships/hyperlink" Target="https://stardewvalleywiki.com/Broken_CD" TargetMode="External"/><Relationship Id="rId40" Type="http://schemas.openxmlformats.org/officeDocument/2006/relationships/hyperlink" Target="https://stardewvalleywiki.com/Sports_Cap" TargetMode="External"/><Relationship Id="rId42" Type="http://schemas.openxmlformats.org/officeDocument/2006/relationships/hyperlink" Target="https://stardewvalleywiki.com/Space_Helmet" TargetMode="External"/><Relationship Id="rId41" Type="http://schemas.openxmlformats.org/officeDocument/2006/relationships/hyperlink" Target="https://stardewvalleywiki.com/Mayor%27s_Manor" TargetMode="External"/><Relationship Id="rId44" Type="http://schemas.openxmlformats.org/officeDocument/2006/relationships/hyperlink" Target="https://stardewvalleywiki.com/Sou%27wester" TargetMode="External"/><Relationship Id="rId43" Type="http://schemas.openxmlformats.org/officeDocument/2006/relationships/hyperlink" Target="https://stardewvalleywiki.com/The_Mines" TargetMode="External"/><Relationship Id="rId46" Type="http://schemas.openxmlformats.org/officeDocument/2006/relationships/hyperlink" Target="https://stardewvalleywiki.com/Sombrero" TargetMode="External"/><Relationship Id="rId45" Type="http://schemas.openxmlformats.org/officeDocument/2006/relationships/hyperlink" Target="https://stardewvalleywiki.com/Fish" TargetMode="External"/><Relationship Id="rId48" Type="http://schemas.openxmlformats.org/officeDocument/2006/relationships/hyperlink" Target="https://stardewvalleywiki.com/Island_Trader" TargetMode="External"/><Relationship Id="rId47" Type="http://schemas.openxmlformats.org/officeDocument/2006/relationships/hyperlink" Target="https://stardewvalleywiki.com/Small_Cap" TargetMode="External"/><Relationship Id="rId49" Type="http://schemas.openxmlformats.org/officeDocument/2006/relationships/hyperlink" Target="https://stardewvalleywiki.com/Skeleton_Mask" TargetMode="External"/><Relationship Id="rId31" Type="http://schemas.openxmlformats.org/officeDocument/2006/relationships/hyperlink" Target="https://stardewvalleywiki.com/Steel_Pan_(hat)" TargetMode="External"/><Relationship Id="rId30" Type="http://schemas.openxmlformats.org/officeDocument/2006/relationships/hyperlink" Target="https://stardewvalleywiki.com/Egg_Festival" TargetMode="External"/><Relationship Id="rId33" Type="http://schemas.openxmlformats.org/officeDocument/2006/relationships/hyperlink" Target="https://stardewvalleywiki.com/Tailoring" TargetMode="External"/><Relationship Id="rId32" Type="http://schemas.openxmlformats.org/officeDocument/2006/relationships/hyperlink" Target="https://stardewvalleywiki.com/Pans" TargetMode="External"/><Relationship Id="rId35" Type="http://schemas.openxmlformats.org/officeDocument/2006/relationships/hyperlink" Target="https://stardewvalleywiki.com/Metal_Head" TargetMode="External"/><Relationship Id="rId34" Type="http://schemas.openxmlformats.org/officeDocument/2006/relationships/hyperlink" Target="https://stardewvalleywiki.com/Squire%27s_Helmet" TargetMode="External"/><Relationship Id="rId37" Type="http://schemas.openxmlformats.org/officeDocument/2006/relationships/hyperlink" Target="https://stardewvalleywiki.com/SquidFest" TargetMode="External"/><Relationship Id="rId36" Type="http://schemas.openxmlformats.org/officeDocument/2006/relationships/hyperlink" Target="https://stardewvalleywiki.com/Squid_Hat" TargetMode="External"/><Relationship Id="rId39" Type="http://schemas.openxmlformats.org/officeDocument/2006/relationships/hyperlink" Target="https://stardewvalleywiki.com/Tailoring" TargetMode="External"/><Relationship Id="rId38" Type="http://schemas.openxmlformats.org/officeDocument/2006/relationships/hyperlink" Target="https://stardewvalleywiki.com/Spotted_Headscarf" TargetMode="External"/><Relationship Id="rId20" Type="http://schemas.openxmlformats.org/officeDocument/2006/relationships/hyperlink" Target="https://stardewvalleywiki.com/Casino" TargetMode="External"/><Relationship Id="rId22" Type="http://schemas.openxmlformats.org/officeDocument/2006/relationships/hyperlink" Target="https://stardewvalleywiki.com/Slimes" TargetMode="External"/><Relationship Id="rId21" Type="http://schemas.openxmlformats.org/officeDocument/2006/relationships/hyperlink" Target="https://stardewvalleywiki.com/Tiger_Hat" TargetMode="External"/><Relationship Id="rId24" Type="http://schemas.openxmlformats.org/officeDocument/2006/relationships/hyperlink" Target="https://stardewvalleywiki.com/Friendship" TargetMode="External"/><Relationship Id="rId23" Type="http://schemas.openxmlformats.org/officeDocument/2006/relationships/hyperlink" Target="https://stardewvalleywiki.com/Tiara" TargetMode="External"/><Relationship Id="rId409" Type="http://schemas.openxmlformats.org/officeDocument/2006/relationships/hyperlink" Target="https://stardewvalleywiki.com/Milk" TargetMode="External"/><Relationship Id="rId404" Type="http://schemas.openxmlformats.org/officeDocument/2006/relationships/hyperlink" Target="https://stardewvalleywiki.com/Hematite" TargetMode="External"/><Relationship Id="rId403" Type="http://schemas.openxmlformats.org/officeDocument/2006/relationships/hyperlink" Target="https://stardewvalleywiki.com/Coconut" TargetMode="External"/><Relationship Id="rId402" Type="http://schemas.openxmlformats.org/officeDocument/2006/relationships/hyperlink" Target="https://stardewvalleywiki.com/Copper_Ore" TargetMode="External"/><Relationship Id="rId401" Type="http://schemas.openxmlformats.org/officeDocument/2006/relationships/hyperlink" Target="https://stardewvalleywiki.com/Pepper_Poppers" TargetMode="External"/><Relationship Id="rId408" Type="http://schemas.openxmlformats.org/officeDocument/2006/relationships/hyperlink" Target="https://stardewvalleywiki.com/Rice" TargetMode="External"/><Relationship Id="rId407" Type="http://schemas.openxmlformats.org/officeDocument/2006/relationships/hyperlink" Target="https://stardewvalleywiki.com/Pale_Broth" TargetMode="External"/><Relationship Id="rId406" Type="http://schemas.openxmlformats.org/officeDocument/2006/relationships/hyperlink" Target="https://stardewvalleywiki.com/Poppyseed_Muffin" TargetMode="External"/><Relationship Id="rId405" Type="http://schemas.openxmlformats.org/officeDocument/2006/relationships/hyperlink" Target="https://stardewvalleywiki.com/Wheat_Flour" TargetMode="External"/><Relationship Id="rId26" Type="http://schemas.openxmlformats.org/officeDocument/2006/relationships/hyperlink" Target="https://stardewvalleywiki.com/Tailoring" TargetMode="External"/><Relationship Id="rId25" Type="http://schemas.openxmlformats.org/officeDocument/2006/relationships/hyperlink" Target="https://stardewvalleywiki.com/Swashbuckler_Hat" TargetMode="External"/><Relationship Id="rId28" Type="http://schemas.openxmlformats.org/officeDocument/2006/relationships/hyperlink" Target="https://stardewvalleywiki.com/Tailoring" TargetMode="External"/><Relationship Id="rId27" Type="http://schemas.openxmlformats.org/officeDocument/2006/relationships/hyperlink" Target="https://stardewvalleywiki.com/Sunglasses" TargetMode="External"/><Relationship Id="rId400" Type="http://schemas.openxmlformats.org/officeDocument/2006/relationships/hyperlink" Target="https://stardewvalleywiki.com/Sea_Cucumber" TargetMode="External"/><Relationship Id="rId29" Type="http://schemas.openxmlformats.org/officeDocument/2006/relationships/hyperlink" Target="https://stardewvalleywiki.com/Straw_Hat" TargetMode="External"/><Relationship Id="rId11" Type="http://schemas.openxmlformats.org/officeDocument/2006/relationships/hyperlink" Target="https://stardewvalleywiki.com/Tailoring" TargetMode="External"/><Relationship Id="rId10" Type="http://schemas.openxmlformats.org/officeDocument/2006/relationships/hyperlink" Target="https://stardewvalleywiki.com/Warrior_Helmet" TargetMode="External"/><Relationship Id="rId13" Type="http://schemas.openxmlformats.org/officeDocument/2006/relationships/hyperlink" Target="https://stardewvalleywiki.com/Crafting" TargetMode="External"/><Relationship Id="rId12" Type="http://schemas.openxmlformats.org/officeDocument/2006/relationships/hyperlink" Target="https://stardewvalleywiki.com/Trucker_Hat" TargetMode="External"/><Relationship Id="rId15" Type="http://schemas.openxmlformats.org/officeDocument/2006/relationships/hyperlink" Target="https://stardewvalleywiki.com/Tricorn_Hat" TargetMode="External"/><Relationship Id="rId14" Type="http://schemas.openxmlformats.org/officeDocument/2006/relationships/hyperlink" Target="https://stardewvalleywiki.com/Tropiclip" TargetMode="External"/><Relationship Id="rId17" Type="http://schemas.openxmlformats.org/officeDocument/2006/relationships/hyperlink" Target="https://stardewvalleywiki.com/Totem_Mask" TargetMode="External"/><Relationship Id="rId16" Type="http://schemas.openxmlformats.org/officeDocument/2006/relationships/hyperlink" Target="https://stardewvalleywiki.com/Desert_Festival" TargetMode="External"/><Relationship Id="rId19" Type="http://schemas.openxmlformats.org/officeDocument/2006/relationships/hyperlink" Target="https://stardewvalleywiki.com/Top_Hat" TargetMode="External"/><Relationship Id="rId18" Type="http://schemas.openxmlformats.org/officeDocument/2006/relationships/hyperlink" Target="https://stardewvalleywiki.com/Tailoring" TargetMode="External"/><Relationship Id="rId84" Type="http://schemas.openxmlformats.org/officeDocument/2006/relationships/hyperlink" Target="https://stardewvalleywiki.com/Panda_Hat" TargetMode="External"/><Relationship Id="rId83" Type="http://schemas.openxmlformats.org/officeDocument/2006/relationships/hyperlink" Target="https://stardewvalleywiki.com/Ginger_Island" TargetMode="External"/><Relationship Id="rId86" Type="http://schemas.openxmlformats.org/officeDocument/2006/relationships/hyperlink" Target="https://stardewvalleywiki.com/Pageboy_Cap" TargetMode="External"/><Relationship Id="rId85" Type="http://schemas.openxmlformats.org/officeDocument/2006/relationships/hyperlink" Target="https://stardewvalleywiki.com/Hats" TargetMode="External"/><Relationship Id="rId88" Type="http://schemas.openxmlformats.org/officeDocument/2006/relationships/hyperlink" Target="https://stardewvalleywiki.com/Official_Cap" TargetMode="External"/><Relationship Id="rId87" Type="http://schemas.openxmlformats.org/officeDocument/2006/relationships/hyperlink" Target="https://stardewvalleywiki.com/Books" TargetMode="External"/><Relationship Id="rId89" Type="http://schemas.openxmlformats.org/officeDocument/2006/relationships/hyperlink" Target="https://stardewvalleywiki.com/Fish" TargetMode="External"/><Relationship Id="rId80" Type="http://schemas.openxmlformats.org/officeDocument/2006/relationships/hyperlink" Target="https://stardewvalleywiki.com/Party_Hat_(green)" TargetMode="External"/><Relationship Id="rId82" Type="http://schemas.openxmlformats.org/officeDocument/2006/relationships/hyperlink" Target="https://stardewvalleywiki.com/Paper_Hat" TargetMode="External"/><Relationship Id="rId81" Type="http://schemas.openxmlformats.org/officeDocument/2006/relationships/hyperlink" Target="https://stardewvalleywiki.com/Tailoring" TargetMode="External"/><Relationship Id="rId73" Type="http://schemas.openxmlformats.org/officeDocument/2006/relationships/hyperlink" Target="https://stardewvalleywiki.com/Tailoring" TargetMode="External"/><Relationship Id="rId72" Type="http://schemas.openxmlformats.org/officeDocument/2006/relationships/hyperlink" Target="https://stardewvalleywiki.com/Pirate_Hat" TargetMode="External"/><Relationship Id="rId75" Type="http://schemas.openxmlformats.org/officeDocument/2006/relationships/hyperlink" Target="https://stardewvalleywiki.com/Volcano_Dungeon" TargetMode="External"/><Relationship Id="rId74" Type="http://schemas.openxmlformats.org/officeDocument/2006/relationships/hyperlink" Target="https://stardewvalleywiki.com/Pink_Bow" TargetMode="External"/><Relationship Id="rId77" Type="http://schemas.openxmlformats.org/officeDocument/2006/relationships/hyperlink" Target="https://stardewvalleywiki.com/Tailoring" TargetMode="External"/><Relationship Id="rId76" Type="http://schemas.openxmlformats.org/officeDocument/2006/relationships/hyperlink" Target="https://stardewvalleywiki.com/Party_Hat_(red)" TargetMode="External"/><Relationship Id="rId79" Type="http://schemas.openxmlformats.org/officeDocument/2006/relationships/hyperlink" Target="https://stardewvalleywiki.com/Tailoring" TargetMode="External"/><Relationship Id="rId78" Type="http://schemas.openxmlformats.org/officeDocument/2006/relationships/hyperlink" Target="https://stardewvalleywiki.com/Party_Hat_(blue)" TargetMode="External"/><Relationship Id="rId71" Type="http://schemas.openxmlformats.org/officeDocument/2006/relationships/hyperlink" Target="https://stardewvalleywiki.com/Cooking" TargetMode="External"/><Relationship Id="rId70" Type="http://schemas.openxmlformats.org/officeDocument/2006/relationships/hyperlink" Target="https://stardewvalleywiki.com/Plum_Chapeau" TargetMode="External"/><Relationship Id="rId62" Type="http://schemas.openxmlformats.org/officeDocument/2006/relationships/hyperlink" Target="https://stardewvalleywiki.com/Qi_Mask" TargetMode="External"/><Relationship Id="rId61" Type="http://schemas.openxmlformats.org/officeDocument/2006/relationships/hyperlink" Target="https://stardewvalleywiki.com/Giant_Stump" TargetMode="External"/><Relationship Id="rId64" Type="http://schemas.openxmlformats.org/officeDocument/2006/relationships/hyperlink" Target="https://stardewvalleywiki.com/Pumpkin_Mask" TargetMode="External"/><Relationship Id="rId63" Type="http://schemas.openxmlformats.org/officeDocument/2006/relationships/hyperlink" Target="https://stardewvalleywiki.com/Tailoring" TargetMode="External"/><Relationship Id="rId66" Type="http://schemas.openxmlformats.org/officeDocument/2006/relationships/hyperlink" Target="https://stardewvalleywiki.com/Propeller_Hat" TargetMode="External"/><Relationship Id="rId65" Type="http://schemas.openxmlformats.org/officeDocument/2006/relationships/hyperlink" Target="https://stardewvalleywiki.com/Tailoring" TargetMode="External"/><Relationship Id="rId68" Type="http://schemas.openxmlformats.org/officeDocument/2006/relationships/hyperlink" Target="https://stardewvalleywiki.com/Polka_Bow" TargetMode="External"/><Relationship Id="rId67" Type="http://schemas.openxmlformats.org/officeDocument/2006/relationships/hyperlink" Target="https://stardewvalleywiki.com/Tailoring" TargetMode="External"/><Relationship Id="rId60" Type="http://schemas.openxmlformats.org/officeDocument/2006/relationships/hyperlink" Target="https://stardewvalleywiki.com/Raccoon_Hat" TargetMode="External"/><Relationship Id="rId69" Type="http://schemas.openxmlformats.org/officeDocument/2006/relationships/hyperlink" Target="https://stardewvalleywiki.com/Quests" TargetMode="External"/><Relationship Id="rId51" Type="http://schemas.openxmlformats.org/officeDocument/2006/relationships/hyperlink" Target="https://stardewvalleywiki.com/Friendship" TargetMode="External"/><Relationship Id="rId50" Type="http://schemas.openxmlformats.org/officeDocument/2006/relationships/hyperlink" Target="https://stardewvalleywiki.com/Adventurer%27s_Guild" TargetMode="External"/><Relationship Id="rId53" Type="http://schemas.openxmlformats.org/officeDocument/2006/relationships/hyperlink" Target="https://stardewvalleywiki.com/Festival_of_Ice" TargetMode="External"/><Relationship Id="rId52" Type="http://schemas.openxmlformats.org/officeDocument/2006/relationships/hyperlink" Target="https://stardewvalleywiki.com/Sailor%27s_Cap" TargetMode="External"/><Relationship Id="rId55" Type="http://schemas.openxmlformats.org/officeDocument/2006/relationships/hyperlink" Target="https://stardewvalleywiki.com/Traveling_Cart" TargetMode="External"/><Relationship Id="rId54" Type="http://schemas.openxmlformats.org/officeDocument/2006/relationships/hyperlink" Target="https://stardewvalleywiki.com/Red_Fez" TargetMode="External"/><Relationship Id="rId57" Type="http://schemas.openxmlformats.org/officeDocument/2006/relationships/hyperlink" Target="https://stardewvalleywiki.com/Skull_Cavern" TargetMode="External"/><Relationship Id="rId56" Type="http://schemas.openxmlformats.org/officeDocument/2006/relationships/hyperlink" Target="https://stardewvalleywiki.com/Red_Cowboy_Hat" TargetMode="External"/><Relationship Id="rId59" Type="http://schemas.openxmlformats.org/officeDocument/2006/relationships/hyperlink" Target="https://stardewvalleywiki.com/Tailoring" TargetMode="External"/><Relationship Id="rId58" Type="http://schemas.openxmlformats.org/officeDocument/2006/relationships/hyperlink" Target="https://stardewvalleywiki.com/Radioactive_Goggles" TargetMode="External"/><Relationship Id="rId107" Type="http://schemas.openxmlformats.org/officeDocument/2006/relationships/hyperlink" Target="https://stardewvalleywiki.com/Living_Hat" TargetMode="External"/><Relationship Id="rId228" Type="http://schemas.openxmlformats.org/officeDocument/2006/relationships/hyperlink" Target="https://stardewvalleywiki.com/Arcane_Hat" TargetMode="External"/><Relationship Id="rId349" Type="http://schemas.openxmlformats.org/officeDocument/2006/relationships/hyperlink" Target="https://stardewvalleywiki.com/Coffee" TargetMode="External"/><Relationship Id="rId106" Type="http://schemas.openxmlformats.org/officeDocument/2006/relationships/hyperlink" Target="https://stardewvalleywiki.com/Tailoring" TargetMode="External"/><Relationship Id="rId227" Type="http://schemas.openxmlformats.org/officeDocument/2006/relationships/hyperlink" Target="https://stardewvalleywiki.com/Cooking" TargetMode="External"/><Relationship Id="rId348" Type="http://schemas.openxmlformats.org/officeDocument/2006/relationships/hyperlink" Target="https://stardewvalleywiki.com/Roe" TargetMode="External"/><Relationship Id="rId105" Type="http://schemas.openxmlformats.org/officeDocument/2006/relationships/hyperlink" Target="https://stardewvalleywiki.com/Logo_Cap" TargetMode="External"/><Relationship Id="rId226" Type="http://schemas.openxmlformats.org/officeDocument/2006/relationships/hyperlink" Target="https://stardewvalleywiki.com/Archer%27s_Cap" TargetMode="External"/><Relationship Id="rId347" Type="http://schemas.openxmlformats.org/officeDocument/2006/relationships/hyperlink" Target="https://stardewvalleywiki.com/Wool" TargetMode="External"/><Relationship Id="rId104" Type="http://schemas.openxmlformats.org/officeDocument/2006/relationships/hyperlink" Target="https://stardewvalleywiki.com/Lucky_Bow" TargetMode="External"/><Relationship Id="rId225" Type="http://schemas.openxmlformats.org/officeDocument/2006/relationships/hyperlink" Target="https://stardewvalleywiki.com/Tailoring" TargetMode="External"/><Relationship Id="rId346" Type="http://schemas.openxmlformats.org/officeDocument/2006/relationships/hyperlink" Target="https://stardewvalleywiki.com/Egg" TargetMode="External"/><Relationship Id="rId109" Type="http://schemas.openxmlformats.org/officeDocument/2006/relationships/hyperlink" Target="https://stardewvalleywiki.com/Leprechaun_Hat" TargetMode="External"/><Relationship Id="rId108" Type="http://schemas.openxmlformats.org/officeDocument/2006/relationships/hyperlink" Target="https://stardewvalleywiki.com/Weeds" TargetMode="External"/><Relationship Id="rId229" Type="http://schemas.openxmlformats.org/officeDocument/2006/relationships/hyperlink" Target="https://stardewvalleywiki.com/Adventurer%27s_Guild" TargetMode="External"/><Relationship Id="rId220" Type="http://schemas.openxmlformats.org/officeDocument/2006/relationships/hyperlink" Target="https://stardewvalleywiki.com/Blue_Bonnet" TargetMode="External"/><Relationship Id="rId341" Type="http://schemas.openxmlformats.org/officeDocument/2006/relationships/hyperlink" Target="https://stardewvalleywiki.com/Omni_Geode" TargetMode="External"/><Relationship Id="rId340" Type="http://schemas.openxmlformats.org/officeDocument/2006/relationships/hyperlink" Target="https://stardewvalleywiki.com/Oil" TargetMode="External"/><Relationship Id="rId103" Type="http://schemas.openxmlformats.org/officeDocument/2006/relationships/hyperlink" Target="https://stardewvalleywiki.com/Desert_Trader" TargetMode="External"/><Relationship Id="rId224" Type="http://schemas.openxmlformats.org/officeDocument/2006/relationships/hyperlink" Target="https://stardewvalleywiki.com/Beanie" TargetMode="External"/><Relationship Id="rId345" Type="http://schemas.openxmlformats.org/officeDocument/2006/relationships/hyperlink" Target="https://stardewvalleywiki.com/Bug_Meat" TargetMode="External"/><Relationship Id="rId102" Type="http://schemas.openxmlformats.org/officeDocument/2006/relationships/hyperlink" Target="https://stardewvalleywiki.com/Magic_Cowboy_Hat" TargetMode="External"/><Relationship Id="rId223" Type="http://schemas.openxmlformats.org/officeDocument/2006/relationships/hyperlink" Target="https://stardewvalleywiki.com/Tailoring" TargetMode="External"/><Relationship Id="rId344" Type="http://schemas.openxmlformats.org/officeDocument/2006/relationships/hyperlink" Target="https://stardewvalleywiki.com/Chanterelle" TargetMode="External"/><Relationship Id="rId101" Type="http://schemas.openxmlformats.org/officeDocument/2006/relationships/hyperlink" Target="https://stardewvalleywiki.com/Desert_Trader" TargetMode="External"/><Relationship Id="rId222" Type="http://schemas.openxmlformats.org/officeDocument/2006/relationships/hyperlink" Target="https://stardewvalleywiki.com/Blobfish_Mask" TargetMode="External"/><Relationship Id="rId343" Type="http://schemas.openxmlformats.org/officeDocument/2006/relationships/hyperlink" Target="https://stardewvalleywiki.com/Vinegar" TargetMode="External"/><Relationship Id="rId100" Type="http://schemas.openxmlformats.org/officeDocument/2006/relationships/hyperlink" Target="https://stardewvalleywiki.com/Magic_Turban" TargetMode="External"/><Relationship Id="rId221" Type="http://schemas.openxmlformats.org/officeDocument/2006/relationships/hyperlink" Target="https://stardewvalleywiki.com/Museum" TargetMode="External"/><Relationship Id="rId342" Type="http://schemas.openxmlformats.org/officeDocument/2006/relationships/hyperlink" Target="https://stardewvalleywiki.com/Winter_Root" TargetMode="External"/><Relationship Id="rId217" Type="http://schemas.openxmlformats.org/officeDocument/2006/relationships/hyperlink" Target="https://stardewvalleywiki.com/Skull_Cavern" TargetMode="External"/><Relationship Id="rId338" Type="http://schemas.openxmlformats.org/officeDocument/2006/relationships/hyperlink" Target="https://stardewvalleywiki.com/Ocean_Stone" TargetMode="External"/><Relationship Id="rId216" Type="http://schemas.openxmlformats.org/officeDocument/2006/relationships/hyperlink" Target="https://stardewvalleywiki.com/Blue_Cowboy_Hat" TargetMode="External"/><Relationship Id="rId337" Type="http://schemas.openxmlformats.org/officeDocument/2006/relationships/hyperlink" Target="https://stardewvalleywiki.com/Tom_Kha_Soup" TargetMode="External"/><Relationship Id="rId215" Type="http://schemas.openxmlformats.org/officeDocument/2006/relationships/hyperlink" Target="https://stardewvalleywiki.com/Stardew_Valley_Fair" TargetMode="External"/><Relationship Id="rId336" Type="http://schemas.openxmlformats.org/officeDocument/2006/relationships/hyperlink" Target="https://stardewvalleywiki.com/Blueberry_Tart" TargetMode="External"/><Relationship Id="rId214" Type="http://schemas.openxmlformats.org/officeDocument/2006/relationships/hyperlink" Target="https://stardewvalleywiki.com/Blue_Ribbon" TargetMode="External"/><Relationship Id="rId335" Type="http://schemas.openxmlformats.org/officeDocument/2006/relationships/hyperlink" Target="https://stardewvalleywiki.com/Morel" TargetMode="External"/><Relationship Id="rId219" Type="http://schemas.openxmlformats.org/officeDocument/2006/relationships/hyperlink" Target="https://stardewvalleywiki.com/Desert_Festival" TargetMode="External"/><Relationship Id="rId218" Type="http://schemas.openxmlformats.org/officeDocument/2006/relationships/hyperlink" Target="https://stardewvalleywiki.com/Blue_Bow" TargetMode="External"/><Relationship Id="rId339" Type="http://schemas.openxmlformats.org/officeDocument/2006/relationships/hyperlink" Target="https://stardewvalleywiki.com/Glass_Shards" TargetMode="External"/><Relationship Id="rId330" Type="http://schemas.openxmlformats.org/officeDocument/2006/relationships/hyperlink" Target="https://stardewvalleywiki.com/Magic_Rock_Candy" TargetMode="External"/><Relationship Id="rId213" Type="http://schemas.openxmlformats.org/officeDocument/2006/relationships/hyperlink" Target="https://stardewvalleywiki.com/Island_Trader" TargetMode="External"/><Relationship Id="rId334" Type="http://schemas.openxmlformats.org/officeDocument/2006/relationships/hyperlink" Target="https://stardewvalleywiki.com/Dandelion" TargetMode="External"/><Relationship Id="rId212" Type="http://schemas.openxmlformats.org/officeDocument/2006/relationships/hyperlink" Target="https://stardewvalleywiki.com/Bluebird_Mask" TargetMode="External"/><Relationship Id="rId333" Type="http://schemas.openxmlformats.org/officeDocument/2006/relationships/hyperlink" Target="https://stardewvalleywiki.com/Seafoam_Pudding" TargetMode="External"/><Relationship Id="rId211" Type="http://schemas.openxmlformats.org/officeDocument/2006/relationships/hyperlink" Target="https://stardewvalleywiki.com/Bowler_Hat" TargetMode="External"/><Relationship Id="rId332" Type="http://schemas.openxmlformats.org/officeDocument/2006/relationships/hyperlink" Target="https://stardewvalleywiki.com/Squid_Ink" TargetMode="External"/><Relationship Id="rId210" Type="http://schemas.openxmlformats.org/officeDocument/2006/relationships/hyperlink" Target="https://stardewvalleywiki.com/Tailoring" TargetMode="External"/><Relationship Id="rId331" Type="http://schemas.openxmlformats.org/officeDocument/2006/relationships/hyperlink" Target="https://stardewvalleywiki.com/Vegetable_Medley" TargetMode="External"/><Relationship Id="rId370" Type="http://schemas.openxmlformats.org/officeDocument/2006/relationships/hyperlink" Target="https://stardewvalleywiki.com/Radish_Salad" TargetMode="External"/><Relationship Id="rId129" Type="http://schemas.openxmlformats.org/officeDocument/2006/relationships/hyperlink" Target="https://stardewvalleywiki.com/Tailoring" TargetMode="External"/><Relationship Id="rId128" Type="http://schemas.openxmlformats.org/officeDocument/2006/relationships/hyperlink" Target="https://stardewvalleywiki.com/Hair_Bone" TargetMode="External"/><Relationship Id="rId249" Type="http://schemas.openxmlformats.org/officeDocument/2006/relationships/hyperlink" Target="https://stardewvalleywiki.com/Bone_Flute" TargetMode="External"/><Relationship Id="rId127" Type="http://schemas.openxmlformats.org/officeDocument/2006/relationships/hyperlink" Target="https://stardewvalleywiki.com/Adventurer%27s_Guild" TargetMode="External"/><Relationship Id="rId248" Type="http://schemas.openxmlformats.org/officeDocument/2006/relationships/hyperlink" Target="https://stardewvalleywiki.com/Frozen_Geode" TargetMode="External"/><Relationship Id="rId369" Type="http://schemas.openxmlformats.org/officeDocument/2006/relationships/hyperlink" Target="https://stardewvalleywiki.com/Shrimp_Cocktail" TargetMode="External"/><Relationship Id="rId126" Type="http://schemas.openxmlformats.org/officeDocument/2006/relationships/hyperlink" Target="https://stardewvalleywiki.com/Hard_Hat" TargetMode="External"/><Relationship Id="rId247" Type="http://schemas.openxmlformats.org/officeDocument/2006/relationships/hyperlink" Target="https://stardewvalleywiki.com/Octopus" TargetMode="External"/><Relationship Id="rId368" Type="http://schemas.openxmlformats.org/officeDocument/2006/relationships/hyperlink" Target="https://stardewvalleywiki.com/Plum_Pudding" TargetMode="External"/><Relationship Id="rId121" Type="http://schemas.openxmlformats.org/officeDocument/2006/relationships/hyperlink" Target="https://stardewvalleywiki.com/Iridium_Pan_(hat)" TargetMode="External"/><Relationship Id="rId242" Type="http://schemas.openxmlformats.org/officeDocument/2006/relationships/hyperlink" Target="https://stardewvalleywiki.com/Fiber" TargetMode="External"/><Relationship Id="rId363" Type="http://schemas.openxmlformats.org/officeDocument/2006/relationships/hyperlink" Target="https://stardewvalleywiki.com/Spaghetti" TargetMode="External"/><Relationship Id="rId120" Type="http://schemas.openxmlformats.org/officeDocument/2006/relationships/hyperlink" Target="https://stardewvalleywiki.com/Movie_Theater" TargetMode="External"/><Relationship Id="rId241" Type="http://schemas.openxmlformats.org/officeDocument/2006/relationships/hyperlink" Target="https://stardewvalleywiki.com/Tailoring" TargetMode="External"/><Relationship Id="rId362" Type="http://schemas.openxmlformats.org/officeDocument/2006/relationships/hyperlink" Target="https://stardewvalleywiki.com/Rusty_Spoon" TargetMode="External"/><Relationship Id="rId240" Type="http://schemas.openxmlformats.org/officeDocument/2006/relationships/hyperlink" Target="https://stardewvalleywiki.com/Fluorapatite" TargetMode="External"/><Relationship Id="rId361" Type="http://schemas.openxmlformats.org/officeDocument/2006/relationships/hyperlink" Target="https://stardewvalleywiki.com/Ice_Cream" TargetMode="External"/><Relationship Id="rId360" Type="http://schemas.openxmlformats.org/officeDocument/2006/relationships/hyperlink" Target="https://stardewvalleywiki.com/Golden_Relic" TargetMode="External"/><Relationship Id="rId125" Type="http://schemas.openxmlformats.org/officeDocument/2006/relationships/hyperlink" Target="https://stardewvalleywiki.com/Hunter%27s_Cap" TargetMode="External"/><Relationship Id="rId246" Type="http://schemas.openxmlformats.org/officeDocument/2006/relationships/hyperlink" Target="https://stardewvalleywiki.com/Fiddlehead_Risotto" TargetMode="External"/><Relationship Id="rId367" Type="http://schemas.openxmlformats.org/officeDocument/2006/relationships/hyperlink" Target="https://stardewvalleywiki.com/Orpiment" TargetMode="External"/><Relationship Id="rId124" Type="http://schemas.openxmlformats.org/officeDocument/2006/relationships/hyperlink" Target="https://stardewvalleywiki.com/Infinity_Blade" TargetMode="External"/><Relationship Id="rId245" Type="http://schemas.openxmlformats.org/officeDocument/2006/relationships/hyperlink" Target="https://stardewvalleywiki.com/Beer" TargetMode="External"/><Relationship Id="rId366" Type="http://schemas.openxmlformats.org/officeDocument/2006/relationships/hyperlink" Target="https://stardewvalleywiki.com/Dish_O%27_The_Sea" TargetMode="External"/><Relationship Id="rId123" Type="http://schemas.openxmlformats.org/officeDocument/2006/relationships/hyperlink" Target="https://stardewvalleywiki.com/Infinity_Crown" TargetMode="External"/><Relationship Id="rId244" Type="http://schemas.openxmlformats.org/officeDocument/2006/relationships/hyperlink" Target="https://stardewvalleywiki.com/Rainbow_Shell" TargetMode="External"/><Relationship Id="rId365" Type="http://schemas.openxmlformats.org/officeDocument/2006/relationships/hyperlink" Target="https://stardewvalleywiki.com/Bruschetta" TargetMode="External"/><Relationship Id="rId122" Type="http://schemas.openxmlformats.org/officeDocument/2006/relationships/hyperlink" Target="https://stardewvalleywiki.com/Pans" TargetMode="External"/><Relationship Id="rId243" Type="http://schemas.openxmlformats.org/officeDocument/2006/relationships/hyperlink" Target="https://stardewvalleywiki.com/Autumn%27s_Bounty" TargetMode="External"/><Relationship Id="rId364" Type="http://schemas.openxmlformats.org/officeDocument/2006/relationships/hyperlink" Target="https://stardewvalleywiki.com/Carrot" TargetMode="External"/><Relationship Id="rId95" Type="http://schemas.openxmlformats.org/officeDocument/2006/relationships/hyperlink" Target="https://stardewvalleywiki.com/Desert_Festival" TargetMode="External"/><Relationship Id="rId94" Type="http://schemas.openxmlformats.org/officeDocument/2006/relationships/hyperlink" Target="https://stardewvalleywiki.com/Mummy_Mask" TargetMode="External"/><Relationship Id="rId97" Type="http://schemas.openxmlformats.org/officeDocument/2006/relationships/hyperlink" Target="https://stardewvalleywiki.com/Qi%27s_Walnut_Room" TargetMode="External"/><Relationship Id="rId96" Type="http://schemas.openxmlformats.org/officeDocument/2006/relationships/hyperlink" Target="https://stardewvalleywiki.com/Mr._Qi%27s_Hat" TargetMode="External"/><Relationship Id="rId99" Type="http://schemas.openxmlformats.org/officeDocument/2006/relationships/hyperlink" Target="https://stardewvalleywiki.com/Friendship" TargetMode="External"/><Relationship Id="rId98" Type="http://schemas.openxmlformats.org/officeDocument/2006/relationships/hyperlink" Target="https://stardewvalleywiki.com/Mouse_Ears" TargetMode="External"/><Relationship Id="rId91" Type="http://schemas.openxmlformats.org/officeDocument/2006/relationships/hyperlink" Target="https://stardewvalleywiki.com/Mystery_Box" TargetMode="External"/><Relationship Id="rId90" Type="http://schemas.openxmlformats.org/officeDocument/2006/relationships/hyperlink" Target="https://stardewvalleywiki.com/Mystery_Hat" TargetMode="External"/><Relationship Id="rId93" Type="http://schemas.openxmlformats.org/officeDocument/2006/relationships/hyperlink" Target="https://stardewvalleywiki.com/Mushroom_Tree" TargetMode="External"/><Relationship Id="rId92" Type="http://schemas.openxmlformats.org/officeDocument/2006/relationships/hyperlink" Target="https://stardewvalleywiki.com/Mushroom_Cap" TargetMode="External"/><Relationship Id="rId118" Type="http://schemas.openxmlformats.org/officeDocument/2006/relationships/hyperlink" Target="https://stardewvalleywiki.com/Desert_Festival" TargetMode="External"/><Relationship Id="rId239" Type="http://schemas.openxmlformats.org/officeDocument/2006/relationships/hyperlink" Target="https://stardewvalleywiki.com/Kyanite" TargetMode="External"/><Relationship Id="rId117" Type="http://schemas.openxmlformats.org/officeDocument/2006/relationships/hyperlink" Target="https://stardewvalleywiki.com/Joja_Cap" TargetMode="External"/><Relationship Id="rId238" Type="http://schemas.openxmlformats.org/officeDocument/2006/relationships/hyperlink" Target="https://stardewvalleywiki.com/Jasper" TargetMode="External"/><Relationship Id="rId359" Type="http://schemas.openxmlformats.org/officeDocument/2006/relationships/hyperlink" Target="https://stardewvalleywiki.com/Ancient_Drum" TargetMode="External"/><Relationship Id="rId116" Type="http://schemas.openxmlformats.org/officeDocument/2006/relationships/hyperlink" Target="https://stardewvalleywiki.com/The_Summit" TargetMode="External"/><Relationship Id="rId237" Type="http://schemas.openxmlformats.org/officeDocument/2006/relationships/hyperlink" Target="https://stardewvalleywiki.com/Banana_Pudding" TargetMode="External"/><Relationship Id="rId358" Type="http://schemas.openxmlformats.org/officeDocument/2006/relationships/hyperlink" Target="https://stardewvalleywiki.com/Red_Plate" TargetMode="External"/><Relationship Id="rId115" Type="http://schemas.openxmlformats.org/officeDocument/2006/relationships/hyperlink" Target="https://stardewvalleywiki.com/Junimo_Hat" TargetMode="External"/><Relationship Id="rId236" Type="http://schemas.openxmlformats.org/officeDocument/2006/relationships/hyperlink" Target="https://stardewvalleywiki.com/Duck_Mayonnaise" TargetMode="External"/><Relationship Id="rId357" Type="http://schemas.openxmlformats.org/officeDocument/2006/relationships/hyperlink" Target="https://stardewvalleywiki.com/Cranberry_Candy" TargetMode="External"/><Relationship Id="rId119" Type="http://schemas.openxmlformats.org/officeDocument/2006/relationships/hyperlink" Target="https://stardewvalleywiki.com/Jester_Hat" TargetMode="External"/><Relationship Id="rId110" Type="http://schemas.openxmlformats.org/officeDocument/2006/relationships/hyperlink" Target="https://stardewvalleywiki.com/Abandoned_House" TargetMode="External"/><Relationship Id="rId231" Type="http://schemas.openxmlformats.org/officeDocument/2006/relationships/hyperlink" Target="https://stardewvalleywiki.com/Desert_Festival" TargetMode="External"/><Relationship Id="rId352" Type="http://schemas.openxmlformats.org/officeDocument/2006/relationships/hyperlink" Target="https://stardewvalleywiki.com/Prismatic_Shard" TargetMode="External"/><Relationship Id="rId230" Type="http://schemas.openxmlformats.org/officeDocument/2006/relationships/hyperlink" Target="https://stardewvalleywiki.com/Abigail%27s_Bow" TargetMode="External"/><Relationship Id="rId351" Type="http://schemas.openxmlformats.org/officeDocument/2006/relationships/hyperlink" Target="https://stardewvalleywiki.com/Prismatic_Shard" TargetMode="External"/><Relationship Id="rId350" Type="http://schemas.openxmlformats.org/officeDocument/2006/relationships/hyperlink" Target="https://stardewvalleywiki.com/Prismatic_Shard" TargetMode="External"/><Relationship Id="rId114" Type="http://schemas.openxmlformats.org/officeDocument/2006/relationships/hyperlink" Target="https://stardewvalleywiki.com/Adventurer%27s_Guild" TargetMode="External"/><Relationship Id="rId235" Type="http://schemas.openxmlformats.org/officeDocument/2006/relationships/hyperlink" Target="https://stardewvalleywiki.com/Chipped_Amphora" TargetMode="External"/><Relationship Id="rId356" Type="http://schemas.openxmlformats.org/officeDocument/2006/relationships/hyperlink" Target="https://stardewvalleywiki.com/Magma_Geode" TargetMode="External"/><Relationship Id="rId113" Type="http://schemas.openxmlformats.org/officeDocument/2006/relationships/hyperlink" Target="https://stardewvalleywiki.com/Knight%27s_Helmet" TargetMode="External"/><Relationship Id="rId234" Type="http://schemas.openxmlformats.org/officeDocument/2006/relationships/hyperlink" Target="https://stardewvalleywiki.com/Cactus_Fruit" TargetMode="External"/><Relationship Id="rId355" Type="http://schemas.openxmlformats.org/officeDocument/2006/relationships/hyperlink" Target="https://stardewvalleywiki.com/Hashbrowns" TargetMode="External"/><Relationship Id="rId112" Type="http://schemas.openxmlformats.org/officeDocument/2006/relationships/hyperlink" Target="https://stardewvalleywiki.com/Desert_Festival" TargetMode="External"/><Relationship Id="rId233" Type="http://schemas.openxmlformats.org/officeDocument/2006/relationships/hyperlink" Target="https://stardewvalleywiki.com/Forge" TargetMode="External"/><Relationship Id="rId354" Type="http://schemas.openxmlformats.org/officeDocument/2006/relationships/hyperlink" Target="https://stardewvalleywiki.com/Trout_Soup" TargetMode="External"/><Relationship Id="rId111" Type="http://schemas.openxmlformats.org/officeDocument/2006/relationships/hyperlink" Target="https://stardewvalleywiki.com/Laurel_Wreath_Crown" TargetMode="External"/><Relationship Id="rId232" Type="http://schemas.openxmlformats.org/officeDocument/2006/relationships/hyperlink" Target="https://stardewvalleywiki.com/%3F%3F%3F_(hat)" TargetMode="External"/><Relationship Id="rId353" Type="http://schemas.openxmlformats.org/officeDocument/2006/relationships/hyperlink" Target="https://stardewvalleywiki.com/Crayfish" TargetMode="External"/><Relationship Id="rId305" Type="http://schemas.openxmlformats.org/officeDocument/2006/relationships/hyperlink" Target="https://stardewvalleywiki.com/Fiddlehead_Fern" TargetMode="External"/><Relationship Id="rId426" Type="http://schemas.openxmlformats.org/officeDocument/2006/relationships/hyperlink" Target="https://stardewvalleywiki.com/Prismatic_Shard" TargetMode="External"/><Relationship Id="rId304" Type="http://schemas.openxmlformats.org/officeDocument/2006/relationships/hyperlink" Target="https://stardewvalleywiki.com/Super_Meal" TargetMode="External"/><Relationship Id="rId425" Type="http://schemas.openxmlformats.org/officeDocument/2006/relationships/hyperlink" Target="https://stardewvalleywiki.com/Orange" TargetMode="External"/><Relationship Id="rId303" Type="http://schemas.openxmlformats.org/officeDocument/2006/relationships/hyperlink" Target="https://stardewvalleywiki.com/Rhubarb" TargetMode="External"/><Relationship Id="rId424" Type="http://schemas.openxmlformats.org/officeDocument/2006/relationships/hyperlink" Target="https://stardewvalleywiki.com/Apple" TargetMode="External"/><Relationship Id="rId302" Type="http://schemas.openxmlformats.org/officeDocument/2006/relationships/hyperlink" Target="https://stardewvalleywiki.com/Malachite" TargetMode="External"/><Relationship Id="rId423" Type="http://schemas.openxmlformats.org/officeDocument/2006/relationships/hyperlink" Target="https://stardewvalleywiki.com/Honey" TargetMode="External"/><Relationship Id="rId309" Type="http://schemas.openxmlformats.org/officeDocument/2006/relationships/hyperlink" Target="https://stardewvalleywiki.com/Lemon_Stone" TargetMode="External"/><Relationship Id="rId308" Type="http://schemas.openxmlformats.org/officeDocument/2006/relationships/hyperlink" Target="https://stardewvalleywiki.com/Bean_Hotpot" TargetMode="External"/><Relationship Id="rId307" Type="http://schemas.openxmlformats.org/officeDocument/2006/relationships/hyperlink" Target="https://stardewvalleywiki.com/Ancient_Sword" TargetMode="External"/><Relationship Id="rId428" Type="http://schemas.openxmlformats.org/officeDocument/2006/relationships/drawing" Target="../drawings/drawing3.xml"/><Relationship Id="rId306" Type="http://schemas.openxmlformats.org/officeDocument/2006/relationships/hyperlink" Target="https://stardewvalleywiki.com/Jamborite" TargetMode="External"/><Relationship Id="rId427" Type="http://schemas.openxmlformats.org/officeDocument/2006/relationships/hyperlink" Target="https://stardewvalleywiki.com/Prismatic_Shard" TargetMode="External"/><Relationship Id="rId301" Type="http://schemas.openxmlformats.org/officeDocument/2006/relationships/hyperlink" Target="https://stardewvalleywiki.com/Cave_Carrot" TargetMode="External"/><Relationship Id="rId422" Type="http://schemas.openxmlformats.org/officeDocument/2006/relationships/hyperlink" Target="https://stardewvalleywiki.com/Slime_Egg" TargetMode="External"/><Relationship Id="rId300" Type="http://schemas.openxmlformats.org/officeDocument/2006/relationships/hyperlink" Target="https://stardewvalleywiki.com/Quartz" TargetMode="External"/><Relationship Id="rId421" Type="http://schemas.openxmlformats.org/officeDocument/2006/relationships/hyperlink" Target="https://stardewvalleywiki.com/Ancient_Fruit" TargetMode="External"/><Relationship Id="rId420" Type="http://schemas.openxmlformats.org/officeDocument/2006/relationships/hyperlink" Target="https://stardewvalleywiki.com/Hay" TargetMode="External"/><Relationship Id="rId415" Type="http://schemas.openxmlformats.org/officeDocument/2006/relationships/hyperlink" Target="https://stardewvalleywiki.com/Blueberry" TargetMode="External"/><Relationship Id="rId414" Type="http://schemas.openxmlformats.org/officeDocument/2006/relationships/hyperlink" Target="https://stardewvalleywiki.com/Cranberries" TargetMode="External"/><Relationship Id="rId413" Type="http://schemas.openxmlformats.org/officeDocument/2006/relationships/hyperlink" Target="https://stardewvalleywiki.com/Mango_Sticky_Rice" TargetMode="External"/><Relationship Id="rId412" Type="http://schemas.openxmlformats.org/officeDocument/2006/relationships/hyperlink" Target="https://stardewvalleywiki.com/Omelet" TargetMode="External"/><Relationship Id="rId419" Type="http://schemas.openxmlformats.org/officeDocument/2006/relationships/hyperlink" Target="https://stardewvalleywiki.com/Dinosaur_Mayonnaise" TargetMode="External"/><Relationship Id="rId418" Type="http://schemas.openxmlformats.org/officeDocument/2006/relationships/hyperlink" Target="https://stardewvalleywiki.com/Poppy" TargetMode="External"/><Relationship Id="rId417" Type="http://schemas.openxmlformats.org/officeDocument/2006/relationships/hyperlink" Target="https://stardewvalleywiki.com/Blue_Jazz" TargetMode="External"/><Relationship Id="rId416" Type="http://schemas.openxmlformats.org/officeDocument/2006/relationships/hyperlink" Target="https://stardewvalleywiki.com/Fairy_Rose" TargetMode="External"/><Relationship Id="rId411" Type="http://schemas.openxmlformats.org/officeDocument/2006/relationships/hyperlink" Target="https://stardewvalleywiki.com/Strange_Doll_(green)" TargetMode="External"/><Relationship Id="rId410" Type="http://schemas.openxmlformats.org/officeDocument/2006/relationships/hyperlink" Target="https://stardewvalleywiki.com/Stone" TargetMode="External"/><Relationship Id="rId206" Type="http://schemas.openxmlformats.org/officeDocument/2006/relationships/hyperlink" Target="https://stardewvalleywiki.com/Friendship" TargetMode="External"/><Relationship Id="rId327" Type="http://schemas.openxmlformats.org/officeDocument/2006/relationships/hyperlink" Target="https://stardewvalleywiki.com/Duck_Feather" TargetMode="External"/><Relationship Id="rId205" Type="http://schemas.openxmlformats.org/officeDocument/2006/relationships/hyperlink" Target="https://stardewvalleywiki.com/Butterfly_Bow" TargetMode="External"/><Relationship Id="rId326" Type="http://schemas.openxmlformats.org/officeDocument/2006/relationships/hyperlink" Target="https://stardewvalleywiki.com/Rice_Pudding" TargetMode="External"/><Relationship Id="rId204" Type="http://schemas.openxmlformats.org/officeDocument/2006/relationships/hyperlink" Target="https://stardewvalleywiki.com/Friendship" TargetMode="External"/><Relationship Id="rId325" Type="http://schemas.openxmlformats.org/officeDocument/2006/relationships/hyperlink" Target="https://stardewvalleywiki.com/Mayonnaise" TargetMode="External"/><Relationship Id="rId203" Type="http://schemas.openxmlformats.org/officeDocument/2006/relationships/hyperlink" Target="https://stardewvalleywiki.com/Cat_Ears" TargetMode="External"/><Relationship Id="rId324" Type="http://schemas.openxmlformats.org/officeDocument/2006/relationships/hyperlink" Target="https://stardewvalleywiki.com/Harvey%27s_Clinic" TargetMode="External"/><Relationship Id="rId209" Type="http://schemas.openxmlformats.org/officeDocument/2006/relationships/hyperlink" Target="https://stardewvalleywiki.com/Bridal_Veil" TargetMode="External"/><Relationship Id="rId208" Type="http://schemas.openxmlformats.org/officeDocument/2006/relationships/hyperlink" Target="https://stardewvalleywiki.com/Trout_Derby" TargetMode="External"/><Relationship Id="rId329" Type="http://schemas.openxmlformats.org/officeDocument/2006/relationships/hyperlink" Target="https://stardewvalleywiki.com/Magma_Cap" TargetMode="External"/><Relationship Id="rId207" Type="http://schemas.openxmlformats.org/officeDocument/2006/relationships/hyperlink" Target="https://stardewvalleywiki.com/Bucket_Hat" TargetMode="External"/><Relationship Id="rId328" Type="http://schemas.openxmlformats.org/officeDocument/2006/relationships/hyperlink" Target="https://stardewvalleywiki.com/Leek" TargetMode="External"/><Relationship Id="rId202" Type="http://schemas.openxmlformats.org/officeDocument/2006/relationships/hyperlink" Target="https://stardewvalleywiki.com/Cooking" TargetMode="External"/><Relationship Id="rId323" Type="http://schemas.openxmlformats.org/officeDocument/2006/relationships/hyperlink" Target="https://stardewvalleywiki.com/Jagoite" TargetMode="External"/><Relationship Id="rId201" Type="http://schemas.openxmlformats.org/officeDocument/2006/relationships/hyperlink" Target="https://stardewvalleywiki.com/Chef_Hat" TargetMode="External"/><Relationship Id="rId322" Type="http://schemas.openxmlformats.org/officeDocument/2006/relationships/hyperlink" Target="https://stardewvalleywiki.com/Seaweed" TargetMode="External"/><Relationship Id="rId200" Type="http://schemas.openxmlformats.org/officeDocument/2006/relationships/hyperlink" Target="https://stardewvalleywiki.com/Quests" TargetMode="External"/><Relationship Id="rId321" Type="http://schemas.openxmlformats.org/officeDocument/2006/relationships/hyperlink" Target="https://stardewvalleywiki.com/Elvish_Jewelry" TargetMode="External"/><Relationship Id="rId320" Type="http://schemas.openxmlformats.org/officeDocument/2006/relationships/hyperlink" Target="https://stardewvalleywiki.com/Pyrite" TargetMode="External"/><Relationship Id="rId316" Type="http://schemas.openxmlformats.org/officeDocument/2006/relationships/hyperlink" Target="https://stardewvalleywiki.com/Poi" TargetMode="External"/><Relationship Id="rId315" Type="http://schemas.openxmlformats.org/officeDocument/2006/relationships/hyperlink" Target="https://stardewvalleywiki.com/Pumpkin_Pie" TargetMode="External"/><Relationship Id="rId314" Type="http://schemas.openxmlformats.org/officeDocument/2006/relationships/hyperlink" Target="https://stardewvalleywiki.com/Deluxe_Speed-Gro" TargetMode="External"/><Relationship Id="rId313" Type="http://schemas.openxmlformats.org/officeDocument/2006/relationships/hyperlink" Target="https://stardewvalleywiki.com/Basic_Fertilizer" TargetMode="External"/><Relationship Id="rId319" Type="http://schemas.openxmlformats.org/officeDocument/2006/relationships/hyperlink" Target="https://stardewvalleywiki.com/Golden_Coconut" TargetMode="External"/><Relationship Id="rId318" Type="http://schemas.openxmlformats.org/officeDocument/2006/relationships/hyperlink" Target="https://stardewvalleywiki.com/Iridium_Ore" TargetMode="External"/><Relationship Id="rId317" Type="http://schemas.openxmlformats.org/officeDocument/2006/relationships/hyperlink" Target="https://stardewvalleywiki.com/Iridium_Bar" TargetMode="External"/><Relationship Id="rId312" Type="http://schemas.openxmlformats.org/officeDocument/2006/relationships/hyperlink" Target="https://stardewvalleywiki.com/Torch" TargetMode="External"/><Relationship Id="rId311" Type="http://schemas.openxmlformats.org/officeDocument/2006/relationships/hyperlink" Target="https://stardewvalleywiki.com/Strange_Bun" TargetMode="External"/><Relationship Id="rId310" Type="http://schemas.openxmlformats.org/officeDocument/2006/relationships/hyperlink" Target="https://stardewvalleywiki.com/Oasis"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stardewvalleywiki.com/Daisy" TargetMode="External"/><Relationship Id="rId194" Type="http://schemas.openxmlformats.org/officeDocument/2006/relationships/hyperlink" Target="https://stardewvalleywiki.com/Cowgal_Hat" TargetMode="External"/><Relationship Id="rId193" Type="http://schemas.openxmlformats.org/officeDocument/2006/relationships/hyperlink" Target="https://stardewvalleywiki.com/Shipping" TargetMode="External"/><Relationship Id="rId192" Type="http://schemas.openxmlformats.org/officeDocument/2006/relationships/hyperlink" Target="https://stardewvalleywiki.com/Cowpoke_Hat" TargetMode="External"/><Relationship Id="rId191" Type="http://schemas.openxmlformats.org/officeDocument/2006/relationships/hyperlink" Target="https://stardewvalleywiki.com/Crafting" TargetMode="External"/><Relationship Id="rId187" Type="http://schemas.openxmlformats.org/officeDocument/2006/relationships/hyperlink" Target="https://stardewvalleywiki.com/Skull_Cavern" TargetMode="External"/><Relationship Id="rId186" Type="http://schemas.openxmlformats.org/officeDocument/2006/relationships/hyperlink" Target="https://stardewvalleywiki.com/Dark_Cowboy_Hat" TargetMode="External"/><Relationship Id="rId185" Type="http://schemas.openxmlformats.org/officeDocument/2006/relationships/hyperlink" Target="https://stardewvalleywiki.com/Desert_Festival" TargetMode="External"/><Relationship Id="rId184" Type="http://schemas.openxmlformats.org/officeDocument/2006/relationships/hyperlink" Target="https://stardewvalleywiki.com/Dark_Velvet_Bow" TargetMode="External"/><Relationship Id="rId189" Type="http://schemas.openxmlformats.org/officeDocument/2006/relationships/hyperlink" Target="https://stardewvalleywiki.com/Desert_Festival" TargetMode="External"/><Relationship Id="rId188" Type="http://schemas.openxmlformats.org/officeDocument/2006/relationships/hyperlink" Target="https://stardewvalleywiki.com/Dark_Ballcap" TargetMode="External"/><Relationship Id="rId183" Type="http://schemas.openxmlformats.org/officeDocument/2006/relationships/hyperlink" Target="https://stardewvalleywiki.com/Cooking" TargetMode="External"/><Relationship Id="rId182" Type="http://schemas.openxmlformats.org/officeDocument/2006/relationships/hyperlink" Target="https://stardewvalleywiki.com/Delicate_Bow" TargetMode="External"/><Relationship Id="rId181" Type="http://schemas.openxmlformats.org/officeDocument/2006/relationships/hyperlink" Target="https://stardewvalleywiki.com/Island_Trader" TargetMode="External"/><Relationship Id="rId180" Type="http://schemas.openxmlformats.org/officeDocument/2006/relationships/hyperlink" Target="https://stardewvalleywiki.com/Deluxe_Cowboy_Hat" TargetMode="External"/><Relationship Id="rId176" Type="http://schemas.openxmlformats.org/officeDocument/2006/relationships/hyperlink" Target="https://stardewvalleywiki.com/Dinosaur_Hat" TargetMode="External"/><Relationship Id="rId297" Type="http://schemas.openxmlformats.org/officeDocument/2006/relationships/hyperlink" Target="https://stardewvalleywiki.com/Gold_Bar" TargetMode="External"/><Relationship Id="rId175" Type="http://schemas.openxmlformats.org/officeDocument/2006/relationships/hyperlink" Target="https://stardewvalleywiki.com/Friendship" TargetMode="External"/><Relationship Id="rId296" Type="http://schemas.openxmlformats.org/officeDocument/2006/relationships/hyperlink" Target="https://stardewvalleywiki.com/Aged_Roe" TargetMode="External"/><Relationship Id="rId174" Type="http://schemas.openxmlformats.org/officeDocument/2006/relationships/hyperlink" Target="https://stardewvalleywiki.com/Earmuffs" TargetMode="External"/><Relationship Id="rId295" Type="http://schemas.openxmlformats.org/officeDocument/2006/relationships/hyperlink" Target="https://stardewvalleywiki.com/Ginger_Ale" TargetMode="External"/><Relationship Id="rId173" Type="http://schemas.openxmlformats.org/officeDocument/2006/relationships/hyperlink" Target="https://stardewvalleywiki.com/Achievements" TargetMode="External"/><Relationship Id="rId294" Type="http://schemas.openxmlformats.org/officeDocument/2006/relationships/hyperlink" Target="https://stardewvalleywiki.com/Chowder" TargetMode="External"/><Relationship Id="rId179" Type="http://schemas.openxmlformats.org/officeDocument/2006/relationships/hyperlink" Target="https://stardewvalleywiki.com/Volcano_Dungeon" TargetMode="External"/><Relationship Id="rId178" Type="http://schemas.openxmlformats.org/officeDocument/2006/relationships/hyperlink" Target="https://stardewvalleywiki.com/Deluxe_Pirate_Hat" TargetMode="External"/><Relationship Id="rId299" Type="http://schemas.openxmlformats.org/officeDocument/2006/relationships/hyperlink" Target="https://stardewvalleywiki.com/Maru" TargetMode="External"/><Relationship Id="rId177" Type="http://schemas.openxmlformats.org/officeDocument/2006/relationships/hyperlink" Target="https://stardewvalleywiki.com/Tailoring" TargetMode="External"/><Relationship Id="rId298" Type="http://schemas.openxmlformats.org/officeDocument/2006/relationships/hyperlink" Target="https://stardewvalleywiki.com/Dried_Starfish" TargetMode="External"/><Relationship Id="rId198" Type="http://schemas.openxmlformats.org/officeDocument/2006/relationships/hyperlink" Target="https://stardewvalleywiki.com/Copper_Pan_(hat)" TargetMode="External"/><Relationship Id="rId197" Type="http://schemas.openxmlformats.org/officeDocument/2006/relationships/hyperlink" Target="https://stardewvalleywiki.com/Museum" TargetMode="External"/><Relationship Id="rId196" Type="http://schemas.openxmlformats.org/officeDocument/2006/relationships/hyperlink" Target="https://stardewvalleywiki.com/Cowboy_Hat" TargetMode="External"/><Relationship Id="rId195" Type="http://schemas.openxmlformats.org/officeDocument/2006/relationships/hyperlink" Target="https://stardewvalleywiki.com/Shipping" TargetMode="External"/><Relationship Id="rId199" Type="http://schemas.openxmlformats.org/officeDocument/2006/relationships/hyperlink" Target="https://stardewvalleywiki.com/Pans" TargetMode="External"/><Relationship Id="rId150" Type="http://schemas.openxmlformats.org/officeDocument/2006/relationships/hyperlink" Target="https://stardewvalleywiki.com/Gil%27s_Hat" TargetMode="External"/><Relationship Id="rId271" Type="http://schemas.openxmlformats.org/officeDocument/2006/relationships/hyperlink" Target="https://stardewvalleywiki.com/Copper_Bar" TargetMode="External"/><Relationship Id="rId392" Type="http://schemas.openxmlformats.org/officeDocument/2006/relationships/hyperlink" Target="https://stardewvalleywiki.com/Sap" TargetMode="External"/><Relationship Id="rId270" Type="http://schemas.openxmlformats.org/officeDocument/2006/relationships/hyperlink" Target="https://stardewvalleywiki.com/Green_Algae" TargetMode="External"/><Relationship Id="rId391" Type="http://schemas.openxmlformats.org/officeDocument/2006/relationships/hyperlink" Target="https://stardewvalleywiki.com/Glazed_Yams" TargetMode="External"/><Relationship Id="rId390" Type="http://schemas.openxmlformats.org/officeDocument/2006/relationships/hyperlink" Target="https://stardewvalleywiki.com/Bouquet"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stardewvalleywiki.com/Crafting" TargetMode="External"/><Relationship Id="rId4" Type="http://schemas.openxmlformats.org/officeDocument/2006/relationships/hyperlink" Target="https://stardewvalleywiki.com/Witch_Hat" TargetMode="External"/><Relationship Id="rId148" Type="http://schemas.openxmlformats.org/officeDocument/2006/relationships/hyperlink" Target="https://stardewvalleywiki.com/Gnome%27s_Cap" TargetMode="External"/><Relationship Id="rId269" Type="http://schemas.openxmlformats.org/officeDocument/2006/relationships/hyperlink" Target="https://stardewvalleywiki.com/Helvite" TargetMode="External"/><Relationship Id="rId9" Type="http://schemas.openxmlformats.org/officeDocument/2006/relationships/hyperlink" Target="https://stardewvalleywiki.com/Wearable_Dwarf_Helm" TargetMode="External"/><Relationship Id="rId143" Type="http://schemas.openxmlformats.org/officeDocument/2006/relationships/hyperlink" Target="https://stardewvalleywiki.com/Pans" TargetMode="External"/><Relationship Id="rId264" Type="http://schemas.openxmlformats.org/officeDocument/2006/relationships/hyperlink" Target="https://stardewvalleywiki.com/Carp_Surprise" TargetMode="External"/><Relationship Id="rId385" Type="http://schemas.openxmlformats.org/officeDocument/2006/relationships/hyperlink" Target="https://stardewvalleywiki.com/Fried_Calamari" TargetMode="External"/><Relationship Id="rId142" Type="http://schemas.openxmlformats.org/officeDocument/2006/relationships/hyperlink" Target="https://stardewvalleywiki.com/Gold_Pan_(hat)" TargetMode="External"/><Relationship Id="rId263" Type="http://schemas.openxmlformats.org/officeDocument/2006/relationships/hyperlink" Target="https://stardewvalleywiki.com/Large_Egg" TargetMode="External"/><Relationship Id="rId384" Type="http://schemas.openxmlformats.org/officeDocument/2006/relationships/hyperlink" Target="https://stardewvalleywiki.com/Iron_Bar" TargetMode="External"/><Relationship Id="rId141" Type="http://schemas.openxmlformats.org/officeDocument/2006/relationships/hyperlink" Target="https://stardewvalleywiki.com/Golden_Coconut" TargetMode="External"/><Relationship Id="rId262" Type="http://schemas.openxmlformats.org/officeDocument/2006/relationships/hyperlink" Target="https://stardewvalleywiki.com/Anchor" TargetMode="External"/><Relationship Id="rId383" Type="http://schemas.openxmlformats.org/officeDocument/2006/relationships/hyperlink" Target="https://stardewvalleywiki.com/Star_Shards" TargetMode="External"/><Relationship Id="rId140" Type="http://schemas.openxmlformats.org/officeDocument/2006/relationships/hyperlink" Target="https://stardewvalleywiki.com/Golden_Helmet" TargetMode="External"/><Relationship Id="rId261" Type="http://schemas.openxmlformats.org/officeDocument/2006/relationships/hyperlink" Target="https://stardewvalleywiki.com/Chewing_Stick" TargetMode="External"/><Relationship Id="rId382" Type="http://schemas.openxmlformats.org/officeDocument/2006/relationships/hyperlink" Target="https://stardewvalleywiki.com/Juice" TargetMode="External"/><Relationship Id="rId5" Type="http://schemas.openxmlformats.org/officeDocument/2006/relationships/hyperlink" Target="https://stardewvalleywiki.com/Tailoring" TargetMode="External"/><Relationship Id="rId147" Type="http://schemas.openxmlformats.org/officeDocument/2006/relationships/hyperlink" Target="https://stardewvalleywiki.com/Shipping" TargetMode="External"/><Relationship Id="rId268" Type="http://schemas.openxmlformats.org/officeDocument/2006/relationships/hyperlink" Target="https://stardewvalleywiki.com/Complete_Breakfast" TargetMode="External"/><Relationship Id="rId389" Type="http://schemas.openxmlformats.org/officeDocument/2006/relationships/hyperlink" Target="https://stardewvalleywiki.com/Sugar" TargetMode="External"/><Relationship Id="rId6" Type="http://schemas.openxmlformats.org/officeDocument/2006/relationships/hyperlink" Target="https://stardewvalleywiki.com/White_Turban" TargetMode="External"/><Relationship Id="rId146" Type="http://schemas.openxmlformats.org/officeDocument/2006/relationships/hyperlink" Target="https://stardewvalleywiki.com/Goblin_Mask" TargetMode="External"/><Relationship Id="rId267" Type="http://schemas.openxmlformats.org/officeDocument/2006/relationships/hyperlink" Target="https://stardewvalleywiki.com/Rusty_Cog" TargetMode="External"/><Relationship Id="rId388" Type="http://schemas.openxmlformats.org/officeDocument/2006/relationships/hyperlink" Target="https://stardewvalleywiki.com/Obsidian" TargetMode="External"/><Relationship Id="rId7" Type="http://schemas.openxmlformats.org/officeDocument/2006/relationships/hyperlink" Target="https://stardewvalleywiki.com/Tailoring" TargetMode="External"/><Relationship Id="rId145" Type="http://schemas.openxmlformats.org/officeDocument/2006/relationships/hyperlink" Target="https://stardewvalleywiki.com/Tailoring" TargetMode="External"/><Relationship Id="rId266" Type="http://schemas.openxmlformats.org/officeDocument/2006/relationships/hyperlink" Target="https://stardewvalleywiki.com/Escargot" TargetMode="External"/><Relationship Id="rId387" Type="http://schemas.openxmlformats.org/officeDocument/2006/relationships/hyperlink" Target="https://stardewvalleywiki.com/Corn" TargetMode="External"/><Relationship Id="rId8" Type="http://schemas.openxmlformats.org/officeDocument/2006/relationships/hyperlink" Target="https://stardewvalleywiki.com/White_Bow" TargetMode="External"/><Relationship Id="rId144" Type="http://schemas.openxmlformats.org/officeDocument/2006/relationships/hyperlink" Target="https://stardewvalleywiki.com/Goggles" TargetMode="External"/><Relationship Id="rId265" Type="http://schemas.openxmlformats.org/officeDocument/2006/relationships/hyperlink" Target="https://stardewvalleywiki.com/Prehistoric_Handaxe" TargetMode="External"/><Relationship Id="rId386" Type="http://schemas.openxmlformats.org/officeDocument/2006/relationships/hyperlink" Target="https://stardewvalleywiki.com/Coral" TargetMode="External"/><Relationship Id="rId260" Type="http://schemas.openxmlformats.org/officeDocument/2006/relationships/hyperlink" Target="https://stardewvalleywiki.com/Stir_Fry" TargetMode="External"/><Relationship Id="rId381" Type="http://schemas.openxmlformats.org/officeDocument/2006/relationships/hyperlink" Target="https://stardewvalleywiki.com/Arrowhead" TargetMode="External"/><Relationship Id="rId380" Type="http://schemas.openxmlformats.org/officeDocument/2006/relationships/hyperlink" Target="https://stardewvalleywiki.com/Petrified_Slime" TargetMode="External"/><Relationship Id="rId139" Type="http://schemas.openxmlformats.org/officeDocument/2006/relationships/hyperlink" Target="https://stardewvalleywiki.com/Tailoring" TargetMode="External"/><Relationship Id="rId138" Type="http://schemas.openxmlformats.org/officeDocument/2006/relationships/hyperlink" Target="https://stardewvalleywiki.com/Golden_Mask_(hat)" TargetMode="External"/><Relationship Id="rId259" Type="http://schemas.openxmlformats.org/officeDocument/2006/relationships/hyperlink" Target="https://stardewvalleywiki.com/Survival_Burger" TargetMode="External"/><Relationship Id="rId137" Type="http://schemas.openxmlformats.org/officeDocument/2006/relationships/hyperlink" Target="https://stardewvalleywiki.com/Good_Ol%27_Cap" TargetMode="External"/><Relationship Id="rId258" Type="http://schemas.openxmlformats.org/officeDocument/2006/relationships/hyperlink" Target="https://stardewvalleywiki.com/Ancient_Seed" TargetMode="External"/><Relationship Id="rId379" Type="http://schemas.openxmlformats.org/officeDocument/2006/relationships/hyperlink" Target="https://stardewvalleywiki.com/Large_Milk" TargetMode="External"/><Relationship Id="rId132" Type="http://schemas.openxmlformats.org/officeDocument/2006/relationships/hyperlink" Target="https://stardewvalleywiki.com/Tailoring" TargetMode="External"/><Relationship Id="rId253" Type="http://schemas.openxmlformats.org/officeDocument/2006/relationships/hyperlink" Target="https://stardewvalleywiki.com/Strange_Doll_(yellow)" TargetMode="External"/><Relationship Id="rId374" Type="http://schemas.openxmlformats.org/officeDocument/2006/relationships/hyperlink" Target="https://stardewvalleywiki.com/Haunted_Skull" TargetMode="External"/><Relationship Id="rId131" Type="http://schemas.openxmlformats.org/officeDocument/2006/relationships/hyperlink" Target="https://stardewvalleywiki.com/Hair_Bone" TargetMode="External"/><Relationship Id="rId252" Type="http://schemas.openxmlformats.org/officeDocument/2006/relationships/hyperlink" Target="https://stardewvalleywiki.com/Bone_Flute" TargetMode="External"/><Relationship Id="rId373" Type="http://schemas.openxmlformats.org/officeDocument/2006/relationships/hyperlink" Target="https://stardewvalleywiki.com/Radish_Salad" TargetMode="External"/><Relationship Id="rId130" Type="http://schemas.openxmlformats.org/officeDocument/2006/relationships/hyperlink" Target="https://stardewvalleywiki.com/Adventurer%27s_Guild" TargetMode="External"/><Relationship Id="rId251" Type="http://schemas.openxmlformats.org/officeDocument/2006/relationships/hyperlink" Target="https://stardewvalleywiki.com/Frozen_Geode" TargetMode="External"/><Relationship Id="rId372" Type="http://schemas.openxmlformats.org/officeDocument/2006/relationships/hyperlink" Target="https://stardewvalleywiki.com/Shrimp_Cocktail" TargetMode="External"/><Relationship Id="rId250" Type="http://schemas.openxmlformats.org/officeDocument/2006/relationships/hyperlink" Target="https://stardewvalleywiki.com/Octopus" TargetMode="External"/><Relationship Id="rId371" Type="http://schemas.openxmlformats.org/officeDocument/2006/relationships/hyperlink" Target="https://stardewvalleywiki.com/Plum_Pudding" TargetMode="External"/><Relationship Id="rId136" Type="http://schemas.openxmlformats.org/officeDocument/2006/relationships/hyperlink" Target="https://stardewvalleywiki.com/Luau" TargetMode="External"/><Relationship Id="rId257" Type="http://schemas.openxmlformats.org/officeDocument/2006/relationships/hyperlink" Target="https://stardewvalleywiki.com/Hazelnut" TargetMode="External"/><Relationship Id="rId378" Type="http://schemas.openxmlformats.org/officeDocument/2006/relationships/hyperlink" Target="https://stardewvalleywiki.com/Emerald" TargetMode="External"/><Relationship Id="rId135" Type="http://schemas.openxmlformats.org/officeDocument/2006/relationships/hyperlink" Target="https://stardewvalleywiki.com/Governor%27s_Hat" TargetMode="External"/><Relationship Id="rId256" Type="http://schemas.openxmlformats.org/officeDocument/2006/relationships/hyperlink" Target="https://stardewvalleywiki.com/Mudstone" TargetMode="External"/><Relationship Id="rId377" Type="http://schemas.openxmlformats.org/officeDocument/2006/relationships/hyperlink" Target="https://stardewvalleywiki.com/Prehistoric_Skull" TargetMode="External"/><Relationship Id="rId134" Type="http://schemas.openxmlformats.org/officeDocument/2006/relationships/hyperlink" Target="https://stardewvalleywiki.com/Desert_Trader" TargetMode="External"/><Relationship Id="rId255" Type="http://schemas.openxmlformats.org/officeDocument/2006/relationships/hyperlink" Target="https://stardewvalleywiki.com/Ornamental_Fan" TargetMode="External"/><Relationship Id="rId376" Type="http://schemas.openxmlformats.org/officeDocument/2006/relationships/hyperlink" Target="https://stardewvalleywiki.com/Haunted_Skull" TargetMode="External"/><Relationship Id="rId133" Type="http://schemas.openxmlformats.org/officeDocument/2006/relationships/hyperlink" Target="https://stardewvalleywiki.com/Green_Turban" TargetMode="External"/><Relationship Id="rId254" Type="http://schemas.openxmlformats.org/officeDocument/2006/relationships/hyperlink" Target="https://stardewvalleywiki.com/Bomb" TargetMode="External"/><Relationship Id="rId375" Type="http://schemas.openxmlformats.org/officeDocument/2006/relationships/hyperlink" Target="https://stardewvalleywiki.com/Bone_Fragment" TargetMode="External"/><Relationship Id="rId172" Type="http://schemas.openxmlformats.org/officeDocument/2006/relationships/hyperlink" Target="https://stardewvalleywiki.com/Elegant_Turban" TargetMode="External"/><Relationship Id="rId293" Type="http://schemas.openxmlformats.org/officeDocument/2006/relationships/hyperlink" Target="https://stardewvalleywiki.com/Fried_Egg" TargetMode="External"/><Relationship Id="rId171" Type="http://schemas.openxmlformats.org/officeDocument/2006/relationships/hyperlink" Target="https://stardewvalleywiki.com/Emily" TargetMode="External"/><Relationship Id="rId292" Type="http://schemas.openxmlformats.org/officeDocument/2006/relationships/hyperlink" Target="https://stardewvalleywiki.com/Chicken_Statue" TargetMode="External"/><Relationship Id="rId170" Type="http://schemas.openxmlformats.org/officeDocument/2006/relationships/hyperlink" Target="https://stardewvalleywiki.com/Emily%27s_Magic_Hat" TargetMode="External"/><Relationship Id="rId291" Type="http://schemas.openxmlformats.org/officeDocument/2006/relationships/hyperlink" Target="https://stardewvalleywiki.com/Coffee_Bean" TargetMode="External"/><Relationship Id="rId290" Type="http://schemas.openxmlformats.org/officeDocument/2006/relationships/hyperlink" Target="https://stardewvalleywiki.com/Spicy_Eel" TargetMode="External"/><Relationship Id="rId165" Type="http://schemas.openxmlformats.org/officeDocument/2006/relationships/hyperlink" Target="https://stardewvalleywiki.com/Stardew_Valley_Fair" TargetMode="External"/><Relationship Id="rId286" Type="http://schemas.openxmlformats.org/officeDocument/2006/relationships/hyperlink" Target="https://stardewvalleywiki.com/Salmon" TargetMode="External"/><Relationship Id="rId164" Type="http://schemas.openxmlformats.org/officeDocument/2006/relationships/hyperlink" Target="https://stardewvalleywiki.com/Fedora" TargetMode="External"/><Relationship Id="rId285" Type="http://schemas.openxmlformats.org/officeDocument/2006/relationships/hyperlink" Target="https://stardewvalleywiki.com/Ancient_Doll" TargetMode="External"/><Relationship Id="rId163" Type="http://schemas.openxmlformats.org/officeDocument/2006/relationships/hyperlink" Target="https://stardewvalleywiki.com/Tailoring" TargetMode="External"/><Relationship Id="rId284" Type="http://schemas.openxmlformats.org/officeDocument/2006/relationships/hyperlink" Target="https://stardewvalleywiki.com/Maple_Bar" TargetMode="External"/><Relationship Id="rId162" Type="http://schemas.openxmlformats.org/officeDocument/2006/relationships/hyperlink" Target="https://stardewvalleywiki.com/Fishing_Hat" TargetMode="External"/><Relationship Id="rId283" Type="http://schemas.openxmlformats.org/officeDocument/2006/relationships/hyperlink" Target="https://stardewvalleywiki.com/Field_Snack" TargetMode="External"/><Relationship Id="rId169" Type="http://schemas.openxmlformats.org/officeDocument/2006/relationships/hyperlink" Target="https://stardewvalleywiki.com/Fish" TargetMode="External"/><Relationship Id="rId168" Type="http://schemas.openxmlformats.org/officeDocument/2006/relationships/hyperlink" Target="https://stardewvalleywiki.com/Eye_Patch" TargetMode="External"/><Relationship Id="rId289" Type="http://schemas.openxmlformats.org/officeDocument/2006/relationships/hyperlink" Target="https://stardewvalleywiki.com/Bream" TargetMode="External"/><Relationship Id="rId167" Type="http://schemas.openxmlformats.org/officeDocument/2006/relationships/hyperlink" Target="https://stardewvalleywiki.com/Tailoring" TargetMode="External"/><Relationship Id="rId288" Type="http://schemas.openxmlformats.org/officeDocument/2006/relationships/hyperlink" Target="https://stardewvalleywiki.com/Holly" TargetMode="External"/><Relationship Id="rId166" Type="http://schemas.openxmlformats.org/officeDocument/2006/relationships/hyperlink" Target="https://stardewvalleywiki.com/Fashion_Hat" TargetMode="External"/><Relationship Id="rId287" Type="http://schemas.openxmlformats.org/officeDocument/2006/relationships/hyperlink" Target="https://stardewvalleywiki.com/Harvey%27s_Clinic" TargetMode="External"/><Relationship Id="rId161" Type="http://schemas.openxmlformats.org/officeDocument/2006/relationships/hyperlink" Target="https://stardewvalleywiki.com/Tailoring" TargetMode="External"/><Relationship Id="rId282" Type="http://schemas.openxmlformats.org/officeDocument/2006/relationships/hyperlink" Target="https://stardewvalleywiki.com/Wilted_Bouquet" TargetMode="External"/><Relationship Id="rId160" Type="http://schemas.openxmlformats.org/officeDocument/2006/relationships/hyperlink" Target="https://stardewvalleywiki.com/Flat_Topped_Hat" TargetMode="External"/><Relationship Id="rId281" Type="http://schemas.openxmlformats.org/officeDocument/2006/relationships/hyperlink" Target="https://stardewvalleywiki.com/Tigerseye" TargetMode="External"/><Relationship Id="rId280" Type="http://schemas.openxmlformats.org/officeDocument/2006/relationships/hyperlink" Target="https://stardewvalleywiki.com/Bat_Wing" TargetMode="External"/><Relationship Id="rId159" Type="http://schemas.openxmlformats.org/officeDocument/2006/relationships/hyperlink" Target="https://stardewvalleywiki.com/Tailoring" TargetMode="External"/><Relationship Id="rId154" Type="http://schemas.openxmlformats.org/officeDocument/2006/relationships/hyperlink" Target="https://stardewvalleywiki.com/Frog_Hat" TargetMode="External"/><Relationship Id="rId275" Type="http://schemas.openxmlformats.org/officeDocument/2006/relationships/hyperlink" Target="https://stardewvalleywiki.com/Haunted_Skull" TargetMode="External"/><Relationship Id="rId396" Type="http://schemas.openxmlformats.org/officeDocument/2006/relationships/hyperlink" Target="https://stardewvalleywiki.com/Marble" TargetMode="External"/><Relationship Id="rId153" Type="http://schemas.openxmlformats.org/officeDocument/2006/relationships/hyperlink" Target="https://stardewvalleywiki.com/Garbage_Can" TargetMode="External"/><Relationship Id="rId274" Type="http://schemas.openxmlformats.org/officeDocument/2006/relationships/hyperlink" Target="https://stardewvalleywiki.com/Amaranth" TargetMode="External"/><Relationship Id="rId395" Type="http://schemas.openxmlformats.org/officeDocument/2006/relationships/hyperlink" Target="https://stardewvalleywiki.com/Cheese_Cauliflower" TargetMode="External"/><Relationship Id="rId152" Type="http://schemas.openxmlformats.org/officeDocument/2006/relationships/hyperlink" Target="https://stardewvalleywiki.com/Garbage_Hat" TargetMode="External"/><Relationship Id="rId273" Type="http://schemas.openxmlformats.org/officeDocument/2006/relationships/hyperlink" Target="https://stardewvalleywiki.com/Wheat" TargetMode="External"/><Relationship Id="rId394" Type="http://schemas.openxmlformats.org/officeDocument/2006/relationships/hyperlink" Target="https://stardewvalleywiki.com/Green_Tea" TargetMode="External"/><Relationship Id="rId151" Type="http://schemas.openxmlformats.org/officeDocument/2006/relationships/hyperlink" Target="https://stardewvalleywiki.com/Desert_Festival" TargetMode="External"/><Relationship Id="rId272" Type="http://schemas.openxmlformats.org/officeDocument/2006/relationships/hyperlink" Target="https://stardewvalleywiki.com/Crab_Cakes" TargetMode="External"/><Relationship Id="rId393" Type="http://schemas.openxmlformats.org/officeDocument/2006/relationships/hyperlink" Target="https://stardewvalleywiki.com/Radish" TargetMode="External"/><Relationship Id="rId158" Type="http://schemas.openxmlformats.org/officeDocument/2006/relationships/hyperlink" Target="https://stardewvalleywiki.com/Floppy_Beanie" TargetMode="External"/><Relationship Id="rId279" Type="http://schemas.openxmlformats.org/officeDocument/2006/relationships/hyperlink" Target="https://stardewvalleywiki.com/Frozen_Tear" TargetMode="External"/><Relationship Id="rId157" Type="http://schemas.openxmlformats.org/officeDocument/2006/relationships/hyperlink" Target="https://stardewvalleywiki.com/Tailoring" TargetMode="External"/><Relationship Id="rId278" Type="http://schemas.openxmlformats.org/officeDocument/2006/relationships/hyperlink" Target="https://stardewvalleywiki.com/Life_Elixir" TargetMode="External"/><Relationship Id="rId399" Type="http://schemas.openxmlformats.org/officeDocument/2006/relationships/hyperlink" Target="https://stardewvalleywiki.com/Pancakes" TargetMode="External"/><Relationship Id="rId156" Type="http://schemas.openxmlformats.org/officeDocument/2006/relationships/hyperlink" Target="https://stardewvalleywiki.com/Forager%27s_Hat" TargetMode="External"/><Relationship Id="rId277" Type="http://schemas.openxmlformats.org/officeDocument/2006/relationships/hyperlink" Target="https://stardewvalleywiki.com/Haunted_Skull" TargetMode="External"/><Relationship Id="rId398" Type="http://schemas.openxmlformats.org/officeDocument/2006/relationships/hyperlink" Target="https://stardewvalleywiki.com/Tortilla" TargetMode="External"/><Relationship Id="rId155" Type="http://schemas.openxmlformats.org/officeDocument/2006/relationships/hyperlink" Target="https://stardewvalleywiki.com/Fishing" TargetMode="External"/><Relationship Id="rId276" Type="http://schemas.openxmlformats.org/officeDocument/2006/relationships/hyperlink" Target="https://stardewvalleywiki.com/Truffle" TargetMode="External"/><Relationship Id="rId397" Type="http://schemas.openxmlformats.org/officeDocument/2006/relationships/hyperlink" Target="https://stardewvalleywiki.com/Tomato" TargetMode="External"/><Relationship Id="rId40" Type="http://schemas.openxmlformats.org/officeDocument/2006/relationships/hyperlink" Target="https://stardewvalleywiki.com/SquidFest" TargetMode="External"/><Relationship Id="rId42" Type="http://schemas.openxmlformats.org/officeDocument/2006/relationships/hyperlink" Target="https://stardewvalleywiki.com/Tailoring" TargetMode="External"/><Relationship Id="rId41" Type="http://schemas.openxmlformats.org/officeDocument/2006/relationships/hyperlink" Target="https://stardewvalleywiki.com/Spotted_Headscarf" TargetMode="External"/><Relationship Id="rId44" Type="http://schemas.openxmlformats.org/officeDocument/2006/relationships/hyperlink" Target="https://stardewvalleywiki.com/Mayor%27s_Manor" TargetMode="External"/><Relationship Id="rId43" Type="http://schemas.openxmlformats.org/officeDocument/2006/relationships/hyperlink" Target="https://stardewvalleywiki.com/Sports_Cap" TargetMode="External"/><Relationship Id="rId46" Type="http://schemas.openxmlformats.org/officeDocument/2006/relationships/hyperlink" Target="https://stardewvalleywiki.com/The_Mines" TargetMode="External"/><Relationship Id="rId45" Type="http://schemas.openxmlformats.org/officeDocument/2006/relationships/hyperlink" Target="https://stardewvalleywiki.com/Space_Helmet" TargetMode="External"/><Relationship Id="rId48" Type="http://schemas.openxmlformats.org/officeDocument/2006/relationships/hyperlink" Target="https://stardewvalleywiki.com/Fish" TargetMode="External"/><Relationship Id="rId47" Type="http://schemas.openxmlformats.org/officeDocument/2006/relationships/hyperlink" Target="https://stardewvalleywiki.com/Sou%27wester" TargetMode="External"/><Relationship Id="rId49" Type="http://schemas.openxmlformats.org/officeDocument/2006/relationships/hyperlink" Target="https://stardewvalleywiki.com/Sombrero" TargetMode="External"/><Relationship Id="rId31" Type="http://schemas.openxmlformats.org/officeDocument/2006/relationships/hyperlink" Target="https://stardewvalleywiki.com/Tailoring" TargetMode="External"/><Relationship Id="rId30" Type="http://schemas.openxmlformats.org/officeDocument/2006/relationships/hyperlink" Target="https://stardewvalleywiki.com/Sunglasses" TargetMode="External"/><Relationship Id="rId33" Type="http://schemas.openxmlformats.org/officeDocument/2006/relationships/hyperlink" Target="https://stardewvalleywiki.com/Egg_Festival" TargetMode="External"/><Relationship Id="rId32" Type="http://schemas.openxmlformats.org/officeDocument/2006/relationships/hyperlink" Target="https://stardewvalleywiki.com/Straw_Hat" TargetMode="External"/><Relationship Id="rId35" Type="http://schemas.openxmlformats.org/officeDocument/2006/relationships/hyperlink" Target="https://stardewvalleywiki.com/Pans" TargetMode="External"/><Relationship Id="rId34" Type="http://schemas.openxmlformats.org/officeDocument/2006/relationships/hyperlink" Target="https://stardewvalleywiki.com/Steel_Pan_(hat)" TargetMode="External"/><Relationship Id="rId37" Type="http://schemas.openxmlformats.org/officeDocument/2006/relationships/hyperlink" Target="https://stardewvalleywiki.com/Squire%27s_Helmet" TargetMode="External"/><Relationship Id="rId36" Type="http://schemas.openxmlformats.org/officeDocument/2006/relationships/hyperlink" Target="https://stardewvalleywiki.com/Tailoring" TargetMode="External"/><Relationship Id="rId39" Type="http://schemas.openxmlformats.org/officeDocument/2006/relationships/hyperlink" Target="https://stardewvalleywiki.com/Squid_Hat" TargetMode="External"/><Relationship Id="rId38" Type="http://schemas.openxmlformats.org/officeDocument/2006/relationships/hyperlink" Target="https://stardewvalleywiki.com/Metal_Head" TargetMode="External"/><Relationship Id="rId20" Type="http://schemas.openxmlformats.org/officeDocument/2006/relationships/hyperlink" Target="https://stardewvalleywiki.com/Totem_Mask" TargetMode="External"/><Relationship Id="rId22" Type="http://schemas.openxmlformats.org/officeDocument/2006/relationships/hyperlink" Target="https://stardewvalleywiki.com/Top_Hat" TargetMode="External"/><Relationship Id="rId21" Type="http://schemas.openxmlformats.org/officeDocument/2006/relationships/hyperlink" Target="https://stardewvalleywiki.com/Tailoring" TargetMode="External"/><Relationship Id="rId24" Type="http://schemas.openxmlformats.org/officeDocument/2006/relationships/hyperlink" Target="https://stardewvalleywiki.com/Tiger_Hat" TargetMode="External"/><Relationship Id="rId23" Type="http://schemas.openxmlformats.org/officeDocument/2006/relationships/hyperlink" Target="https://stardewvalleywiki.com/Casino" TargetMode="External"/><Relationship Id="rId409" Type="http://schemas.openxmlformats.org/officeDocument/2006/relationships/hyperlink" Target="https://stardewvalleywiki.com/Poppyseed_Muffin" TargetMode="External"/><Relationship Id="rId404" Type="http://schemas.openxmlformats.org/officeDocument/2006/relationships/hyperlink" Target="https://stardewvalleywiki.com/Pepper_Poppers" TargetMode="External"/><Relationship Id="rId403" Type="http://schemas.openxmlformats.org/officeDocument/2006/relationships/hyperlink" Target="https://stardewvalleywiki.com/Sea_Cucumber" TargetMode="External"/><Relationship Id="rId402" Type="http://schemas.openxmlformats.org/officeDocument/2006/relationships/hyperlink" Target="https://stardewvalleywiki.com/Tropical_Curry" TargetMode="External"/><Relationship Id="rId401" Type="http://schemas.openxmlformats.org/officeDocument/2006/relationships/hyperlink" Target="https://stardewvalleywiki.com/Artifact_Trove" TargetMode="External"/><Relationship Id="rId408" Type="http://schemas.openxmlformats.org/officeDocument/2006/relationships/hyperlink" Target="https://stardewvalleywiki.com/Wheat_Flour" TargetMode="External"/><Relationship Id="rId407" Type="http://schemas.openxmlformats.org/officeDocument/2006/relationships/hyperlink" Target="https://stardewvalleywiki.com/Hematite" TargetMode="External"/><Relationship Id="rId406" Type="http://schemas.openxmlformats.org/officeDocument/2006/relationships/hyperlink" Target="https://stardewvalleywiki.com/Coconut" TargetMode="External"/><Relationship Id="rId405" Type="http://schemas.openxmlformats.org/officeDocument/2006/relationships/hyperlink" Target="https://stardewvalleywiki.com/Copper_Ore" TargetMode="External"/><Relationship Id="rId26" Type="http://schemas.openxmlformats.org/officeDocument/2006/relationships/hyperlink" Target="https://stardewvalleywiki.com/Tiara" TargetMode="External"/><Relationship Id="rId25" Type="http://schemas.openxmlformats.org/officeDocument/2006/relationships/hyperlink" Target="https://stardewvalleywiki.com/Slimes" TargetMode="External"/><Relationship Id="rId28" Type="http://schemas.openxmlformats.org/officeDocument/2006/relationships/hyperlink" Target="https://stardewvalleywiki.com/Swashbuckler_Hat" TargetMode="External"/><Relationship Id="rId27" Type="http://schemas.openxmlformats.org/officeDocument/2006/relationships/hyperlink" Target="https://stardewvalleywiki.com/Friendship" TargetMode="External"/><Relationship Id="rId400" Type="http://schemas.openxmlformats.org/officeDocument/2006/relationships/hyperlink" Target="https://stardewvalleywiki.com/Broken_CD" TargetMode="External"/><Relationship Id="rId29" Type="http://schemas.openxmlformats.org/officeDocument/2006/relationships/hyperlink" Target="https://stardewvalleywiki.com/Tailoring" TargetMode="External"/><Relationship Id="rId11" Type="http://schemas.openxmlformats.org/officeDocument/2006/relationships/hyperlink" Target="https://stardewvalleywiki.com/Watermelon_Band" TargetMode="External"/><Relationship Id="rId10" Type="http://schemas.openxmlformats.org/officeDocument/2006/relationships/hyperlink" Target="https://stardewvalleywiki.com/Tailoring" TargetMode="External"/><Relationship Id="rId13" Type="http://schemas.openxmlformats.org/officeDocument/2006/relationships/hyperlink" Target="https://stardewvalleywiki.com/Warrior_Helmet" TargetMode="External"/><Relationship Id="rId12" Type="http://schemas.openxmlformats.org/officeDocument/2006/relationships/hyperlink" Target="https://stardewvalleywiki.com/Fish" TargetMode="External"/><Relationship Id="rId15" Type="http://schemas.openxmlformats.org/officeDocument/2006/relationships/hyperlink" Target="https://stardewvalleywiki.com/Trucker_Hat" TargetMode="External"/><Relationship Id="rId14" Type="http://schemas.openxmlformats.org/officeDocument/2006/relationships/hyperlink" Target="https://stardewvalleywiki.com/Tailoring" TargetMode="External"/><Relationship Id="rId17" Type="http://schemas.openxmlformats.org/officeDocument/2006/relationships/hyperlink" Target="https://stardewvalleywiki.com/Tropiclip" TargetMode="External"/><Relationship Id="rId16" Type="http://schemas.openxmlformats.org/officeDocument/2006/relationships/hyperlink" Target="https://stardewvalleywiki.com/Crafting" TargetMode="External"/><Relationship Id="rId19" Type="http://schemas.openxmlformats.org/officeDocument/2006/relationships/hyperlink" Target="https://stardewvalleywiki.com/Desert_Festival" TargetMode="External"/><Relationship Id="rId18" Type="http://schemas.openxmlformats.org/officeDocument/2006/relationships/hyperlink" Target="https://stardewvalleywiki.com/Tricorn_Hat" TargetMode="External"/><Relationship Id="rId84" Type="http://schemas.openxmlformats.org/officeDocument/2006/relationships/hyperlink" Target="https://stardewvalleywiki.com/Tailoring" TargetMode="External"/><Relationship Id="rId83" Type="http://schemas.openxmlformats.org/officeDocument/2006/relationships/hyperlink" Target="https://stardewvalleywiki.com/Party_Hat_(green)" TargetMode="External"/><Relationship Id="rId86" Type="http://schemas.openxmlformats.org/officeDocument/2006/relationships/hyperlink" Target="https://stardewvalleywiki.com/Ginger_Island" TargetMode="External"/><Relationship Id="rId85" Type="http://schemas.openxmlformats.org/officeDocument/2006/relationships/hyperlink" Target="https://stardewvalleywiki.com/Paper_Hat" TargetMode="External"/><Relationship Id="rId88" Type="http://schemas.openxmlformats.org/officeDocument/2006/relationships/hyperlink" Target="https://stardewvalleywiki.com/Hats" TargetMode="External"/><Relationship Id="rId87" Type="http://schemas.openxmlformats.org/officeDocument/2006/relationships/hyperlink" Target="https://stardewvalleywiki.com/Panda_Hat" TargetMode="External"/><Relationship Id="rId89" Type="http://schemas.openxmlformats.org/officeDocument/2006/relationships/hyperlink" Target="https://stardewvalleywiki.com/Pageboy_Cap" TargetMode="External"/><Relationship Id="rId80" Type="http://schemas.openxmlformats.org/officeDocument/2006/relationships/hyperlink" Target="https://stardewvalleywiki.com/Tailoring" TargetMode="External"/><Relationship Id="rId82" Type="http://schemas.openxmlformats.org/officeDocument/2006/relationships/hyperlink" Target="https://stardewvalleywiki.com/Tailoring" TargetMode="External"/><Relationship Id="rId81" Type="http://schemas.openxmlformats.org/officeDocument/2006/relationships/hyperlink" Target="https://stardewvalleywiki.com/Party_Hat_(blue)" TargetMode="External"/><Relationship Id="rId73" Type="http://schemas.openxmlformats.org/officeDocument/2006/relationships/hyperlink" Target="https://stardewvalleywiki.com/Plum_Chapeau" TargetMode="External"/><Relationship Id="rId72" Type="http://schemas.openxmlformats.org/officeDocument/2006/relationships/hyperlink" Target="https://stardewvalleywiki.com/Quests" TargetMode="External"/><Relationship Id="rId75" Type="http://schemas.openxmlformats.org/officeDocument/2006/relationships/hyperlink" Target="https://stardewvalleywiki.com/Pirate_Hat" TargetMode="External"/><Relationship Id="rId74" Type="http://schemas.openxmlformats.org/officeDocument/2006/relationships/hyperlink" Target="https://stardewvalleywiki.com/Cooking" TargetMode="External"/><Relationship Id="rId77" Type="http://schemas.openxmlformats.org/officeDocument/2006/relationships/hyperlink" Target="https://stardewvalleywiki.com/Pink_Bow" TargetMode="External"/><Relationship Id="rId76" Type="http://schemas.openxmlformats.org/officeDocument/2006/relationships/hyperlink" Target="https://stardewvalleywiki.com/Tailoring" TargetMode="External"/><Relationship Id="rId79" Type="http://schemas.openxmlformats.org/officeDocument/2006/relationships/hyperlink" Target="https://stardewvalleywiki.com/Party_Hat_(red)" TargetMode="External"/><Relationship Id="rId78" Type="http://schemas.openxmlformats.org/officeDocument/2006/relationships/hyperlink" Target="https://stardewvalleywiki.com/Volcano_Dungeon" TargetMode="External"/><Relationship Id="rId71" Type="http://schemas.openxmlformats.org/officeDocument/2006/relationships/hyperlink" Target="https://stardewvalleywiki.com/Polka_Bow" TargetMode="External"/><Relationship Id="rId70" Type="http://schemas.openxmlformats.org/officeDocument/2006/relationships/hyperlink" Target="https://stardewvalleywiki.com/Tailoring" TargetMode="External"/><Relationship Id="rId62" Type="http://schemas.openxmlformats.org/officeDocument/2006/relationships/hyperlink" Target="https://stardewvalleywiki.com/Tailoring" TargetMode="External"/><Relationship Id="rId61" Type="http://schemas.openxmlformats.org/officeDocument/2006/relationships/hyperlink" Target="https://stardewvalleywiki.com/Radioactive_Goggles" TargetMode="External"/><Relationship Id="rId64" Type="http://schemas.openxmlformats.org/officeDocument/2006/relationships/hyperlink" Target="https://stardewvalleywiki.com/Giant_Stump" TargetMode="External"/><Relationship Id="rId63" Type="http://schemas.openxmlformats.org/officeDocument/2006/relationships/hyperlink" Target="https://stardewvalleywiki.com/Raccoon_Hat" TargetMode="External"/><Relationship Id="rId66" Type="http://schemas.openxmlformats.org/officeDocument/2006/relationships/hyperlink" Target="https://stardewvalleywiki.com/Tailoring" TargetMode="External"/><Relationship Id="rId65" Type="http://schemas.openxmlformats.org/officeDocument/2006/relationships/hyperlink" Target="https://stardewvalleywiki.com/Qi_Mask" TargetMode="External"/><Relationship Id="rId68" Type="http://schemas.openxmlformats.org/officeDocument/2006/relationships/hyperlink" Target="https://stardewvalleywiki.com/Tailoring" TargetMode="External"/><Relationship Id="rId67" Type="http://schemas.openxmlformats.org/officeDocument/2006/relationships/hyperlink" Target="https://stardewvalleywiki.com/Pumpkin_Mask" TargetMode="External"/><Relationship Id="rId60" Type="http://schemas.openxmlformats.org/officeDocument/2006/relationships/hyperlink" Target="https://stardewvalleywiki.com/Skull_Cavern" TargetMode="External"/><Relationship Id="rId69" Type="http://schemas.openxmlformats.org/officeDocument/2006/relationships/hyperlink" Target="https://stardewvalleywiki.com/Propeller_Hat" TargetMode="External"/><Relationship Id="rId51" Type="http://schemas.openxmlformats.org/officeDocument/2006/relationships/hyperlink" Target="https://stardewvalleywiki.com/Island_Trader" TargetMode="External"/><Relationship Id="rId50" Type="http://schemas.openxmlformats.org/officeDocument/2006/relationships/hyperlink" Target="https://stardewvalleywiki.com/Small_Cap" TargetMode="External"/><Relationship Id="rId53" Type="http://schemas.openxmlformats.org/officeDocument/2006/relationships/hyperlink" Target="https://stardewvalleywiki.com/Adventurer%27s_Guild" TargetMode="External"/><Relationship Id="rId52" Type="http://schemas.openxmlformats.org/officeDocument/2006/relationships/hyperlink" Target="https://stardewvalleywiki.com/Skeleton_Mask" TargetMode="External"/><Relationship Id="rId55" Type="http://schemas.openxmlformats.org/officeDocument/2006/relationships/hyperlink" Target="https://stardewvalleywiki.com/Sailor%27s_Cap" TargetMode="External"/><Relationship Id="rId54" Type="http://schemas.openxmlformats.org/officeDocument/2006/relationships/hyperlink" Target="https://stardewvalleywiki.com/Friendship" TargetMode="External"/><Relationship Id="rId57" Type="http://schemas.openxmlformats.org/officeDocument/2006/relationships/hyperlink" Target="https://stardewvalleywiki.com/Red_Fez" TargetMode="External"/><Relationship Id="rId56" Type="http://schemas.openxmlformats.org/officeDocument/2006/relationships/hyperlink" Target="https://stardewvalleywiki.com/Festival_of_Ice" TargetMode="External"/><Relationship Id="rId59" Type="http://schemas.openxmlformats.org/officeDocument/2006/relationships/hyperlink" Target="https://stardewvalleywiki.com/Red_Cowboy_Hat" TargetMode="External"/><Relationship Id="rId58" Type="http://schemas.openxmlformats.org/officeDocument/2006/relationships/hyperlink" Target="https://stardewvalleywiki.com/Traveling_Cart" TargetMode="External"/><Relationship Id="rId107" Type="http://schemas.openxmlformats.org/officeDocument/2006/relationships/hyperlink" Target="https://stardewvalleywiki.com/Lucky_Bow" TargetMode="External"/><Relationship Id="rId228" Type="http://schemas.openxmlformats.org/officeDocument/2006/relationships/hyperlink" Target="https://stardewvalleywiki.com/Tailoring" TargetMode="External"/><Relationship Id="rId349" Type="http://schemas.openxmlformats.org/officeDocument/2006/relationships/hyperlink" Target="https://stardewvalleywiki.com/Egg" TargetMode="External"/><Relationship Id="rId106" Type="http://schemas.openxmlformats.org/officeDocument/2006/relationships/hyperlink" Target="https://stardewvalleywiki.com/Desert_Trader" TargetMode="External"/><Relationship Id="rId227" Type="http://schemas.openxmlformats.org/officeDocument/2006/relationships/hyperlink" Target="https://stardewvalleywiki.com/Beanie" TargetMode="External"/><Relationship Id="rId348" Type="http://schemas.openxmlformats.org/officeDocument/2006/relationships/hyperlink" Target="https://stardewvalleywiki.com/Bug_Meat" TargetMode="External"/><Relationship Id="rId105" Type="http://schemas.openxmlformats.org/officeDocument/2006/relationships/hyperlink" Target="https://stardewvalleywiki.com/Magic_Cowboy_Hat" TargetMode="External"/><Relationship Id="rId226" Type="http://schemas.openxmlformats.org/officeDocument/2006/relationships/hyperlink" Target="https://stardewvalleywiki.com/Tailoring" TargetMode="External"/><Relationship Id="rId347" Type="http://schemas.openxmlformats.org/officeDocument/2006/relationships/hyperlink" Target="https://stardewvalleywiki.com/Chanterelle" TargetMode="External"/><Relationship Id="rId104" Type="http://schemas.openxmlformats.org/officeDocument/2006/relationships/hyperlink" Target="https://stardewvalleywiki.com/Desert_Trader" TargetMode="External"/><Relationship Id="rId225" Type="http://schemas.openxmlformats.org/officeDocument/2006/relationships/hyperlink" Target="https://stardewvalleywiki.com/Blobfish_Mask" TargetMode="External"/><Relationship Id="rId346" Type="http://schemas.openxmlformats.org/officeDocument/2006/relationships/hyperlink" Target="https://stardewvalleywiki.com/Vinegar" TargetMode="External"/><Relationship Id="rId109" Type="http://schemas.openxmlformats.org/officeDocument/2006/relationships/hyperlink" Target="https://stardewvalleywiki.com/Tailoring" TargetMode="External"/><Relationship Id="rId108" Type="http://schemas.openxmlformats.org/officeDocument/2006/relationships/hyperlink" Target="https://stardewvalleywiki.com/Logo_Cap" TargetMode="External"/><Relationship Id="rId229" Type="http://schemas.openxmlformats.org/officeDocument/2006/relationships/hyperlink" Target="https://stardewvalleywiki.com/Archer%27s_Cap" TargetMode="External"/><Relationship Id="rId220" Type="http://schemas.openxmlformats.org/officeDocument/2006/relationships/hyperlink" Target="https://stardewvalleywiki.com/Skull_Cavern" TargetMode="External"/><Relationship Id="rId341" Type="http://schemas.openxmlformats.org/officeDocument/2006/relationships/hyperlink" Target="https://stardewvalleywiki.com/Ocean_Stone" TargetMode="External"/><Relationship Id="rId340" Type="http://schemas.openxmlformats.org/officeDocument/2006/relationships/hyperlink" Target="https://stardewvalleywiki.com/Tom_Kha_Soup" TargetMode="External"/><Relationship Id="rId103" Type="http://schemas.openxmlformats.org/officeDocument/2006/relationships/hyperlink" Target="https://stardewvalleywiki.com/Magic_Turban" TargetMode="External"/><Relationship Id="rId224" Type="http://schemas.openxmlformats.org/officeDocument/2006/relationships/hyperlink" Target="https://stardewvalleywiki.com/Museum" TargetMode="External"/><Relationship Id="rId345" Type="http://schemas.openxmlformats.org/officeDocument/2006/relationships/hyperlink" Target="https://stardewvalleywiki.com/Winter_Root" TargetMode="External"/><Relationship Id="rId102" Type="http://schemas.openxmlformats.org/officeDocument/2006/relationships/hyperlink" Target="https://stardewvalleywiki.com/Friendship" TargetMode="External"/><Relationship Id="rId223" Type="http://schemas.openxmlformats.org/officeDocument/2006/relationships/hyperlink" Target="https://stardewvalleywiki.com/Blue_Bonnet" TargetMode="External"/><Relationship Id="rId344" Type="http://schemas.openxmlformats.org/officeDocument/2006/relationships/hyperlink" Target="https://stardewvalleywiki.com/Omni_Geode" TargetMode="External"/><Relationship Id="rId101" Type="http://schemas.openxmlformats.org/officeDocument/2006/relationships/hyperlink" Target="https://stardewvalleywiki.com/Mouse_Ears" TargetMode="External"/><Relationship Id="rId222" Type="http://schemas.openxmlformats.org/officeDocument/2006/relationships/hyperlink" Target="https://stardewvalleywiki.com/Desert_Festival" TargetMode="External"/><Relationship Id="rId343" Type="http://schemas.openxmlformats.org/officeDocument/2006/relationships/hyperlink" Target="https://stardewvalleywiki.com/Oil" TargetMode="External"/><Relationship Id="rId100" Type="http://schemas.openxmlformats.org/officeDocument/2006/relationships/hyperlink" Target="https://stardewvalleywiki.com/Qi%27s_Walnut_Room" TargetMode="External"/><Relationship Id="rId221" Type="http://schemas.openxmlformats.org/officeDocument/2006/relationships/hyperlink" Target="https://stardewvalleywiki.com/Blue_Bow" TargetMode="External"/><Relationship Id="rId342" Type="http://schemas.openxmlformats.org/officeDocument/2006/relationships/hyperlink" Target="https://stardewvalleywiki.com/Glass_Shards" TargetMode="External"/><Relationship Id="rId217" Type="http://schemas.openxmlformats.org/officeDocument/2006/relationships/hyperlink" Target="https://stardewvalleywiki.com/Blue_Ribbon" TargetMode="External"/><Relationship Id="rId338" Type="http://schemas.openxmlformats.org/officeDocument/2006/relationships/hyperlink" Target="https://stardewvalleywiki.com/Morel" TargetMode="External"/><Relationship Id="rId216" Type="http://schemas.openxmlformats.org/officeDocument/2006/relationships/hyperlink" Target="https://stardewvalleywiki.com/Island_Trader" TargetMode="External"/><Relationship Id="rId337" Type="http://schemas.openxmlformats.org/officeDocument/2006/relationships/hyperlink" Target="https://stardewvalleywiki.com/Dandelion" TargetMode="External"/><Relationship Id="rId215" Type="http://schemas.openxmlformats.org/officeDocument/2006/relationships/hyperlink" Target="https://stardewvalleywiki.com/Bluebird_Mask" TargetMode="External"/><Relationship Id="rId336" Type="http://schemas.openxmlformats.org/officeDocument/2006/relationships/hyperlink" Target="https://stardewvalleywiki.com/Seafoam_Pudding" TargetMode="External"/><Relationship Id="rId214" Type="http://schemas.openxmlformats.org/officeDocument/2006/relationships/hyperlink" Target="https://stardewvalleywiki.com/Bowler_Hat" TargetMode="External"/><Relationship Id="rId335" Type="http://schemas.openxmlformats.org/officeDocument/2006/relationships/hyperlink" Target="https://stardewvalleywiki.com/Squid_Ink" TargetMode="External"/><Relationship Id="rId219" Type="http://schemas.openxmlformats.org/officeDocument/2006/relationships/hyperlink" Target="https://stardewvalleywiki.com/Blue_Cowboy_Hat" TargetMode="External"/><Relationship Id="rId218" Type="http://schemas.openxmlformats.org/officeDocument/2006/relationships/hyperlink" Target="https://stardewvalleywiki.com/Stardew_Valley_Fair" TargetMode="External"/><Relationship Id="rId339" Type="http://schemas.openxmlformats.org/officeDocument/2006/relationships/hyperlink" Target="https://stardewvalleywiki.com/Blueberry_Tart" TargetMode="External"/><Relationship Id="rId330" Type="http://schemas.openxmlformats.org/officeDocument/2006/relationships/hyperlink" Target="https://stardewvalleywiki.com/Duck_Feather" TargetMode="External"/><Relationship Id="rId213" Type="http://schemas.openxmlformats.org/officeDocument/2006/relationships/hyperlink" Target="https://stardewvalleywiki.com/Tailoring" TargetMode="External"/><Relationship Id="rId334" Type="http://schemas.openxmlformats.org/officeDocument/2006/relationships/hyperlink" Target="https://stardewvalleywiki.com/Vegetable_Medley" TargetMode="External"/><Relationship Id="rId212" Type="http://schemas.openxmlformats.org/officeDocument/2006/relationships/hyperlink" Target="https://stardewvalleywiki.com/Bridal_Veil" TargetMode="External"/><Relationship Id="rId333" Type="http://schemas.openxmlformats.org/officeDocument/2006/relationships/hyperlink" Target="https://stardewvalleywiki.com/Magic_Rock_Candy" TargetMode="External"/><Relationship Id="rId211" Type="http://schemas.openxmlformats.org/officeDocument/2006/relationships/hyperlink" Target="https://stardewvalleywiki.com/Trout_Derby" TargetMode="External"/><Relationship Id="rId332" Type="http://schemas.openxmlformats.org/officeDocument/2006/relationships/hyperlink" Target="https://stardewvalleywiki.com/Magma_Cap" TargetMode="External"/><Relationship Id="rId210" Type="http://schemas.openxmlformats.org/officeDocument/2006/relationships/hyperlink" Target="https://stardewvalleywiki.com/Bucket_Hat" TargetMode="External"/><Relationship Id="rId331" Type="http://schemas.openxmlformats.org/officeDocument/2006/relationships/hyperlink" Target="https://stardewvalleywiki.com/Leek" TargetMode="External"/><Relationship Id="rId370" Type="http://schemas.openxmlformats.org/officeDocument/2006/relationships/hyperlink" Target="https://stardewvalleywiki.com/Orpiment" TargetMode="External"/><Relationship Id="rId129" Type="http://schemas.openxmlformats.org/officeDocument/2006/relationships/hyperlink" Target="https://stardewvalleywiki.com/Hard_Hat" TargetMode="External"/><Relationship Id="rId128" Type="http://schemas.openxmlformats.org/officeDocument/2006/relationships/hyperlink" Target="https://stardewvalleywiki.com/Hunter%27s_Cap" TargetMode="External"/><Relationship Id="rId249" Type="http://schemas.openxmlformats.org/officeDocument/2006/relationships/hyperlink" Target="https://stardewvalleywiki.com/Fiddlehead_Risotto" TargetMode="External"/><Relationship Id="rId127" Type="http://schemas.openxmlformats.org/officeDocument/2006/relationships/hyperlink" Target="https://stardewvalleywiki.com/Infinity_Blade" TargetMode="External"/><Relationship Id="rId248" Type="http://schemas.openxmlformats.org/officeDocument/2006/relationships/hyperlink" Target="https://stardewvalleywiki.com/Beer" TargetMode="External"/><Relationship Id="rId369" Type="http://schemas.openxmlformats.org/officeDocument/2006/relationships/hyperlink" Target="https://stardewvalleywiki.com/Dish_O%27_The_Sea" TargetMode="External"/><Relationship Id="rId126" Type="http://schemas.openxmlformats.org/officeDocument/2006/relationships/hyperlink" Target="https://stardewvalleywiki.com/Infinity_Crown" TargetMode="External"/><Relationship Id="rId247" Type="http://schemas.openxmlformats.org/officeDocument/2006/relationships/hyperlink" Target="https://stardewvalleywiki.com/Rainbow_Shell" TargetMode="External"/><Relationship Id="rId368" Type="http://schemas.openxmlformats.org/officeDocument/2006/relationships/hyperlink" Target="https://stardewvalleywiki.com/Bruschetta" TargetMode="External"/><Relationship Id="rId121" Type="http://schemas.openxmlformats.org/officeDocument/2006/relationships/hyperlink" Target="https://stardewvalleywiki.com/Desert_Festival" TargetMode="External"/><Relationship Id="rId242" Type="http://schemas.openxmlformats.org/officeDocument/2006/relationships/hyperlink" Target="https://stardewvalleywiki.com/Kyanite" TargetMode="External"/><Relationship Id="rId363" Type="http://schemas.openxmlformats.org/officeDocument/2006/relationships/hyperlink" Target="https://stardewvalleywiki.com/Golden_Relic" TargetMode="External"/><Relationship Id="rId120" Type="http://schemas.openxmlformats.org/officeDocument/2006/relationships/hyperlink" Target="https://stardewvalleywiki.com/Joja_Cap" TargetMode="External"/><Relationship Id="rId241" Type="http://schemas.openxmlformats.org/officeDocument/2006/relationships/hyperlink" Target="https://stardewvalleywiki.com/Jasper" TargetMode="External"/><Relationship Id="rId362" Type="http://schemas.openxmlformats.org/officeDocument/2006/relationships/hyperlink" Target="https://stardewvalleywiki.com/Ancient_Drum" TargetMode="External"/><Relationship Id="rId240" Type="http://schemas.openxmlformats.org/officeDocument/2006/relationships/hyperlink" Target="https://stardewvalleywiki.com/Banana_Pudding" TargetMode="External"/><Relationship Id="rId361" Type="http://schemas.openxmlformats.org/officeDocument/2006/relationships/hyperlink" Target="https://stardewvalleywiki.com/Red_Plate" TargetMode="External"/><Relationship Id="rId360" Type="http://schemas.openxmlformats.org/officeDocument/2006/relationships/hyperlink" Target="https://stardewvalleywiki.com/Cranberry_Candy" TargetMode="External"/><Relationship Id="rId125" Type="http://schemas.openxmlformats.org/officeDocument/2006/relationships/hyperlink" Target="https://stardewvalleywiki.com/Pans" TargetMode="External"/><Relationship Id="rId246" Type="http://schemas.openxmlformats.org/officeDocument/2006/relationships/hyperlink" Target="https://stardewvalleywiki.com/Autumn%27s_Bounty" TargetMode="External"/><Relationship Id="rId367" Type="http://schemas.openxmlformats.org/officeDocument/2006/relationships/hyperlink" Target="https://stardewvalleywiki.com/Carrot" TargetMode="External"/><Relationship Id="rId124" Type="http://schemas.openxmlformats.org/officeDocument/2006/relationships/hyperlink" Target="https://stardewvalleywiki.com/Iridium_Pan_(hat)" TargetMode="External"/><Relationship Id="rId245" Type="http://schemas.openxmlformats.org/officeDocument/2006/relationships/hyperlink" Target="https://stardewvalleywiki.com/Fiber" TargetMode="External"/><Relationship Id="rId366" Type="http://schemas.openxmlformats.org/officeDocument/2006/relationships/hyperlink" Target="https://stardewvalleywiki.com/Spaghetti" TargetMode="External"/><Relationship Id="rId123" Type="http://schemas.openxmlformats.org/officeDocument/2006/relationships/hyperlink" Target="https://stardewvalleywiki.com/Movie_Theater" TargetMode="External"/><Relationship Id="rId244" Type="http://schemas.openxmlformats.org/officeDocument/2006/relationships/hyperlink" Target="https://stardewvalleywiki.com/Tailoring" TargetMode="External"/><Relationship Id="rId365" Type="http://schemas.openxmlformats.org/officeDocument/2006/relationships/hyperlink" Target="https://stardewvalleywiki.com/Rusty_Spoon" TargetMode="External"/><Relationship Id="rId122" Type="http://schemas.openxmlformats.org/officeDocument/2006/relationships/hyperlink" Target="https://stardewvalleywiki.com/Jester_Hat" TargetMode="External"/><Relationship Id="rId243" Type="http://schemas.openxmlformats.org/officeDocument/2006/relationships/hyperlink" Target="https://stardewvalleywiki.com/Fluorapatite" TargetMode="External"/><Relationship Id="rId364" Type="http://schemas.openxmlformats.org/officeDocument/2006/relationships/hyperlink" Target="https://stardewvalleywiki.com/Ice_Cream" TargetMode="External"/><Relationship Id="rId95" Type="http://schemas.openxmlformats.org/officeDocument/2006/relationships/hyperlink" Target="https://stardewvalleywiki.com/Mushroom_Cap" TargetMode="External"/><Relationship Id="rId94" Type="http://schemas.openxmlformats.org/officeDocument/2006/relationships/hyperlink" Target="https://stardewvalleywiki.com/Mystery_Box" TargetMode="External"/><Relationship Id="rId97" Type="http://schemas.openxmlformats.org/officeDocument/2006/relationships/hyperlink" Target="https://stardewvalleywiki.com/Mummy_Mask" TargetMode="External"/><Relationship Id="rId96" Type="http://schemas.openxmlformats.org/officeDocument/2006/relationships/hyperlink" Target="https://stardewvalleywiki.com/Mushroom_Tree" TargetMode="External"/><Relationship Id="rId99" Type="http://schemas.openxmlformats.org/officeDocument/2006/relationships/hyperlink" Target="https://stardewvalleywiki.com/Mr._Qi%27s_Hat" TargetMode="External"/><Relationship Id="rId98" Type="http://schemas.openxmlformats.org/officeDocument/2006/relationships/hyperlink" Target="https://stardewvalleywiki.com/Desert_Festival" TargetMode="External"/><Relationship Id="rId91" Type="http://schemas.openxmlformats.org/officeDocument/2006/relationships/hyperlink" Target="https://stardewvalleywiki.com/Official_Cap" TargetMode="External"/><Relationship Id="rId90" Type="http://schemas.openxmlformats.org/officeDocument/2006/relationships/hyperlink" Target="https://stardewvalleywiki.com/Books" TargetMode="External"/><Relationship Id="rId93" Type="http://schemas.openxmlformats.org/officeDocument/2006/relationships/hyperlink" Target="https://stardewvalleywiki.com/Mystery_Hat" TargetMode="External"/><Relationship Id="rId92" Type="http://schemas.openxmlformats.org/officeDocument/2006/relationships/hyperlink" Target="https://stardewvalleywiki.com/Fish" TargetMode="External"/><Relationship Id="rId118" Type="http://schemas.openxmlformats.org/officeDocument/2006/relationships/hyperlink" Target="https://stardewvalleywiki.com/Junimo_Hat" TargetMode="External"/><Relationship Id="rId239" Type="http://schemas.openxmlformats.org/officeDocument/2006/relationships/hyperlink" Target="https://stardewvalleywiki.com/Duck_Mayonnaise" TargetMode="External"/><Relationship Id="rId117" Type="http://schemas.openxmlformats.org/officeDocument/2006/relationships/hyperlink" Target="https://stardewvalleywiki.com/Adventurer%27s_Guild" TargetMode="External"/><Relationship Id="rId238" Type="http://schemas.openxmlformats.org/officeDocument/2006/relationships/hyperlink" Target="https://stardewvalleywiki.com/Chipped_Amphora" TargetMode="External"/><Relationship Id="rId359" Type="http://schemas.openxmlformats.org/officeDocument/2006/relationships/hyperlink" Target="https://stardewvalleywiki.com/Magma_Geode" TargetMode="External"/><Relationship Id="rId116" Type="http://schemas.openxmlformats.org/officeDocument/2006/relationships/hyperlink" Target="https://stardewvalleywiki.com/Knight%27s_Helmet" TargetMode="External"/><Relationship Id="rId237" Type="http://schemas.openxmlformats.org/officeDocument/2006/relationships/hyperlink" Target="https://stardewvalleywiki.com/Cactus_Fruit" TargetMode="External"/><Relationship Id="rId358" Type="http://schemas.openxmlformats.org/officeDocument/2006/relationships/hyperlink" Target="https://stardewvalleywiki.com/Hashbrowns" TargetMode="External"/><Relationship Id="rId115" Type="http://schemas.openxmlformats.org/officeDocument/2006/relationships/hyperlink" Target="https://stardewvalleywiki.com/Desert_Festival" TargetMode="External"/><Relationship Id="rId236" Type="http://schemas.openxmlformats.org/officeDocument/2006/relationships/hyperlink" Target="https://stardewvalleywiki.com/Forge" TargetMode="External"/><Relationship Id="rId357" Type="http://schemas.openxmlformats.org/officeDocument/2006/relationships/hyperlink" Target="https://stardewvalleywiki.com/Trout_Soup" TargetMode="External"/><Relationship Id="rId119" Type="http://schemas.openxmlformats.org/officeDocument/2006/relationships/hyperlink" Target="https://stardewvalleywiki.com/The_Summit" TargetMode="External"/><Relationship Id="rId110" Type="http://schemas.openxmlformats.org/officeDocument/2006/relationships/hyperlink" Target="https://stardewvalleywiki.com/Living_Hat" TargetMode="External"/><Relationship Id="rId231" Type="http://schemas.openxmlformats.org/officeDocument/2006/relationships/hyperlink" Target="https://stardewvalleywiki.com/Arcane_Hat" TargetMode="External"/><Relationship Id="rId352" Type="http://schemas.openxmlformats.org/officeDocument/2006/relationships/hyperlink" Target="https://stardewvalleywiki.com/Coffee" TargetMode="External"/><Relationship Id="rId230" Type="http://schemas.openxmlformats.org/officeDocument/2006/relationships/hyperlink" Target="https://stardewvalleywiki.com/Cooking" TargetMode="External"/><Relationship Id="rId351" Type="http://schemas.openxmlformats.org/officeDocument/2006/relationships/hyperlink" Target="https://stardewvalleywiki.com/Roe" TargetMode="External"/><Relationship Id="rId350" Type="http://schemas.openxmlformats.org/officeDocument/2006/relationships/hyperlink" Target="https://stardewvalleywiki.com/Wool" TargetMode="External"/><Relationship Id="rId114" Type="http://schemas.openxmlformats.org/officeDocument/2006/relationships/hyperlink" Target="https://stardewvalleywiki.com/Laurel_Wreath_Crown" TargetMode="External"/><Relationship Id="rId235" Type="http://schemas.openxmlformats.org/officeDocument/2006/relationships/hyperlink" Target="https://stardewvalleywiki.com/%3F%3F%3F_(hat)" TargetMode="External"/><Relationship Id="rId356" Type="http://schemas.openxmlformats.org/officeDocument/2006/relationships/hyperlink" Target="https://stardewvalleywiki.com/Crayfish" TargetMode="External"/><Relationship Id="rId113" Type="http://schemas.openxmlformats.org/officeDocument/2006/relationships/hyperlink" Target="https://stardewvalleywiki.com/Abandoned_House" TargetMode="External"/><Relationship Id="rId234" Type="http://schemas.openxmlformats.org/officeDocument/2006/relationships/hyperlink" Target="https://stardewvalleywiki.com/Desert_Festival" TargetMode="External"/><Relationship Id="rId355" Type="http://schemas.openxmlformats.org/officeDocument/2006/relationships/hyperlink" Target="https://stardewvalleywiki.com/Prismatic_Shard" TargetMode="External"/><Relationship Id="rId112" Type="http://schemas.openxmlformats.org/officeDocument/2006/relationships/hyperlink" Target="https://stardewvalleywiki.com/Leprechaun_Hat" TargetMode="External"/><Relationship Id="rId233" Type="http://schemas.openxmlformats.org/officeDocument/2006/relationships/hyperlink" Target="https://stardewvalleywiki.com/Abigail%27s_Bow" TargetMode="External"/><Relationship Id="rId354" Type="http://schemas.openxmlformats.org/officeDocument/2006/relationships/hyperlink" Target="https://stardewvalleywiki.com/Prismatic_Shard" TargetMode="External"/><Relationship Id="rId111" Type="http://schemas.openxmlformats.org/officeDocument/2006/relationships/hyperlink" Target="https://stardewvalleywiki.com/Weeds" TargetMode="External"/><Relationship Id="rId232" Type="http://schemas.openxmlformats.org/officeDocument/2006/relationships/hyperlink" Target="https://stardewvalleywiki.com/Adventurer%27s_Guild" TargetMode="External"/><Relationship Id="rId353" Type="http://schemas.openxmlformats.org/officeDocument/2006/relationships/hyperlink" Target="https://stardewvalleywiki.com/Prismatic_Shard" TargetMode="External"/><Relationship Id="rId305" Type="http://schemas.openxmlformats.org/officeDocument/2006/relationships/hyperlink" Target="https://stardewvalleywiki.com/Malachite" TargetMode="External"/><Relationship Id="rId426" Type="http://schemas.openxmlformats.org/officeDocument/2006/relationships/hyperlink" Target="https://stardewvalleywiki.com/Honey" TargetMode="External"/><Relationship Id="rId304" Type="http://schemas.openxmlformats.org/officeDocument/2006/relationships/hyperlink" Target="https://stardewvalleywiki.com/Cave_Carrot" TargetMode="External"/><Relationship Id="rId425" Type="http://schemas.openxmlformats.org/officeDocument/2006/relationships/hyperlink" Target="https://stardewvalleywiki.com/Slime_Egg" TargetMode="External"/><Relationship Id="rId303" Type="http://schemas.openxmlformats.org/officeDocument/2006/relationships/hyperlink" Target="https://stardewvalleywiki.com/Quartz" TargetMode="External"/><Relationship Id="rId424" Type="http://schemas.openxmlformats.org/officeDocument/2006/relationships/hyperlink" Target="https://stardewvalleywiki.com/Ancient_Fruit" TargetMode="External"/><Relationship Id="rId302" Type="http://schemas.openxmlformats.org/officeDocument/2006/relationships/hyperlink" Target="https://stardewvalleywiki.com/Esperite" TargetMode="External"/><Relationship Id="rId423" Type="http://schemas.openxmlformats.org/officeDocument/2006/relationships/hyperlink" Target="https://stardewvalleywiki.com/Hay" TargetMode="External"/><Relationship Id="rId309" Type="http://schemas.openxmlformats.org/officeDocument/2006/relationships/hyperlink" Target="https://stardewvalleywiki.com/Jamborite" TargetMode="External"/><Relationship Id="rId308" Type="http://schemas.openxmlformats.org/officeDocument/2006/relationships/hyperlink" Target="https://stardewvalleywiki.com/Fiddlehead_Fern" TargetMode="External"/><Relationship Id="rId429" Type="http://schemas.openxmlformats.org/officeDocument/2006/relationships/hyperlink" Target="https://stardewvalleywiki.com/Prismatic_Shard" TargetMode="External"/><Relationship Id="rId307" Type="http://schemas.openxmlformats.org/officeDocument/2006/relationships/hyperlink" Target="https://stardewvalleywiki.com/Super_Meal" TargetMode="External"/><Relationship Id="rId428" Type="http://schemas.openxmlformats.org/officeDocument/2006/relationships/hyperlink" Target="https://stardewvalleywiki.com/Orange" TargetMode="External"/><Relationship Id="rId306" Type="http://schemas.openxmlformats.org/officeDocument/2006/relationships/hyperlink" Target="https://stardewvalleywiki.com/Rhubarb" TargetMode="External"/><Relationship Id="rId427" Type="http://schemas.openxmlformats.org/officeDocument/2006/relationships/hyperlink" Target="https://stardewvalleywiki.com/Apple" TargetMode="External"/><Relationship Id="rId301" Type="http://schemas.openxmlformats.org/officeDocument/2006/relationships/hyperlink" Target="https://stardewvalleywiki.com/Geode" TargetMode="External"/><Relationship Id="rId422" Type="http://schemas.openxmlformats.org/officeDocument/2006/relationships/hyperlink" Target="https://stardewvalleywiki.com/Dinosaur_Mayonnaise" TargetMode="External"/><Relationship Id="rId300" Type="http://schemas.openxmlformats.org/officeDocument/2006/relationships/hyperlink" Target="https://stardewvalleywiki.com/Lunarite" TargetMode="External"/><Relationship Id="rId421" Type="http://schemas.openxmlformats.org/officeDocument/2006/relationships/hyperlink" Target="https://stardewvalleywiki.com/Poppy" TargetMode="External"/><Relationship Id="rId420" Type="http://schemas.openxmlformats.org/officeDocument/2006/relationships/hyperlink" Target="https://stardewvalleywiki.com/Blue_Jazz" TargetMode="External"/><Relationship Id="rId415" Type="http://schemas.openxmlformats.org/officeDocument/2006/relationships/hyperlink" Target="https://stardewvalleywiki.com/Omelet" TargetMode="External"/><Relationship Id="rId414" Type="http://schemas.openxmlformats.org/officeDocument/2006/relationships/hyperlink" Target="https://stardewvalleywiki.com/Strange_Doll_(green)" TargetMode="External"/><Relationship Id="rId413" Type="http://schemas.openxmlformats.org/officeDocument/2006/relationships/hyperlink" Target="https://stardewvalleywiki.com/Stone" TargetMode="External"/><Relationship Id="rId412" Type="http://schemas.openxmlformats.org/officeDocument/2006/relationships/hyperlink" Target="https://stardewvalleywiki.com/Milk" TargetMode="External"/><Relationship Id="rId419" Type="http://schemas.openxmlformats.org/officeDocument/2006/relationships/hyperlink" Target="https://stardewvalleywiki.com/Fairy_Rose" TargetMode="External"/><Relationship Id="rId418" Type="http://schemas.openxmlformats.org/officeDocument/2006/relationships/hyperlink" Target="https://stardewvalleywiki.com/Blueberry" TargetMode="External"/><Relationship Id="rId417" Type="http://schemas.openxmlformats.org/officeDocument/2006/relationships/hyperlink" Target="https://stardewvalleywiki.com/Cranberries" TargetMode="External"/><Relationship Id="rId416" Type="http://schemas.openxmlformats.org/officeDocument/2006/relationships/hyperlink" Target="https://stardewvalleywiki.com/Mango_Sticky_Rice" TargetMode="External"/><Relationship Id="rId411" Type="http://schemas.openxmlformats.org/officeDocument/2006/relationships/hyperlink" Target="https://stardewvalleywiki.com/Rice" TargetMode="External"/><Relationship Id="rId410" Type="http://schemas.openxmlformats.org/officeDocument/2006/relationships/hyperlink" Target="https://stardewvalleywiki.com/Pale_Broth" TargetMode="External"/><Relationship Id="rId206" Type="http://schemas.openxmlformats.org/officeDocument/2006/relationships/hyperlink" Target="https://stardewvalleywiki.com/Cat_Ears" TargetMode="External"/><Relationship Id="rId327" Type="http://schemas.openxmlformats.org/officeDocument/2006/relationships/hyperlink" Target="https://stardewvalleywiki.com/Harvey%27s_Clinic" TargetMode="External"/><Relationship Id="rId205" Type="http://schemas.openxmlformats.org/officeDocument/2006/relationships/hyperlink" Target="https://stardewvalleywiki.com/Cooking" TargetMode="External"/><Relationship Id="rId326" Type="http://schemas.openxmlformats.org/officeDocument/2006/relationships/hyperlink" Target="https://stardewvalleywiki.com/Jagoite" TargetMode="External"/><Relationship Id="rId204" Type="http://schemas.openxmlformats.org/officeDocument/2006/relationships/hyperlink" Target="https://stardewvalleywiki.com/Chef_Hat" TargetMode="External"/><Relationship Id="rId325" Type="http://schemas.openxmlformats.org/officeDocument/2006/relationships/hyperlink" Target="https://stardewvalleywiki.com/Seaweed" TargetMode="External"/><Relationship Id="rId203" Type="http://schemas.openxmlformats.org/officeDocument/2006/relationships/hyperlink" Target="https://stardewvalleywiki.com/Quests" TargetMode="External"/><Relationship Id="rId324" Type="http://schemas.openxmlformats.org/officeDocument/2006/relationships/hyperlink" Target="https://stardewvalleywiki.com/Elvish_Jewelry" TargetMode="External"/><Relationship Id="rId209" Type="http://schemas.openxmlformats.org/officeDocument/2006/relationships/hyperlink" Target="https://stardewvalleywiki.com/Friendship" TargetMode="External"/><Relationship Id="rId208" Type="http://schemas.openxmlformats.org/officeDocument/2006/relationships/hyperlink" Target="https://stardewvalleywiki.com/Butterfly_Bow" TargetMode="External"/><Relationship Id="rId329" Type="http://schemas.openxmlformats.org/officeDocument/2006/relationships/hyperlink" Target="https://stardewvalleywiki.com/Rice_Pudding" TargetMode="External"/><Relationship Id="rId207" Type="http://schemas.openxmlformats.org/officeDocument/2006/relationships/hyperlink" Target="https://stardewvalleywiki.com/Friendship" TargetMode="External"/><Relationship Id="rId328" Type="http://schemas.openxmlformats.org/officeDocument/2006/relationships/hyperlink" Target="https://stardewvalleywiki.com/Mayonnaise" TargetMode="External"/><Relationship Id="rId202" Type="http://schemas.openxmlformats.org/officeDocument/2006/relationships/hyperlink" Target="https://stardewvalleywiki.com/Night_Market" TargetMode="External"/><Relationship Id="rId323" Type="http://schemas.openxmlformats.org/officeDocument/2006/relationships/hyperlink" Target="https://stardewvalleywiki.com/Pyrite" TargetMode="External"/><Relationship Id="rId201" Type="http://schemas.openxmlformats.org/officeDocument/2006/relationships/hyperlink" Target="https://stardewvalleywiki.com/Cone_Hat" TargetMode="External"/><Relationship Id="rId322" Type="http://schemas.openxmlformats.org/officeDocument/2006/relationships/hyperlink" Target="https://stardewvalleywiki.com/Golden_Coconut" TargetMode="External"/><Relationship Id="rId200" Type="http://schemas.openxmlformats.org/officeDocument/2006/relationships/hyperlink" Target="https://stardewvalleywiki.com/Cool_Cap" TargetMode="External"/><Relationship Id="rId321" Type="http://schemas.openxmlformats.org/officeDocument/2006/relationships/hyperlink" Target="https://stardewvalleywiki.com/Iridium_Ore" TargetMode="External"/><Relationship Id="rId320" Type="http://schemas.openxmlformats.org/officeDocument/2006/relationships/hyperlink" Target="https://stardewvalleywiki.com/Iridium_Bar" TargetMode="External"/><Relationship Id="rId316" Type="http://schemas.openxmlformats.org/officeDocument/2006/relationships/hyperlink" Target="https://stardewvalleywiki.com/Basic_Fertilizer" TargetMode="External"/><Relationship Id="rId315" Type="http://schemas.openxmlformats.org/officeDocument/2006/relationships/hyperlink" Target="https://stardewvalleywiki.com/Torch" TargetMode="External"/><Relationship Id="rId314" Type="http://schemas.openxmlformats.org/officeDocument/2006/relationships/hyperlink" Target="https://stardewvalleywiki.com/Strange_Bun" TargetMode="External"/><Relationship Id="rId313" Type="http://schemas.openxmlformats.org/officeDocument/2006/relationships/hyperlink" Target="https://stardewvalleywiki.com/Oasis" TargetMode="External"/><Relationship Id="rId319" Type="http://schemas.openxmlformats.org/officeDocument/2006/relationships/hyperlink" Target="https://stardewvalleywiki.com/Poi" TargetMode="External"/><Relationship Id="rId318" Type="http://schemas.openxmlformats.org/officeDocument/2006/relationships/hyperlink" Target="https://stardewvalleywiki.com/Pumpkin_Pie" TargetMode="External"/><Relationship Id="rId317" Type="http://schemas.openxmlformats.org/officeDocument/2006/relationships/hyperlink" Target="https://stardewvalleywiki.com/Deluxe_Speed-Gro" TargetMode="External"/><Relationship Id="rId312" Type="http://schemas.openxmlformats.org/officeDocument/2006/relationships/hyperlink" Target="https://stardewvalleywiki.com/Lemon_Stone" TargetMode="External"/><Relationship Id="rId311" Type="http://schemas.openxmlformats.org/officeDocument/2006/relationships/hyperlink" Target="https://stardewvalleywiki.com/Bean_Hotpot" TargetMode="External"/><Relationship Id="rId432" Type="http://schemas.openxmlformats.org/officeDocument/2006/relationships/vmlDrawing" Target="../drawings/vmlDrawing3.vml"/><Relationship Id="rId310" Type="http://schemas.openxmlformats.org/officeDocument/2006/relationships/hyperlink" Target="https://stardewvalleywiki.com/Ancient_Sword" TargetMode="External"/><Relationship Id="rId431" Type="http://schemas.openxmlformats.org/officeDocument/2006/relationships/drawing" Target="../drawings/drawing4.xml"/><Relationship Id="rId430" Type="http://schemas.openxmlformats.org/officeDocument/2006/relationships/hyperlink" Target="https://stardewvalleywiki.com/Prismatic_Shard"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stardewvalleywiki.com/Shipping" TargetMode="External"/><Relationship Id="rId194" Type="http://schemas.openxmlformats.org/officeDocument/2006/relationships/hyperlink" Target="https://stardewvalleywiki.com/Museum" TargetMode="External"/><Relationship Id="rId193" Type="http://schemas.openxmlformats.org/officeDocument/2006/relationships/hyperlink" Target="https://stardewvalleywiki.com/Cowboy_Hat" TargetMode="External"/><Relationship Id="rId192" Type="http://schemas.openxmlformats.org/officeDocument/2006/relationships/hyperlink" Target="https://stardewvalleywiki.com/Shipping" TargetMode="External"/><Relationship Id="rId191" Type="http://schemas.openxmlformats.org/officeDocument/2006/relationships/hyperlink" Target="https://stardewvalleywiki.com/Cowgal_Hat" TargetMode="External"/><Relationship Id="rId187" Type="http://schemas.openxmlformats.org/officeDocument/2006/relationships/hyperlink" Target="https://stardewvalleywiki.com/Daisy" TargetMode="External"/><Relationship Id="rId186" Type="http://schemas.openxmlformats.org/officeDocument/2006/relationships/hyperlink" Target="https://stardewvalleywiki.com/Desert_Festival" TargetMode="External"/><Relationship Id="rId185" Type="http://schemas.openxmlformats.org/officeDocument/2006/relationships/hyperlink" Target="https://stardewvalleywiki.com/Dark_Ballcap" TargetMode="External"/><Relationship Id="rId184" Type="http://schemas.openxmlformats.org/officeDocument/2006/relationships/hyperlink" Target="https://stardewvalleywiki.com/Skull_Cavern" TargetMode="External"/><Relationship Id="rId189" Type="http://schemas.openxmlformats.org/officeDocument/2006/relationships/hyperlink" Target="https://stardewvalleywiki.com/Cowpoke_Hat" TargetMode="External"/><Relationship Id="rId188" Type="http://schemas.openxmlformats.org/officeDocument/2006/relationships/hyperlink" Target="https://stardewvalleywiki.com/Crafting" TargetMode="External"/><Relationship Id="rId183" Type="http://schemas.openxmlformats.org/officeDocument/2006/relationships/hyperlink" Target="https://stardewvalleywiki.com/Dark_Cowboy_Hat" TargetMode="External"/><Relationship Id="rId182" Type="http://schemas.openxmlformats.org/officeDocument/2006/relationships/hyperlink" Target="https://stardewvalleywiki.com/Desert_Festival" TargetMode="External"/><Relationship Id="rId181" Type="http://schemas.openxmlformats.org/officeDocument/2006/relationships/hyperlink" Target="https://stardewvalleywiki.com/Dark_Velvet_Bow" TargetMode="External"/><Relationship Id="rId180" Type="http://schemas.openxmlformats.org/officeDocument/2006/relationships/hyperlink" Target="https://stardewvalleywiki.com/Cooking" TargetMode="External"/><Relationship Id="rId176" Type="http://schemas.openxmlformats.org/officeDocument/2006/relationships/hyperlink" Target="https://stardewvalleywiki.com/Volcano_Dungeon" TargetMode="External"/><Relationship Id="rId297" Type="http://schemas.openxmlformats.org/officeDocument/2006/relationships/hyperlink" Target="https://stardewvalleywiki.com/Lunarite" TargetMode="External"/><Relationship Id="rId175" Type="http://schemas.openxmlformats.org/officeDocument/2006/relationships/hyperlink" Target="https://stardewvalleywiki.com/Deluxe_Pirate_Hat" TargetMode="External"/><Relationship Id="rId296" Type="http://schemas.openxmlformats.org/officeDocument/2006/relationships/hyperlink" Target="https://stardewvalleywiki.com/Maru" TargetMode="External"/><Relationship Id="rId174" Type="http://schemas.openxmlformats.org/officeDocument/2006/relationships/hyperlink" Target="https://stardewvalleywiki.com/Tailoring" TargetMode="External"/><Relationship Id="rId295" Type="http://schemas.openxmlformats.org/officeDocument/2006/relationships/hyperlink" Target="https://stardewvalleywiki.com/Dried_Starfish" TargetMode="External"/><Relationship Id="rId173" Type="http://schemas.openxmlformats.org/officeDocument/2006/relationships/hyperlink" Target="https://stardewvalleywiki.com/Dinosaur_Hat" TargetMode="External"/><Relationship Id="rId294" Type="http://schemas.openxmlformats.org/officeDocument/2006/relationships/hyperlink" Target="https://stardewvalleywiki.com/Gold_Bar" TargetMode="External"/><Relationship Id="rId179" Type="http://schemas.openxmlformats.org/officeDocument/2006/relationships/hyperlink" Target="https://stardewvalleywiki.com/Delicate_Bow" TargetMode="External"/><Relationship Id="rId178" Type="http://schemas.openxmlformats.org/officeDocument/2006/relationships/hyperlink" Target="https://stardewvalleywiki.com/Island_Trader" TargetMode="External"/><Relationship Id="rId299" Type="http://schemas.openxmlformats.org/officeDocument/2006/relationships/hyperlink" Target="https://stardewvalleywiki.com/Esperite" TargetMode="External"/><Relationship Id="rId177" Type="http://schemas.openxmlformats.org/officeDocument/2006/relationships/hyperlink" Target="https://stardewvalleywiki.com/Deluxe_Cowboy_Hat" TargetMode="External"/><Relationship Id="rId298" Type="http://schemas.openxmlformats.org/officeDocument/2006/relationships/hyperlink" Target="https://stardewvalleywiki.com/Geode" TargetMode="External"/><Relationship Id="rId198" Type="http://schemas.openxmlformats.org/officeDocument/2006/relationships/hyperlink" Target="https://stardewvalleywiki.com/Cone_Hat" TargetMode="External"/><Relationship Id="rId197" Type="http://schemas.openxmlformats.org/officeDocument/2006/relationships/hyperlink" Target="https://stardewvalleywiki.com/Cool_Cap" TargetMode="External"/><Relationship Id="rId196" Type="http://schemas.openxmlformats.org/officeDocument/2006/relationships/hyperlink" Target="https://stardewvalleywiki.com/Pans" TargetMode="External"/><Relationship Id="rId195" Type="http://schemas.openxmlformats.org/officeDocument/2006/relationships/hyperlink" Target="https://stardewvalleywiki.com/Copper_Pan_(hat)" TargetMode="External"/><Relationship Id="rId199" Type="http://schemas.openxmlformats.org/officeDocument/2006/relationships/hyperlink" Target="https://stardewvalleywiki.com/Night_Market" TargetMode="External"/><Relationship Id="rId150" Type="http://schemas.openxmlformats.org/officeDocument/2006/relationships/hyperlink" Target="https://stardewvalleywiki.com/Garbage_Can" TargetMode="External"/><Relationship Id="rId271" Type="http://schemas.openxmlformats.org/officeDocument/2006/relationships/hyperlink" Target="https://stardewvalleywiki.com/Amaranth" TargetMode="External"/><Relationship Id="rId392" Type="http://schemas.openxmlformats.org/officeDocument/2006/relationships/hyperlink" Target="https://stardewvalleywiki.com/Cheese_Cauliflower" TargetMode="External"/><Relationship Id="rId270" Type="http://schemas.openxmlformats.org/officeDocument/2006/relationships/hyperlink" Target="https://stardewvalleywiki.com/Wheat" TargetMode="External"/><Relationship Id="rId391" Type="http://schemas.openxmlformats.org/officeDocument/2006/relationships/hyperlink" Target="https://stardewvalleywiki.com/Green_Tea" TargetMode="External"/><Relationship Id="rId390" Type="http://schemas.openxmlformats.org/officeDocument/2006/relationships/hyperlink" Target="https://stardewvalleywiki.com/Radish" TargetMode="External"/><Relationship Id="rId1" Type="http://schemas.openxmlformats.org/officeDocument/2006/relationships/hyperlink" Target="https://stardewvalleywiki.com/Witch_Hat" TargetMode="External"/><Relationship Id="rId2" Type="http://schemas.openxmlformats.org/officeDocument/2006/relationships/hyperlink" Target="https://stardewvalleywiki.com/Tailoring" TargetMode="External"/><Relationship Id="rId3" Type="http://schemas.openxmlformats.org/officeDocument/2006/relationships/hyperlink" Target="https://stardewvalleywiki.com/White_Turban" TargetMode="External"/><Relationship Id="rId149" Type="http://schemas.openxmlformats.org/officeDocument/2006/relationships/hyperlink" Target="https://stardewvalleywiki.com/Garbage_Hat" TargetMode="External"/><Relationship Id="rId4" Type="http://schemas.openxmlformats.org/officeDocument/2006/relationships/hyperlink" Target="https://stardewvalleywiki.com/Tailoring" TargetMode="External"/><Relationship Id="rId148" Type="http://schemas.openxmlformats.org/officeDocument/2006/relationships/hyperlink" Target="https://stardewvalleywiki.com/Desert_Festival" TargetMode="External"/><Relationship Id="rId269" Type="http://schemas.openxmlformats.org/officeDocument/2006/relationships/hyperlink" Target="https://stardewvalleywiki.com/Crab_Cakes" TargetMode="External"/><Relationship Id="rId9" Type="http://schemas.openxmlformats.org/officeDocument/2006/relationships/hyperlink" Target="https://stardewvalleywiki.com/Fish" TargetMode="External"/><Relationship Id="rId143" Type="http://schemas.openxmlformats.org/officeDocument/2006/relationships/hyperlink" Target="https://stardewvalleywiki.com/Goblin_Mask" TargetMode="External"/><Relationship Id="rId264" Type="http://schemas.openxmlformats.org/officeDocument/2006/relationships/hyperlink" Target="https://stardewvalleywiki.com/Rusty_Cog" TargetMode="External"/><Relationship Id="rId385" Type="http://schemas.openxmlformats.org/officeDocument/2006/relationships/hyperlink" Target="https://stardewvalleywiki.com/Obsidian" TargetMode="External"/><Relationship Id="rId142" Type="http://schemas.openxmlformats.org/officeDocument/2006/relationships/hyperlink" Target="https://stardewvalleywiki.com/Tailoring" TargetMode="External"/><Relationship Id="rId263" Type="http://schemas.openxmlformats.org/officeDocument/2006/relationships/hyperlink" Target="https://stardewvalleywiki.com/Escargot" TargetMode="External"/><Relationship Id="rId384" Type="http://schemas.openxmlformats.org/officeDocument/2006/relationships/hyperlink" Target="https://stardewvalleywiki.com/Corn" TargetMode="External"/><Relationship Id="rId141" Type="http://schemas.openxmlformats.org/officeDocument/2006/relationships/hyperlink" Target="https://stardewvalleywiki.com/Goggles" TargetMode="External"/><Relationship Id="rId262" Type="http://schemas.openxmlformats.org/officeDocument/2006/relationships/hyperlink" Target="https://stardewvalleywiki.com/Prehistoric_Handaxe" TargetMode="External"/><Relationship Id="rId383" Type="http://schemas.openxmlformats.org/officeDocument/2006/relationships/hyperlink" Target="https://stardewvalleywiki.com/Coral" TargetMode="External"/><Relationship Id="rId140" Type="http://schemas.openxmlformats.org/officeDocument/2006/relationships/hyperlink" Target="https://stardewvalleywiki.com/Pans" TargetMode="External"/><Relationship Id="rId261" Type="http://schemas.openxmlformats.org/officeDocument/2006/relationships/hyperlink" Target="https://stardewvalleywiki.com/Carp_Surprise" TargetMode="External"/><Relationship Id="rId382" Type="http://schemas.openxmlformats.org/officeDocument/2006/relationships/hyperlink" Target="https://stardewvalleywiki.com/Fried_Calamari" TargetMode="External"/><Relationship Id="rId5" Type="http://schemas.openxmlformats.org/officeDocument/2006/relationships/hyperlink" Target="https://stardewvalleywiki.com/White_Bow" TargetMode="External"/><Relationship Id="rId147" Type="http://schemas.openxmlformats.org/officeDocument/2006/relationships/hyperlink" Target="https://stardewvalleywiki.com/Gil%27s_Hat" TargetMode="External"/><Relationship Id="rId268" Type="http://schemas.openxmlformats.org/officeDocument/2006/relationships/hyperlink" Target="https://stardewvalleywiki.com/Copper_Bar" TargetMode="External"/><Relationship Id="rId389" Type="http://schemas.openxmlformats.org/officeDocument/2006/relationships/hyperlink" Target="https://stardewvalleywiki.com/Sap" TargetMode="External"/><Relationship Id="rId6" Type="http://schemas.openxmlformats.org/officeDocument/2006/relationships/hyperlink" Target="https://stardewvalleywiki.com/Wearable_Dwarf_Helm" TargetMode="External"/><Relationship Id="rId146" Type="http://schemas.openxmlformats.org/officeDocument/2006/relationships/hyperlink" Target="https://stardewvalleywiki.com/Crafting" TargetMode="External"/><Relationship Id="rId267" Type="http://schemas.openxmlformats.org/officeDocument/2006/relationships/hyperlink" Target="https://stardewvalleywiki.com/Green_Algae" TargetMode="External"/><Relationship Id="rId388" Type="http://schemas.openxmlformats.org/officeDocument/2006/relationships/hyperlink" Target="https://stardewvalleywiki.com/Glazed_Yams" TargetMode="External"/><Relationship Id="rId7" Type="http://schemas.openxmlformats.org/officeDocument/2006/relationships/hyperlink" Target="https://stardewvalleywiki.com/Tailoring" TargetMode="External"/><Relationship Id="rId145" Type="http://schemas.openxmlformats.org/officeDocument/2006/relationships/hyperlink" Target="https://stardewvalleywiki.com/Gnome%27s_Cap" TargetMode="External"/><Relationship Id="rId266" Type="http://schemas.openxmlformats.org/officeDocument/2006/relationships/hyperlink" Target="https://stardewvalleywiki.com/Helvite" TargetMode="External"/><Relationship Id="rId387" Type="http://schemas.openxmlformats.org/officeDocument/2006/relationships/hyperlink" Target="https://stardewvalleywiki.com/Bouquet" TargetMode="External"/><Relationship Id="rId8" Type="http://schemas.openxmlformats.org/officeDocument/2006/relationships/hyperlink" Target="https://stardewvalleywiki.com/Watermelon_Band" TargetMode="External"/><Relationship Id="rId144" Type="http://schemas.openxmlformats.org/officeDocument/2006/relationships/hyperlink" Target="https://stardewvalleywiki.com/Shipping" TargetMode="External"/><Relationship Id="rId265" Type="http://schemas.openxmlformats.org/officeDocument/2006/relationships/hyperlink" Target="https://stardewvalleywiki.com/Complete_Breakfast" TargetMode="External"/><Relationship Id="rId386" Type="http://schemas.openxmlformats.org/officeDocument/2006/relationships/hyperlink" Target="https://stardewvalleywiki.com/Sugar" TargetMode="External"/><Relationship Id="rId260" Type="http://schemas.openxmlformats.org/officeDocument/2006/relationships/hyperlink" Target="https://stardewvalleywiki.com/Large_Egg" TargetMode="External"/><Relationship Id="rId381" Type="http://schemas.openxmlformats.org/officeDocument/2006/relationships/hyperlink" Target="https://stardewvalleywiki.com/Iron_Bar" TargetMode="External"/><Relationship Id="rId380" Type="http://schemas.openxmlformats.org/officeDocument/2006/relationships/hyperlink" Target="https://stardewvalleywiki.com/Star_Shards" TargetMode="External"/><Relationship Id="rId139" Type="http://schemas.openxmlformats.org/officeDocument/2006/relationships/hyperlink" Target="https://stardewvalleywiki.com/Gold_Pan_(hat)" TargetMode="External"/><Relationship Id="rId138" Type="http://schemas.openxmlformats.org/officeDocument/2006/relationships/hyperlink" Target="https://stardewvalleywiki.com/Golden_Coconut" TargetMode="External"/><Relationship Id="rId259" Type="http://schemas.openxmlformats.org/officeDocument/2006/relationships/hyperlink" Target="https://stardewvalleywiki.com/Anchor" TargetMode="External"/><Relationship Id="rId137" Type="http://schemas.openxmlformats.org/officeDocument/2006/relationships/hyperlink" Target="https://stardewvalleywiki.com/Golden_Helmet" TargetMode="External"/><Relationship Id="rId258" Type="http://schemas.openxmlformats.org/officeDocument/2006/relationships/hyperlink" Target="https://stardewvalleywiki.com/Chewing_Stick" TargetMode="External"/><Relationship Id="rId379" Type="http://schemas.openxmlformats.org/officeDocument/2006/relationships/hyperlink" Target="https://stardewvalleywiki.com/Juice" TargetMode="External"/><Relationship Id="rId132" Type="http://schemas.openxmlformats.org/officeDocument/2006/relationships/hyperlink" Target="https://stardewvalleywiki.com/Governor%27s_Hat" TargetMode="External"/><Relationship Id="rId253" Type="http://schemas.openxmlformats.org/officeDocument/2006/relationships/hyperlink" Target="https://stardewvalleywiki.com/Mudstone" TargetMode="External"/><Relationship Id="rId374" Type="http://schemas.openxmlformats.org/officeDocument/2006/relationships/hyperlink" Target="https://stardewvalleywiki.com/Prehistoric_Skull" TargetMode="External"/><Relationship Id="rId131" Type="http://schemas.openxmlformats.org/officeDocument/2006/relationships/hyperlink" Target="https://stardewvalleywiki.com/Desert_Trader" TargetMode="External"/><Relationship Id="rId252" Type="http://schemas.openxmlformats.org/officeDocument/2006/relationships/hyperlink" Target="https://stardewvalleywiki.com/Ornamental_Fan" TargetMode="External"/><Relationship Id="rId373" Type="http://schemas.openxmlformats.org/officeDocument/2006/relationships/hyperlink" Target="https://stardewvalleywiki.com/Haunted_Skull" TargetMode="External"/><Relationship Id="rId130" Type="http://schemas.openxmlformats.org/officeDocument/2006/relationships/hyperlink" Target="https://stardewvalleywiki.com/Green_Turban" TargetMode="External"/><Relationship Id="rId251" Type="http://schemas.openxmlformats.org/officeDocument/2006/relationships/hyperlink" Target="https://stardewvalleywiki.com/Bomb" TargetMode="External"/><Relationship Id="rId372" Type="http://schemas.openxmlformats.org/officeDocument/2006/relationships/hyperlink" Target="https://stardewvalleywiki.com/Bone_Fragment" TargetMode="External"/><Relationship Id="rId250" Type="http://schemas.openxmlformats.org/officeDocument/2006/relationships/hyperlink" Target="https://stardewvalleywiki.com/Strange_Doll_(yellow)" TargetMode="External"/><Relationship Id="rId371" Type="http://schemas.openxmlformats.org/officeDocument/2006/relationships/hyperlink" Target="https://stardewvalleywiki.com/Haunted_Skull" TargetMode="External"/><Relationship Id="rId136" Type="http://schemas.openxmlformats.org/officeDocument/2006/relationships/hyperlink" Target="https://stardewvalleywiki.com/Tailoring" TargetMode="External"/><Relationship Id="rId257" Type="http://schemas.openxmlformats.org/officeDocument/2006/relationships/hyperlink" Target="https://stardewvalleywiki.com/Stir_Fry" TargetMode="External"/><Relationship Id="rId378" Type="http://schemas.openxmlformats.org/officeDocument/2006/relationships/hyperlink" Target="https://stardewvalleywiki.com/Arrowhead" TargetMode="External"/><Relationship Id="rId135" Type="http://schemas.openxmlformats.org/officeDocument/2006/relationships/hyperlink" Target="https://stardewvalleywiki.com/Golden_Mask_(hat)" TargetMode="External"/><Relationship Id="rId256" Type="http://schemas.openxmlformats.org/officeDocument/2006/relationships/hyperlink" Target="https://stardewvalleywiki.com/Survival_Burger" TargetMode="External"/><Relationship Id="rId377" Type="http://schemas.openxmlformats.org/officeDocument/2006/relationships/hyperlink" Target="https://stardewvalleywiki.com/Petrified_Slime" TargetMode="External"/><Relationship Id="rId134" Type="http://schemas.openxmlformats.org/officeDocument/2006/relationships/hyperlink" Target="https://stardewvalleywiki.com/Good_Ol%27_Cap" TargetMode="External"/><Relationship Id="rId255" Type="http://schemas.openxmlformats.org/officeDocument/2006/relationships/hyperlink" Target="https://stardewvalleywiki.com/Ancient_Seed" TargetMode="External"/><Relationship Id="rId376" Type="http://schemas.openxmlformats.org/officeDocument/2006/relationships/hyperlink" Target="https://stardewvalleywiki.com/Large_Milk" TargetMode="External"/><Relationship Id="rId133" Type="http://schemas.openxmlformats.org/officeDocument/2006/relationships/hyperlink" Target="https://stardewvalleywiki.com/Luau" TargetMode="External"/><Relationship Id="rId254" Type="http://schemas.openxmlformats.org/officeDocument/2006/relationships/hyperlink" Target="https://stardewvalleywiki.com/Hazelnut" TargetMode="External"/><Relationship Id="rId375" Type="http://schemas.openxmlformats.org/officeDocument/2006/relationships/hyperlink" Target="https://stardewvalleywiki.com/Emerald" TargetMode="External"/><Relationship Id="rId172" Type="http://schemas.openxmlformats.org/officeDocument/2006/relationships/hyperlink" Target="https://stardewvalleywiki.com/Friendship" TargetMode="External"/><Relationship Id="rId293" Type="http://schemas.openxmlformats.org/officeDocument/2006/relationships/hyperlink" Target="https://stardewvalleywiki.com/Aged_Roe" TargetMode="External"/><Relationship Id="rId171" Type="http://schemas.openxmlformats.org/officeDocument/2006/relationships/hyperlink" Target="https://stardewvalleywiki.com/Earmuffs" TargetMode="External"/><Relationship Id="rId292" Type="http://schemas.openxmlformats.org/officeDocument/2006/relationships/hyperlink" Target="https://stardewvalleywiki.com/Ginger_Ale" TargetMode="External"/><Relationship Id="rId170" Type="http://schemas.openxmlformats.org/officeDocument/2006/relationships/hyperlink" Target="https://stardewvalleywiki.com/Achievements" TargetMode="External"/><Relationship Id="rId291" Type="http://schemas.openxmlformats.org/officeDocument/2006/relationships/hyperlink" Target="https://stardewvalleywiki.com/Chowder" TargetMode="External"/><Relationship Id="rId290" Type="http://schemas.openxmlformats.org/officeDocument/2006/relationships/hyperlink" Target="https://stardewvalleywiki.com/Fried_Egg" TargetMode="External"/><Relationship Id="rId165" Type="http://schemas.openxmlformats.org/officeDocument/2006/relationships/hyperlink" Target="https://stardewvalleywiki.com/Eye_Patch" TargetMode="External"/><Relationship Id="rId286" Type="http://schemas.openxmlformats.org/officeDocument/2006/relationships/hyperlink" Target="https://stardewvalleywiki.com/Bream" TargetMode="External"/><Relationship Id="rId164" Type="http://schemas.openxmlformats.org/officeDocument/2006/relationships/hyperlink" Target="https://stardewvalleywiki.com/Tailoring" TargetMode="External"/><Relationship Id="rId285" Type="http://schemas.openxmlformats.org/officeDocument/2006/relationships/hyperlink" Target="https://stardewvalleywiki.com/Holly" TargetMode="External"/><Relationship Id="rId163" Type="http://schemas.openxmlformats.org/officeDocument/2006/relationships/hyperlink" Target="https://stardewvalleywiki.com/Fashion_Hat" TargetMode="External"/><Relationship Id="rId284" Type="http://schemas.openxmlformats.org/officeDocument/2006/relationships/hyperlink" Target="https://stardewvalleywiki.com/Harvey%27s_Clinic" TargetMode="External"/><Relationship Id="rId162" Type="http://schemas.openxmlformats.org/officeDocument/2006/relationships/hyperlink" Target="https://stardewvalleywiki.com/Stardew_Valley_Fair" TargetMode="External"/><Relationship Id="rId283" Type="http://schemas.openxmlformats.org/officeDocument/2006/relationships/hyperlink" Target="https://stardewvalleywiki.com/Salmon" TargetMode="External"/><Relationship Id="rId169" Type="http://schemas.openxmlformats.org/officeDocument/2006/relationships/hyperlink" Target="https://stardewvalleywiki.com/Elegant_Turban" TargetMode="External"/><Relationship Id="rId168" Type="http://schemas.openxmlformats.org/officeDocument/2006/relationships/hyperlink" Target="https://stardewvalleywiki.com/Emily" TargetMode="External"/><Relationship Id="rId289" Type="http://schemas.openxmlformats.org/officeDocument/2006/relationships/hyperlink" Target="https://stardewvalleywiki.com/Chicken_Statue" TargetMode="External"/><Relationship Id="rId167" Type="http://schemas.openxmlformats.org/officeDocument/2006/relationships/hyperlink" Target="https://stardewvalleywiki.com/Emily%27s_Magic_Hat" TargetMode="External"/><Relationship Id="rId288" Type="http://schemas.openxmlformats.org/officeDocument/2006/relationships/hyperlink" Target="https://stardewvalleywiki.com/Coffee_Bean" TargetMode="External"/><Relationship Id="rId166" Type="http://schemas.openxmlformats.org/officeDocument/2006/relationships/hyperlink" Target="https://stardewvalleywiki.com/Fish" TargetMode="External"/><Relationship Id="rId287" Type="http://schemas.openxmlformats.org/officeDocument/2006/relationships/hyperlink" Target="https://stardewvalleywiki.com/Spicy_Eel" TargetMode="External"/><Relationship Id="rId161" Type="http://schemas.openxmlformats.org/officeDocument/2006/relationships/hyperlink" Target="https://stardewvalleywiki.com/Fedora" TargetMode="External"/><Relationship Id="rId282" Type="http://schemas.openxmlformats.org/officeDocument/2006/relationships/hyperlink" Target="https://stardewvalleywiki.com/Ancient_Doll" TargetMode="External"/><Relationship Id="rId160" Type="http://schemas.openxmlformats.org/officeDocument/2006/relationships/hyperlink" Target="https://stardewvalleywiki.com/Tailoring" TargetMode="External"/><Relationship Id="rId281" Type="http://schemas.openxmlformats.org/officeDocument/2006/relationships/hyperlink" Target="https://stardewvalleywiki.com/Maple_Bar" TargetMode="External"/><Relationship Id="rId280" Type="http://schemas.openxmlformats.org/officeDocument/2006/relationships/hyperlink" Target="https://stardewvalleywiki.com/Field_Snack" TargetMode="External"/><Relationship Id="rId159" Type="http://schemas.openxmlformats.org/officeDocument/2006/relationships/hyperlink" Target="https://stardewvalleywiki.com/Fishing_Hat" TargetMode="External"/><Relationship Id="rId154" Type="http://schemas.openxmlformats.org/officeDocument/2006/relationships/hyperlink" Target="https://stardewvalleywiki.com/Tailoring" TargetMode="External"/><Relationship Id="rId275" Type="http://schemas.openxmlformats.org/officeDocument/2006/relationships/hyperlink" Target="https://stardewvalleywiki.com/Life_Elixir" TargetMode="External"/><Relationship Id="rId396" Type="http://schemas.openxmlformats.org/officeDocument/2006/relationships/hyperlink" Target="https://stardewvalleywiki.com/Pancakes" TargetMode="External"/><Relationship Id="rId153" Type="http://schemas.openxmlformats.org/officeDocument/2006/relationships/hyperlink" Target="https://stardewvalleywiki.com/Forager%27s_Hat" TargetMode="External"/><Relationship Id="rId274" Type="http://schemas.openxmlformats.org/officeDocument/2006/relationships/hyperlink" Target="https://stardewvalleywiki.com/Haunted_Skull" TargetMode="External"/><Relationship Id="rId395" Type="http://schemas.openxmlformats.org/officeDocument/2006/relationships/hyperlink" Target="https://stardewvalleywiki.com/Tortilla" TargetMode="External"/><Relationship Id="rId152" Type="http://schemas.openxmlformats.org/officeDocument/2006/relationships/hyperlink" Target="https://stardewvalleywiki.com/Fishing" TargetMode="External"/><Relationship Id="rId273" Type="http://schemas.openxmlformats.org/officeDocument/2006/relationships/hyperlink" Target="https://stardewvalleywiki.com/Truffle" TargetMode="External"/><Relationship Id="rId394" Type="http://schemas.openxmlformats.org/officeDocument/2006/relationships/hyperlink" Target="https://stardewvalleywiki.com/Tomato" TargetMode="External"/><Relationship Id="rId151" Type="http://schemas.openxmlformats.org/officeDocument/2006/relationships/hyperlink" Target="https://stardewvalleywiki.com/Frog_Hat" TargetMode="External"/><Relationship Id="rId272" Type="http://schemas.openxmlformats.org/officeDocument/2006/relationships/hyperlink" Target="https://stardewvalleywiki.com/Haunted_Skull" TargetMode="External"/><Relationship Id="rId393" Type="http://schemas.openxmlformats.org/officeDocument/2006/relationships/hyperlink" Target="https://stardewvalleywiki.com/Marble" TargetMode="External"/><Relationship Id="rId158" Type="http://schemas.openxmlformats.org/officeDocument/2006/relationships/hyperlink" Target="https://stardewvalleywiki.com/Tailoring" TargetMode="External"/><Relationship Id="rId279" Type="http://schemas.openxmlformats.org/officeDocument/2006/relationships/hyperlink" Target="https://stardewvalleywiki.com/Wilted_Bouquet" TargetMode="External"/><Relationship Id="rId157" Type="http://schemas.openxmlformats.org/officeDocument/2006/relationships/hyperlink" Target="https://stardewvalleywiki.com/Flat_Topped_Hat" TargetMode="External"/><Relationship Id="rId278" Type="http://schemas.openxmlformats.org/officeDocument/2006/relationships/hyperlink" Target="https://stardewvalleywiki.com/Tigerseye" TargetMode="External"/><Relationship Id="rId399" Type="http://schemas.openxmlformats.org/officeDocument/2006/relationships/hyperlink" Target="https://stardewvalleywiki.com/Tropical_Curry" TargetMode="External"/><Relationship Id="rId156" Type="http://schemas.openxmlformats.org/officeDocument/2006/relationships/hyperlink" Target="https://stardewvalleywiki.com/Tailoring" TargetMode="External"/><Relationship Id="rId277" Type="http://schemas.openxmlformats.org/officeDocument/2006/relationships/hyperlink" Target="https://stardewvalleywiki.com/Bat_Wing" TargetMode="External"/><Relationship Id="rId398" Type="http://schemas.openxmlformats.org/officeDocument/2006/relationships/hyperlink" Target="https://stardewvalleywiki.com/Artifact_Trove" TargetMode="External"/><Relationship Id="rId155" Type="http://schemas.openxmlformats.org/officeDocument/2006/relationships/hyperlink" Target="https://stardewvalleywiki.com/Floppy_Beanie" TargetMode="External"/><Relationship Id="rId276" Type="http://schemas.openxmlformats.org/officeDocument/2006/relationships/hyperlink" Target="https://stardewvalleywiki.com/Frozen_Tear" TargetMode="External"/><Relationship Id="rId397" Type="http://schemas.openxmlformats.org/officeDocument/2006/relationships/hyperlink" Target="https://stardewvalleywiki.com/Broken_CD" TargetMode="External"/><Relationship Id="rId40" Type="http://schemas.openxmlformats.org/officeDocument/2006/relationships/hyperlink" Target="https://stardewvalleywiki.com/Sports_Cap" TargetMode="External"/><Relationship Id="rId42" Type="http://schemas.openxmlformats.org/officeDocument/2006/relationships/hyperlink" Target="https://stardewvalleywiki.com/Space_Helmet" TargetMode="External"/><Relationship Id="rId41" Type="http://schemas.openxmlformats.org/officeDocument/2006/relationships/hyperlink" Target="https://stardewvalleywiki.com/Mayor%27s_Manor" TargetMode="External"/><Relationship Id="rId44" Type="http://schemas.openxmlformats.org/officeDocument/2006/relationships/hyperlink" Target="https://stardewvalleywiki.com/Sou%27wester" TargetMode="External"/><Relationship Id="rId43" Type="http://schemas.openxmlformats.org/officeDocument/2006/relationships/hyperlink" Target="https://stardewvalleywiki.com/The_Mines" TargetMode="External"/><Relationship Id="rId46" Type="http://schemas.openxmlformats.org/officeDocument/2006/relationships/hyperlink" Target="https://stardewvalleywiki.com/Sombrero" TargetMode="External"/><Relationship Id="rId45" Type="http://schemas.openxmlformats.org/officeDocument/2006/relationships/hyperlink" Target="https://stardewvalleywiki.com/Fish" TargetMode="External"/><Relationship Id="rId48" Type="http://schemas.openxmlformats.org/officeDocument/2006/relationships/hyperlink" Target="https://stardewvalleywiki.com/Island_Trader" TargetMode="External"/><Relationship Id="rId47" Type="http://schemas.openxmlformats.org/officeDocument/2006/relationships/hyperlink" Target="https://stardewvalleywiki.com/Small_Cap" TargetMode="External"/><Relationship Id="rId49" Type="http://schemas.openxmlformats.org/officeDocument/2006/relationships/hyperlink" Target="https://stardewvalleywiki.com/Skeleton_Mask" TargetMode="External"/><Relationship Id="rId31" Type="http://schemas.openxmlformats.org/officeDocument/2006/relationships/hyperlink" Target="https://stardewvalleywiki.com/Steel_Pan_(hat)" TargetMode="External"/><Relationship Id="rId30" Type="http://schemas.openxmlformats.org/officeDocument/2006/relationships/hyperlink" Target="https://stardewvalleywiki.com/Egg_Festival" TargetMode="External"/><Relationship Id="rId33" Type="http://schemas.openxmlformats.org/officeDocument/2006/relationships/hyperlink" Target="https://stardewvalleywiki.com/Tailoring" TargetMode="External"/><Relationship Id="rId32" Type="http://schemas.openxmlformats.org/officeDocument/2006/relationships/hyperlink" Target="https://stardewvalleywiki.com/Pans" TargetMode="External"/><Relationship Id="rId35" Type="http://schemas.openxmlformats.org/officeDocument/2006/relationships/hyperlink" Target="https://stardewvalleywiki.com/Metal_Head" TargetMode="External"/><Relationship Id="rId34" Type="http://schemas.openxmlformats.org/officeDocument/2006/relationships/hyperlink" Target="https://stardewvalleywiki.com/Squire%27s_Helmet" TargetMode="External"/><Relationship Id="rId37" Type="http://schemas.openxmlformats.org/officeDocument/2006/relationships/hyperlink" Target="https://stardewvalleywiki.com/SquidFest" TargetMode="External"/><Relationship Id="rId36" Type="http://schemas.openxmlformats.org/officeDocument/2006/relationships/hyperlink" Target="https://stardewvalleywiki.com/Squid_Hat" TargetMode="External"/><Relationship Id="rId39" Type="http://schemas.openxmlformats.org/officeDocument/2006/relationships/hyperlink" Target="https://stardewvalleywiki.com/Tailoring" TargetMode="External"/><Relationship Id="rId38" Type="http://schemas.openxmlformats.org/officeDocument/2006/relationships/hyperlink" Target="https://stardewvalleywiki.com/Spotted_Headscarf" TargetMode="External"/><Relationship Id="rId20" Type="http://schemas.openxmlformats.org/officeDocument/2006/relationships/hyperlink" Target="https://stardewvalleywiki.com/Casino" TargetMode="External"/><Relationship Id="rId22" Type="http://schemas.openxmlformats.org/officeDocument/2006/relationships/hyperlink" Target="https://stardewvalleywiki.com/Slimes" TargetMode="External"/><Relationship Id="rId21" Type="http://schemas.openxmlformats.org/officeDocument/2006/relationships/hyperlink" Target="https://stardewvalleywiki.com/Tiger_Hat" TargetMode="External"/><Relationship Id="rId24" Type="http://schemas.openxmlformats.org/officeDocument/2006/relationships/hyperlink" Target="https://stardewvalleywiki.com/Friendship" TargetMode="External"/><Relationship Id="rId23" Type="http://schemas.openxmlformats.org/officeDocument/2006/relationships/hyperlink" Target="https://stardewvalleywiki.com/Tiara" TargetMode="External"/><Relationship Id="rId409" Type="http://schemas.openxmlformats.org/officeDocument/2006/relationships/hyperlink" Target="https://stardewvalleywiki.com/Milk" TargetMode="External"/><Relationship Id="rId404" Type="http://schemas.openxmlformats.org/officeDocument/2006/relationships/hyperlink" Target="https://stardewvalleywiki.com/Hematite" TargetMode="External"/><Relationship Id="rId403" Type="http://schemas.openxmlformats.org/officeDocument/2006/relationships/hyperlink" Target="https://stardewvalleywiki.com/Coconut" TargetMode="External"/><Relationship Id="rId402" Type="http://schemas.openxmlformats.org/officeDocument/2006/relationships/hyperlink" Target="https://stardewvalleywiki.com/Copper_Ore" TargetMode="External"/><Relationship Id="rId401" Type="http://schemas.openxmlformats.org/officeDocument/2006/relationships/hyperlink" Target="https://stardewvalleywiki.com/Pepper_Poppers" TargetMode="External"/><Relationship Id="rId408" Type="http://schemas.openxmlformats.org/officeDocument/2006/relationships/hyperlink" Target="https://stardewvalleywiki.com/Rice" TargetMode="External"/><Relationship Id="rId407" Type="http://schemas.openxmlformats.org/officeDocument/2006/relationships/hyperlink" Target="https://stardewvalleywiki.com/Pale_Broth" TargetMode="External"/><Relationship Id="rId406" Type="http://schemas.openxmlformats.org/officeDocument/2006/relationships/hyperlink" Target="https://stardewvalleywiki.com/Poppyseed_Muffin" TargetMode="External"/><Relationship Id="rId405" Type="http://schemas.openxmlformats.org/officeDocument/2006/relationships/hyperlink" Target="https://stardewvalleywiki.com/Wheat_Flour" TargetMode="External"/><Relationship Id="rId26" Type="http://schemas.openxmlformats.org/officeDocument/2006/relationships/hyperlink" Target="https://stardewvalleywiki.com/Tailoring" TargetMode="External"/><Relationship Id="rId25" Type="http://schemas.openxmlformats.org/officeDocument/2006/relationships/hyperlink" Target="https://stardewvalleywiki.com/Swashbuckler_Hat" TargetMode="External"/><Relationship Id="rId28" Type="http://schemas.openxmlformats.org/officeDocument/2006/relationships/hyperlink" Target="https://stardewvalleywiki.com/Tailoring" TargetMode="External"/><Relationship Id="rId27" Type="http://schemas.openxmlformats.org/officeDocument/2006/relationships/hyperlink" Target="https://stardewvalleywiki.com/Sunglasses" TargetMode="External"/><Relationship Id="rId400" Type="http://schemas.openxmlformats.org/officeDocument/2006/relationships/hyperlink" Target="https://stardewvalleywiki.com/Sea_Cucumber" TargetMode="External"/><Relationship Id="rId29" Type="http://schemas.openxmlformats.org/officeDocument/2006/relationships/hyperlink" Target="https://stardewvalleywiki.com/Straw_Hat" TargetMode="External"/><Relationship Id="rId11" Type="http://schemas.openxmlformats.org/officeDocument/2006/relationships/hyperlink" Target="https://stardewvalleywiki.com/Tailoring" TargetMode="External"/><Relationship Id="rId10" Type="http://schemas.openxmlformats.org/officeDocument/2006/relationships/hyperlink" Target="https://stardewvalleywiki.com/Warrior_Helmet" TargetMode="External"/><Relationship Id="rId13" Type="http://schemas.openxmlformats.org/officeDocument/2006/relationships/hyperlink" Target="https://stardewvalleywiki.com/Crafting" TargetMode="External"/><Relationship Id="rId12" Type="http://schemas.openxmlformats.org/officeDocument/2006/relationships/hyperlink" Target="https://stardewvalleywiki.com/Trucker_Hat" TargetMode="External"/><Relationship Id="rId15" Type="http://schemas.openxmlformats.org/officeDocument/2006/relationships/hyperlink" Target="https://stardewvalleywiki.com/Tricorn_Hat" TargetMode="External"/><Relationship Id="rId14" Type="http://schemas.openxmlformats.org/officeDocument/2006/relationships/hyperlink" Target="https://stardewvalleywiki.com/Tropiclip" TargetMode="External"/><Relationship Id="rId17" Type="http://schemas.openxmlformats.org/officeDocument/2006/relationships/hyperlink" Target="https://stardewvalleywiki.com/Totem_Mask" TargetMode="External"/><Relationship Id="rId16" Type="http://schemas.openxmlformats.org/officeDocument/2006/relationships/hyperlink" Target="https://stardewvalleywiki.com/Desert_Festival" TargetMode="External"/><Relationship Id="rId19" Type="http://schemas.openxmlformats.org/officeDocument/2006/relationships/hyperlink" Target="https://stardewvalleywiki.com/Top_Hat" TargetMode="External"/><Relationship Id="rId18" Type="http://schemas.openxmlformats.org/officeDocument/2006/relationships/hyperlink" Target="https://stardewvalleywiki.com/Tailoring" TargetMode="External"/><Relationship Id="rId84" Type="http://schemas.openxmlformats.org/officeDocument/2006/relationships/hyperlink" Target="https://stardewvalleywiki.com/Panda_Hat" TargetMode="External"/><Relationship Id="rId83" Type="http://schemas.openxmlformats.org/officeDocument/2006/relationships/hyperlink" Target="https://stardewvalleywiki.com/Ginger_Island" TargetMode="External"/><Relationship Id="rId86" Type="http://schemas.openxmlformats.org/officeDocument/2006/relationships/hyperlink" Target="https://stardewvalleywiki.com/Pageboy_Cap" TargetMode="External"/><Relationship Id="rId85" Type="http://schemas.openxmlformats.org/officeDocument/2006/relationships/hyperlink" Target="https://stardewvalleywiki.com/Hats" TargetMode="External"/><Relationship Id="rId88" Type="http://schemas.openxmlformats.org/officeDocument/2006/relationships/hyperlink" Target="https://stardewvalleywiki.com/Official_Cap" TargetMode="External"/><Relationship Id="rId87" Type="http://schemas.openxmlformats.org/officeDocument/2006/relationships/hyperlink" Target="https://stardewvalleywiki.com/Books" TargetMode="External"/><Relationship Id="rId89" Type="http://schemas.openxmlformats.org/officeDocument/2006/relationships/hyperlink" Target="https://stardewvalleywiki.com/Fish" TargetMode="External"/><Relationship Id="rId80" Type="http://schemas.openxmlformats.org/officeDocument/2006/relationships/hyperlink" Target="https://stardewvalleywiki.com/Party_Hat_(green)" TargetMode="External"/><Relationship Id="rId82" Type="http://schemas.openxmlformats.org/officeDocument/2006/relationships/hyperlink" Target="https://stardewvalleywiki.com/Paper_Hat" TargetMode="External"/><Relationship Id="rId81" Type="http://schemas.openxmlformats.org/officeDocument/2006/relationships/hyperlink" Target="https://stardewvalleywiki.com/Tailoring" TargetMode="External"/><Relationship Id="rId73" Type="http://schemas.openxmlformats.org/officeDocument/2006/relationships/hyperlink" Target="https://stardewvalleywiki.com/Tailoring" TargetMode="External"/><Relationship Id="rId72" Type="http://schemas.openxmlformats.org/officeDocument/2006/relationships/hyperlink" Target="https://stardewvalleywiki.com/Pirate_Hat" TargetMode="External"/><Relationship Id="rId75" Type="http://schemas.openxmlformats.org/officeDocument/2006/relationships/hyperlink" Target="https://stardewvalleywiki.com/Volcano_Dungeon" TargetMode="External"/><Relationship Id="rId74" Type="http://schemas.openxmlformats.org/officeDocument/2006/relationships/hyperlink" Target="https://stardewvalleywiki.com/Pink_Bow" TargetMode="External"/><Relationship Id="rId77" Type="http://schemas.openxmlformats.org/officeDocument/2006/relationships/hyperlink" Target="https://stardewvalleywiki.com/Tailoring" TargetMode="External"/><Relationship Id="rId76" Type="http://schemas.openxmlformats.org/officeDocument/2006/relationships/hyperlink" Target="https://stardewvalleywiki.com/Party_Hat_(red)" TargetMode="External"/><Relationship Id="rId79" Type="http://schemas.openxmlformats.org/officeDocument/2006/relationships/hyperlink" Target="https://stardewvalleywiki.com/Tailoring" TargetMode="External"/><Relationship Id="rId78" Type="http://schemas.openxmlformats.org/officeDocument/2006/relationships/hyperlink" Target="https://stardewvalleywiki.com/Party_Hat_(blue)" TargetMode="External"/><Relationship Id="rId71" Type="http://schemas.openxmlformats.org/officeDocument/2006/relationships/hyperlink" Target="https://stardewvalleywiki.com/Cooking" TargetMode="External"/><Relationship Id="rId70" Type="http://schemas.openxmlformats.org/officeDocument/2006/relationships/hyperlink" Target="https://stardewvalleywiki.com/Plum_Chapeau" TargetMode="External"/><Relationship Id="rId62" Type="http://schemas.openxmlformats.org/officeDocument/2006/relationships/hyperlink" Target="https://stardewvalleywiki.com/Qi_Mask" TargetMode="External"/><Relationship Id="rId61" Type="http://schemas.openxmlformats.org/officeDocument/2006/relationships/hyperlink" Target="https://stardewvalleywiki.com/Giant_Stump" TargetMode="External"/><Relationship Id="rId64" Type="http://schemas.openxmlformats.org/officeDocument/2006/relationships/hyperlink" Target="https://stardewvalleywiki.com/Pumpkin_Mask" TargetMode="External"/><Relationship Id="rId63" Type="http://schemas.openxmlformats.org/officeDocument/2006/relationships/hyperlink" Target="https://stardewvalleywiki.com/Tailoring" TargetMode="External"/><Relationship Id="rId66" Type="http://schemas.openxmlformats.org/officeDocument/2006/relationships/hyperlink" Target="https://stardewvalleywiki.com/Propeller_Hat" TargetMode="External"/><Relationship Id="rId65" Type="http://schemas.openxmlformats.org/officeDocument/2006/relationships/hyperlink" Target="https://stardewvalleywiki.com/Tailoring" TargetMode="External"/><Relationship Id="rId68" Type="http://schemas.openxmlformats.org/officeDocument/2006/relationships/hyperlink" Target="https://stardewvalleywiki.com/Polka_Bow" TargetMode="External"/><Relationship Id="rId67" Type="http://schemas.openxmlformats.org/officeDocument/2006/relationships/hyperlink" Target="https://stardewvalleywiki.com/Tailoring" TargetMode="External"/><Relationship Id="rId60" Type="http://schemas.openxmlformats.org/officeDocument/2006/relationships/hyperlink" Target="https://stardewvalleywiki.com/Raccoon_Hat" TargetMode="External"/><Relationship Id="rId69" Type="http://schemas.openxmlformats.org/officeDocument/2006/relationships/hyperlink" Target="https://stardewvalleywiki.com/Quests" TargetMode="External"/><Relationship Id="rId51" Type="http://schemas.openxmlformats.org/officeDocument/2006/relationships/hyperlink" Target="https://stardewvalleywiki.com/Friendship" TargetMode="External"/><Relationship Id="rId50" Type="http://schemas.openxmlformats.org/officeDocument/2006/relationships/hyperlink" Target="https://stardewvalleywiki.com/Adventurer%27s_Guild" TargetMode="External"/><Relationship Id="rId53" Type="http://schemas.openxmlformats.org/officeDocument/2006/relationships/hyperlink" Target="https://stardewvalleywiki.com/Festival_of_Ice" TargetMode="External"/><Relationship Id="rId52" Type="http://schemas.openxmlformats.org/officeDocument/2006/relationships/hyperlink" Target="https://stardewvalleywiki.com/Sailor%27s_Cap" TargetMode="External"/><Relationship Id="rId55" Type="http://schemas.openxmlformats.org/officeDocument/2006/relationships/hyperlink" Target="https://stardewvalleywiki.com/Traveling_Cart" TargetMode="External"/><Relationship Id="rId54" Type="http://schemas.openxmlformats.org/officeDocument/2006/relationships/hyperlink" Target="https://stardewvalleywiki.com/Red_Fez" TargetMode="External"/><Relationship Id="rId57" Type="http://schemas.openxmlformats.org/officeDocument/2006/relationships/hyperlink" Target="https://stardewvalleywiki.com/Skull_Cavern" TargetMode="External"/><Relationship Id="rId56" Type="http://schemas.openxmlformats.org/officeDocument/2006/relationships/hyperlink" Target="https://stardewvalleywiki.com/Red_Cowboy_Hat" TargetMode="External"/><Relationship Id="rId59" Type="http://schemas.openxmlformats.org/officeDocument/2006/relationships/hyperlink" Target="https://stardewvalleywiki.com/Tailoring" TargetMode="External"/><Relationship Id="rId58" Type="http://schemas.openxmlformats.org/officeDocument/2006/relationships/hyperlink" Target="https://stardewvalleywiki.com/Radioactive_Goggles" TargetMode="External"/><Relationship Id="rId107" Type="http://schemas.openxmlformats.org/officeDocument/2006/relationships/hyperlink" Target="https://stardewvalleywiki.com/Living_Hat" TargetMode="External"/><Relationship Id="rId228" Type="http://schemas.openxmlformats.org/officeDocument/2006/relationships/hyperlink" Target="https://stardewvalleywiki.com/Arcane_Hat" TargetMode="External"/><Relationship Id="rId349" Type="http://schemas.openxmlformats.org/officeDocument/2006/relationships/hyperlink" Target="https://stardewvalleywiki.com/Coffee" TargetMode="External"/><Relationship Id="rId106" Type="http://schemas.openxmlformats.org/officeDocument/2006/relationships/hyperlink" Target="https://stardewvalleywiki.com/Tailoring" TargetMode="External"/><Relationship Id="rId227" Type="http://schemas.openxmlformats.org/officeDocument/2006/relationships/hyperlink" Target="https://stardewvalleywiki.com/Cooking" TargetMode="External"/><Relationship Id="rId348" Type="http://schemas.openxmlformats.org/officeDocument/2006/relationships/hyperlink" Target="https://stardewvalleywiki.com/Roe" TargetMode="External"/><Relationship Id="rId105" Type="http://schemas.openxmlformats.org/officeDocument/2006/relationships/hyperlink" Target="https://stardewvalleywiki.com/Logo_Cap" TargetMode="External"/><Relationship Id="rId226" Type="http://schemas.openxmlformats.org/officeDocument/2006/relationships/hyperlink" Target="https://stardewvalleywiki.com/Archer%27s_Cap" TargetMode="External"/><Relationship Id="rId347" Type="http://schemas.openxmlformats.org/officeDocument/2006/relationships/hyperlink" Target="https://stardewvalleywiki.com/Wool" TargetMode="External"/><Relationship Id="rId104" Type="http://schemas.openxmlformats.org/officeDocument/2006/relationships/hyperlink" Target="https://stardewvalleywiki.com/Lucky_Bow" TargetMode="External"/><Relationship Id="rId225" Type="http://schemas.openxmlformats.org/officeDocument/2006/relationships/hyperlink" Target="https://stardewvalleywiki.com/Tailoring" TargetMode="External"/><Relationship Id="rId346" Type="http://schemas.openxmlformats.org/officeDocument/2006/relationships/hyperlink" Target="https://stardewvalleywiki.com/Egg" TargetMode="External"/><Relationship Id="rId109" Type="http://schemas.openxmlformats.org/officeDocument/2006/relationships/hyperlink" Target="https://stardewvalleywiki.com/Leprechaun_Hat" TargetMode="External"/><Relationship Id="rId108" Type="http://schemas.openxmlformats.org/officeDocument/2006/relationships/hyperlink" Target="https://stardewvalleywiki.com/Weeds" TargetMode="External"/><Relationship Id="rId229" Type="http://schemas.openxmlformats.org/officeDocument/2006/relationships/hyperlink" Target="https://stardewvalleywiki.com/Adventurer%27s_Guild" TargetMode="External"/><Relationship Id="rId220" Type="http://schemas.openxmlformats.org/officeDocument/2006/relationships/hyperlink" Target="https://stardewvalleywiki.com/Blue_Bonnet" TargetMode="External"/><Relationship Id="rId341" Type="http://schemas.openxmlformats.org/officeDocument/2006/relationships/hyperlink" Target="https://stardewvalleywiki.com/Omni_Geode" TargetMode="External"/><Relationship Id="rId340" Type="http://schemas.openxmlformats.org/officeDocument/2006/relationships/hyperlink" Target="https://stardewvalleywiki.com/Oil" TargetMode="External"/><Relationship Id="rId103" Type="http://schemas.openxmlformats.org/officeDocument/2006/relationships/hyperlink" Target="https://stardewvalleywiki.com/Desert_Trader" TargetMode="External"/><Relationship Id="rId224" Type="http://schemas.openxmlformats.org/officeDocument/2006/relationships/hyperlink" Target="https://stardewvalleywiki.com/Beanie" TargetMode="External"/><Relationship Id="rId345" Type="http://schemas.openxmlformats.org/officeDocument/2006/relationships/hyperlink" Target="https://stardewvalleywiki.com/Bug_Meat" TargetMode="External"/><Relationship Id="rId102" Type="http://schemas.openxmlformats.org/officeDocument/2006/relationships/hyperlink" Target="https://stardewvalleywiki.com/Magic_Cowboy_Hat" TargetMode="External"/><Relationship Id="rId223" Type="http://schemas.openxmlformats.org/officeDocument/2006/relationships/hyperlink" Target="https://stardewvalleywiki.com/Tailoring" TargetMode="External"/><Relationship Id="rId344" Type="http://schemas.openxmlformats.org/officeDocument/2006/relationships/hyperlink" Target="https://stardewvalleywiki.com/Chanterelle" TargetMode="External"/><Relationship Id="rId101" Type="http://schemas.openxmlformats.org/officeDocument/2006/relationships/hyperlink" Target="https://stardewvalleywiki.com/Desert_Trader" TargetMode="External"/><Relationship Id="rId222" Type="http://schemas.openxmlformats.org/officeDocument/2006/relationships/hyperlink" Target="https://stardewvalleywiki.com/Blobfish_Mask" TargetMode="External"/><Relationship Id="rId343" Type="http://schemas.openxmlformats.org/officeDocument/2006/relationships/hyperlink" Target="https://stardewvalleywiki.com/Vinegar" TargetMode="External"/><Relationship Id="rId100" Type="http://schemas.openxmlformats.org/officeDocument/2006/relationships/hyperlink" Target="https://stardewvalleywiki.com/Magic_Turban" TargetMode="External"/><Relationship Id="rId221" Type="http://schemas.openxmlformats.org/officeDocument/2006/relationships/hyperlink" Target="https://stardewvalleywiki.com/Museum" TargetMode="External"/><Relationship Id="rId342" Type="http://schemas.openxmlformats.org/officeDocument/2006/relationships/hyperlink" Target="https://stardewvalleywiki.com/Winter_Root" TargetMode="External"/><Relationship Id="rId217" Type="http://schemas.openxmlformats.org/officeDocument/2006/relationships/hyperlink" Target="https://stardewvalleywiki.com/Skull_Cavern" TargetMode="External"/><Relationship Id="rId338" Type="http://schemas.openxmlformats.org/officeDocument/2006/relationships/hyperlink" Target="https://stardewvalleywiki.com/Ocean_Stone" TargetMode="External"/><Relationship Id="rId216" Type="http://schemas.openxmlformats.org/officeDocument/2006/relationships/hyperlink" Target="https://stardewvalleywiki.com/Blue_Cowboy_Hat" TargetMode="External"/><Relationship Id="rId337" Type="http://schemas.openxmlformats.org/officeDocument/2006/relationships/hyperlink" Target="https://stardewvalleywiki.com/Tom_Kha_Soup" TargetMode="External"/><Relationship Id="rId215" Type="http://schemas.openxmlformats.org/officeDocument/2006/relationships/hyperlink" Target="https://stardewvalleywiki.com/Stardew_Valley_Fair" TargetMode="External"/><Relationship Id="rId336" Type="http://schemas.openxmlformats.org/officeDocument/2006/relationships/hyperlink" Target="https://stardewvalleywiki.com/Blueberry_Tart" TargetMode="External"/><Relationship Id="rId214" Type="http://schemas.openxmlformats.org/officeDocument/2006/relationships/hyperlink" Target="https://stardewvalleywiki.com/Blue_Ribbon" TargetMode="External"/><Relationship Id="rId335" Type="http://schemas.openxmlformats.org/officeDocument/2006/relationships/hyperlink" Target="https://stardewvalleywiki.com/Morel" TargetMode="External"/><Relationship Id="rId219" Type="http://schemas.openxmlformats.org/officeDocument/2006/relationships/hyperlink" Target="https://stardewvalleywiki.com/Desert_Festival" TargetMode="External"/><Relationship Id="rId218" Type="http://schemas.openxmlformats.org/officeDocument/2006/relationships/hyperlink" Target="https://stardewvalleywiki.com/Blue_Bow" TargetMode="External"/><Relationship Id="rId339" Type="http://schemas.openxmlformats.org/officeDocument/2006/relationships/hyperlink" Target="https://stardewvalleywiki.com/Glass_Shards" TargetMode="External"/><Relationship Id="rId330" Type="http://schemas.openxmlformats.org/officeDocument/2006/relationships/hyperlink" Target="https://stardewvalleywiki.com/Magic_Rock_Candy" TargetMode="External"/><Relationship Id="rId213" Type="http://schemas.openxmlformats.org/officeDocument/2006/relationships/hyperlink" Target="https://stardewvalleywiki.com/Island_Trader" TargetMode="External"/><Relationship Id="rId334" Type="http://schemas.openxmlformats.org/officeDocument/2006/relationships/hyperlink" Target="https://stardewvalleywiki.com/Dandelion" TargetMode="External"/><Relationship Id="rId212" Type="http://schemas.openxmlformats.org/officeDocument/2006/relationships/hyperlink" Target="https://stardewvalleywiki.com/Bluebird_Mask" TargetMode="External"/><Relationship Id="rId333" Type="http://schemas.openxmlformats.org/officeDocument/2006/relationships/hyperlink" Target="https://stardewvalleywiki.com/Seafoam_Pudding" TargetMode="External"/><Relationship Id="rId211" Type="http://schemas.openxmlformats.org/officeDocument/2006/relationships/hyperlink" Target="https://stardewvalleywiki.com/Bowler_Hat" TargetMode="External"/><Relationship Id="rId332" Type="http://schemas.openxmlformats.org/officeDocument/2006/relationships/hyperlink" Target="https://stardewvalleywiki.com/Squid_Ink" TargetMode="External"/><Relationship Id="rId210" Type="http://schemas.openxmlformats.org/officeDocument/2006/relationships/hyperlink" Target="https://stardewvalleywiki.com/Tailoring" TargetMode="External"/><Relationship Id="rId331" Type="http://schemas.openxmlformats.org/officeDocument/2006/relationships/hyperlink" Target="https://stardewvalleywiki.com/Vegetable_Medley" TargetMode="External"/><Relationship Id="rId370" Type="http://schemas.openxmlformats.org/officeDocument/2006/relationships/hyperlink" Target="https://stardewvalleywiki.com/Radish_Salad" TargetMode="External"/><Relationship Id="rId129" Type="http://schemas.openxmlformats.org/officeDocument/2006/relationships/hyperlink" Target="https://stardewvalleywiki.com/Tailoring" TargetMode="External"/><Relationship Id="rId128" Type="http://schemas.openxmlformats.org/officeDocument/2006/relationships/hyperlink" Target="https://stardewvalleywiki.com/Hair_Bone" TargetMode="External"/><Relationship Id="rId249" Type="http://schemas.openxmlformats.org/officeDocument/2006/relationships/hyperlink" Target="https://stardewvalleywiki.com/Bone_Flute" TargetMode="External"/><Relationship Id="rId127" Type="http://schemas.openxmlformats.org/officeDocument/2006/relationships/hyperlink" Target="https://stardewvalleywiki.com/Adventurer%27s_Guild" TargetMode="External"/><Relationship Id="rId248" Type="http://schemas.openxmlformats.org/officeDocument/2006/relationships/hyperlink" Target="https://stardewvalleywiki.com/Frozen_Geode" TargetMode="External"/><Relationship Id="rId369" Type="http://schemas.openxmlformats.org/officeDocument/2006/relationships/hyperlink" Target="https://stardewvalleywiki.com/Shrimp_Cocktail" TargetMode="External"/><Relationship Id="rId126" Type="http://schemas.openxmlformats.org/officeDocument/2006/relationships/hyperlink" Target="https://stardewvalleywiki.com/Hard_Hat" TargetMode="External"/><Relationship Id="rId247" Type="http://schemas.openxmlformats.org/officeDocument/2006/relationships/hyperlink" Target="https://stardewvalleywiki.com/Octopus" TargetMode="External"/><Relationship Id="rId368" Type="http://schemas.openxmlformats.org/officeDocument/2006/relationships/hyperlink" Target="https://stardewvalleywiki.com/Plum_Pudding" TargetMode="External"/><Relationship Id="rId121" Type="http://schemas.openxmlformats.org/officeDocument/2006/relationships/hyperlink" Target="https://stardewvalleywiki.com/Iridium_Pan_(hat)" TargetMode="External"/><Relationship Id="rId242" Type="http://schemas.openxmlformats.org/officeDocument/2006/relationships/hyperlink" Target="https://stardewvalleywiki.com/Fiber" TargetMode="External"/><Relationship Id="rId363" Type="http://schemas.openxmlformats.org/officeDocument/2006/relationships/hyperlink" Target="https://stardewvalleywiki.com/Spaghetti" TargetMode="External"/><Relationship Id="rId120" Type="http://schemas.openxmlformats.org/officeDocument/2006/relationships/hyperlink" Target="https://stardewvalleywiki.com/Movie_Theater" TargetMode="External"/><Relationship Id="rId241" Type="http://schemas.openxmlformats.org/officeDocument/2006/relationships/hyperlink" Target="https://stardewvalleywiki.com/Tailoring" TargetMode="External"/><Relationship Id="rId362" Type="http://schemas.openxmlformats.org/officeDocument/2006/relationships/hyperlink" Target="https://stardewvalleywiki.com/Rusty_Spoon" TargetMode="External"/><Relationship Id="rId240" Type="http://schemas.openxmlformats.org/officeDocument/2006/relationships/hyperlink" Target="https://stardewvalleywiki.com/Fluorapatite" TargetMode="External"/><Relationship Id="rId361" Type="http://schemas.openxmlformats.org/officeDocument/2006/relationships/hyperlink" Target="https://stardewvalleywiki.com/Ice_Cream" TargetMode="External"/><Relationship Id="rId360" Type="http://schemas.openxmlformats.org/officeDocument/2006/relationships/hyperlink" Target="https://stardewvalleywiki.com/Golden_Relic" TargetMode="External"/><Relationship Id="rId125" Type="http://schemas.openxmlformats.org/officeDocument/2006/relationships/hyperlink" Target="https://stardewvalleywiki.com/Hunter%27s_Cap" TargetMode="External"/><Relationship Id="rId246" Type="http://schemas.openxmlformats.org/officeDocument/2006/relationships/hyperlink" Target="https://stardewvalleywiki.com/Fiddlehead_Risotto" TargetMode="External"/><Relationship Id="rId367" Type="http://schemas.openxmlformats.org/officeDocument/2006/relationships/hyperlink" Target="https://stardewvalleywiki.com/Orpiment" TargetMode="External"/><Relationship Id="rId124" Type="http://schemas.openxmlformats.org/officeDocument/2006/relationships/hyperlink" Target="https://stardewvalleywiki.com/Infinity_Blade" TargetMode="External"/><Relationship Id="rId245" Type="http://schemas.openxmlformats.org/officeDocument/2006/relationships/hyperlink" Target="https://stardewvalleywiki.com/Beer" TargetMode="External"/><Relationship Id="rId366" Type="http://schemas.openxmlformats.org/officeDocument/2006/relationships/hyperlink" Target="https://stardewvalleywiki.com/Dish_O%27_The_Sea" TargetMode="External"/><Relationship Id="rId123" Type="http://schemas.openxmlformats.org/officeDocument/2006/relationships/hyperlink" Target="https://stardewvalleywiki.com/Infinity_Crown" TargetMode="External"/><Relationship Id="rId244" Type="http://schemas.openxmlformats.org/officeDocument/2006/relationships/hyperlink" Target="https://stardewvalleywiki.com/Rainbow_Shell" TargetMode="External"/><Relationship Id="rId365" Type="http://schemas.openxmlformats.org/officeDocument/2006/relationships/hyperlink" Target="https://stardewvalleywiki.com/Bruschetta" TargetMode="External"/><Relationship Id="rId122" Type="http://schemas.openxmlformats.org/officeDocument/2006/relationships/hyperlink" Target="https://stardewvalleywiki.com/Pans" TargetMode="External"/><Relationship Id="rId243" Type="http://schemas.openxmlformats.org/officeDocument/2006/relationships/hyperlink" Target="https://stardewvalleywiki.com/Autumn%27s_Bounty" TargetMode="External"/><Relationship Id="rId364" Type="http://schemas.openxmlformats.org/officeDocument/2006/relationships/hyperlink" Target="https://stardewvalleywiki.com/Carrot" TargetMode="External"/><Relationship Id="rId95" Type="http://schemas.openxmlformats.org/officeDocument/2006/relationships/hyperlink" Target="https://stardewvalleywiki.com/Desert_Festival" TargetMode="External"/><Relationship Id="rId94" Type="http://schemas.openxmlformats.org/officeDocument/2006/relationships/hyperlink" Target="https://stardewvalleywiki.com/Mummy_Mask" TargetMode="External"/><Relationship Id="rId97" Type="http://schemas.openxmlformats.org/officeDocument/2006/relationships/hyperlink" Target="https://stardewvalleywiki.com/Qi%27s_Walnut_Room" TargetMode="External"/><Relationship Id="rId96" Type="http://schemas.openxmlformats.org/officeDocument/2006/relationships/hyperlink" Target="https://stardewvalleywiki.com/Mr._Qi%27s_Hat" TargetMode="External"/><Relationship Id="rId99" Type="http://schemas.openxmlformats.org/officeDocument/2006/relationships/hyperlink" Target="https://stardewvalleywiki.com/Friendship" TargetMode="External"/><Relationship Id="rId98" Type="http://schemas.openxmlformats.org/officeDocument/2006/relationships/hyperlink" Target="https://stardewvalleywiki.com/Mouse_Ears" TargetMode="External"/><Relationship Id="rId91" Type="http://schemas.openxmlformats.org/officeDocument/2006/relationships/hyperlink" Target="https://stardewvalleywiki.com/Mystery_Box" TargetMode="External"/><Relationship Id="rId90" Type="http://schemas.openxmlformats.org/officeDocument/2006/relationships/hyperlink" Target="https://stardewvalleywiki.com/Mystery_Hat" TargetMode="External"/><Relationship Id="rId93" Type="http://schemas.openxmlformats.org/officeDocument/2006/relationships/hyperlink" Target="https://stardewvalleywiki.com/Mushroom_Tree" TargetMode="External"/><Relationship Id="rId92" Type="http://schemas.openxmlformats.org/officeDocument/2006/relationships/hyperlink" Target="https://stardewvalleywiki.com/Mushroom_Cap" TargetMode="External"/><Relationship Id="rId118" Type="http://schemas.openxmlformats.org/officeDocument/2006/relationships/hyperlink" Target="https://stardewvalleywiki.com/Desert_Festival" TargetMode="External"/><Relationship Id="rId239" Type="http://schemas.openxmlformats.org/officeDocument/2006/relationships/hyperlink" Target="https://stardewvalleywiki.com/Kyanite" TargetMode="External"/><Relationship Id="rId117" Type="http://schemas.openxmlformats.org/officeDocument/2006/relationships/hyperlink" Target="https://stardewvalleywiki.com/Joja_Cap" TargetMode="External"/><Relationship Id="rId238" Type="http://schemas.openxmlformats.org/officeDocument/2006/relationships/hyperlink" Target="https://stardewvalleywiki.com/Jasper" TargetMode="External"/><Relationship Id="rId359" Type="http://schemas.openxmlformats.org/officeDocument/2006/relationships/hyperlink" Target="https://stardewvalleywiki.com/Ancient_Drum" TargetMode="External"/><Relationship Id="rId116" Type="http://schemas.openxmlformats.org/officeDocument/2006/relationships/hyperlink" Target="https://stardewvalleywiki.com/The_Summit" TargetMode="External"/><Relationship Id="rId237" Type="http://schemas.openxmlformats.org/officeDocument/2006/relationships/hyperlink" Target="https://stardewvalleywiki.com/Banana_Pudding" TargetMode="External"/><Relationship Id="rId358" Type="http://schemas.openxmlformats.org/officeDocument/2006/relationships/hyperlink" Target="https://stardewvalleywiki.com/Red_Plate" TargetMode="External"/><Relationship Id="rId115" Type="http://schemas.openxmlformats.org/officeDocument/2006/relationships/hyperlink" Target="https://stardewvalleywiki.com/Junimo_Hat" TargetMode="External"/><Relationship Id="rId236" Type="http://schemas.openxmlformats.org/officeDocument/2006/relationships/hyperlink" Target="https://stardewvalleywiki.com/Duck_Mayonnaise" TargetMode="External"/><Relationship Id="rId357" Type="http://schemas.openxmlformats.org/officeDocument/2006/relationships/hyperlink" Target="https://stardewvalleywiki.com/Cranberry_Candy" TargetMode="External"/><Relationship Id="rId119" Type="http://schemas.openxmlformats.org/officeDocument/2006/relationships/hyperlink" Target="https://stardewvalleywiki.com/Jester_Hat" TargetMode="External"/><Relationship Id="rId110" Type="http://schemas.openxmlformats.org/officeDocument/2006/relationships/hyperlink" Target="https://stardewvalleywiki.com/Abandoned_House" TargetMode="External"/><Relationship Id="rId231" Type="http://schemas.openxmlformats.org/officeDocument/2006/relationships/hyperlink" Target="https://stardewvalleywiki.com/Desert_Festival" TargetMode="External"/><Relationship Id="rId352" Type="http://schemas.openxmlformats.org/officeDocument/2006/relationships/hyperlink" Target="https://stardewvalleywiki.com/Prismatic_Shard" TargetMode="External"/><Relationship Id="rId230" Type="http://schemas.openxmlformats.org/officeDocument/2006/relationships/hyperlink" Target="https://stardewvalleywiki.com/Abigail%27s_Bow" TargetMode="External"/><Relationship Id="rId351" Type="http://schemas.openxmlformats.org/officeDocument/2006/relationships/hyperlink" Target="https://stardewvalleywiki.com/Prismatic_Shard" TargetMode="External"/><Relationship Id="rId350" Type="http://schemas.openxmlformats.org/officeDocument/2006/relationships/hyperlink" Target="https://stardewvalleywiki.com/Prismatic_Shard" TargetMode="External"/><Relationship Id="rId114" Type="http://schemas.openxmlformats.org/officeDocument/2006/relationships/hyperlink" Target="https://stardewvalleywiki.com/Adventurer%27s_Guild" TargetMode="External"/><Relationship Id="rId235" Type="http://schemas.openxmlformats.org/officeDocument/2006/relationships/hyperlink" Target="https://stardewvalleywiki.com/Chipped_Amphora" TargetMode="External"/><Relationship Id="rId356" Type="http://schemas.openxmlformats.org/officeDocument/2006/relationships/hyperlink" Target="https://stardewvalleywiki.com/Magma_Geode" TargetMode="External"/><Relationship Id="rId113" Type="http://schemas.openxmlformats.org/officeDocument/2006/relationships/hyperlink" Target="https://stardewvalleywiki.com/Knight%27s_Helmet" TargetMode="External"/><Relationship Id="rId234" Type="http://schemas.openxmlformats.org/officeDocument/2006/relationships/hyperlink" Target="https://stardewvalleywiki.com/Cactus_Fruit" TargetMode="External"/><Relationship Id="rId355" Type="http://schemas.openxmlformats.org/officeDocument/2006/relationships/hyperlink" Target="https://stardewvalleywiki.com/Hashbrowns" TargetMode="External"/><Relationship Id="rId112" Type="http://schemas.openxmlformats.org/officeDocument/2006/relationships/hyperlink" Target="https://stardewvalleywiki.com/Desert_Festival" TargetMode="External"/><Relationship Id="rId233" Type="http://schemas.openxmlformats.org/officeDocument/2006/relationships/hyperlink" Target="https://stardewvalleywiki.com/Forge" TargetMode="External"/><Relationship Id="rId354" Type="http://schemas.openxmlformats.org/officeDocument/2006/relationships/hyperlink" Target="https://stardewvalleywiki.com/Trout_Soup" TargetMode="External"/><Relationship Id="rId111" Type="http://schemas.openxmlformats.org/officeDocument/2006/relationships/hyperlink" Target="https://stardewvalleywiki.com/Laurel_Wreath_Crown" TargetMode="External"/><Relationship Id="rId232" Type="http://schemas.openxmlformats.org/officeDocument/2006/relationships/hyperlink" Target="https://stardewvalleywiki.com/%3F%3F%3F_(hat)" TargetMode="External"/><Relationship Id="rId353" Type="http://schemas.openxmlformats.org/officeDocument/2006/relationships/hyperlink" Target="https://stardewvalleywiki.com/Crayfish" TargetMode="External"/><Relationship Id="rId305" Type="http://schemas.openxmlformats.org/officeDocument/2006/relationships/hyperlink" Target="https://stardewvalleywiki.com/Fiddlehead_Fern" TargetMode="External"/><Relationship Id="rId426" Type="http://schemas.openxmlformats.org/officeDocument/2006/relationships/hyperlink" Target="https://stardewvalleywiki.com/Prismatic_Shard" TargetMode="External"/><Relationship Id="rId304" Type="http://schemas.openxmlformats.org/officeDocument/2006/relationships/hyperlink" Target="https://stardewvalleywiki.com/Super_Meal" TargetMode="External"/><Relationship Id="rId425" Type="http://schemas.openxmlformats.org/officeDocument/2006/relationships/hyperlink" Target="https://stardewvalleywiki.com/Orange" TargetMode="External"/><Relationship Id="rId303" Type="http://schemas.openxmlformats.org/officeDocument/2006/relationships/hyperlink" Target="https://stardewvalleywiki.com/Rhubarb" TargetMode="External"/><Relationship Id="rId424" Type="http://schemas.openxmlformats.org/officeDocument/2006/relationships/hyperlink" Target="https://stardewvalleywiki.com/Apple" TargetMode="External"/><Relationship Id="rId302" Type="http://schemas.openxmlformats.org/officeDocument/2006/relationships/hyperlink" Target="https://stardewvalleywiki.com/Malachite" TargetMode="External"/><Relationship Id="rId423" Type="http://schemas.openxmlformats.org/officeDocument/2006/relationships/hyperlink" Target="https://stardewvalleywiki.com/Honey" TargetMode="External"/><Relationship Id="rId309" Type="http://schemas.openxmlformats.org/officeDocument/2006/relationships/hyperlink" Target="https://stardewvalleywiki.com/Lemon_Stone" TargetMode="External"/><Relationship Id="rId308" Type="http://schemas.openxmlformats.org/officeDocument/2006/relationships/hyperlink" Target="https://stardewvalleywiki.com/Bean_Hotpot" TargetMode="External"/><Relationship Id="rId307" Type="http://schemas.openxmlformats.org/officeDocument/2006/relationships/hyperlink" Target="https://stardewvalleywiki.com/Ancient_Sword" TargetMode="External"/><Relationship Id="rId428" Type="http://schemas.openxmlformats.org/officeDocument/2006/relationships/drawing" Target="../drawings/drawing5.xml"/><Relationship Id="rId306" Type="http://schemas.openxmlformats.org/officeDocument/2006/relationships/hyperlink" Target="https://stardewvalleywiki.com/Jamborite" TargetMode="External"/><Relationship Id="rId427" Type="http://schemas.openxmlformats.org/officeDocument/2006/relationships/hyperlink" Target="https://stardewvalleywiki.com/Prismatic_Shard" TargetMode="External"/><Relationship Id="rId301" Type="http://schemas.openxmlformats.org/officeDocument/2006/relationships/hyperlink" Target="https://stardewvalleywiki.com/Cave_Carrot" TargetMode="External"/><Relationship Id="rId422" Type="http://schemas.openxmlformats.org/officeDocument/2006/relationships/hyperlink" Target="https://stardewvalleywiki.com/Slime_Egg" TargetMode="External"/><Relationship Id="rId300" Type="http://schemas.openxmlformats.org/officeDocument/2006/relationships/hyperlink" Target="https://stardewvalleywiki.com/Quartz" TargetMode="External"/><Relationship Id="rId421" Type="http://schemas.openxmlformats.org/officeDocument/2006/relationships/hyperlink" Target="https://stardewvalleywiki.com/Ancient_Fruit" TargetMode="External"/><Relationship Id="rId420" Type="http://schemas.openxmlformats.org/officeDocument/2006/relationships/hyperlink" Target="https://stardewvalleywiki.com/Hay" TargetMode="External"/><Relationship Id="rId415" Type="http://schemas.openxmlformats.org/officeDocument/2006/relationships/hyperlink" Target="https://stardewvalleywiki.com/Blueberry" TargetMode="External"/><Relationship Id="rId414" Type="http://schemas.openxmlformats.org/officeDocument/2006/relationships/hyperlink" Target="https://stardewvalleywiki.com/Cranberries" TargetMode="External"/><Relationship Id="rId413" Type="http://schemas.openxmlformats.org/officeDocument/2006/relationships/hyperlink" Target="https://stardewvalleywiki.com/Mango_Sticky_Rice" TargetMode="External"/><Relationship Id="rId412" Type="http://schemas.openxmlformats.org/officeDocument/2006/relationships/hyperlink" Target="https://stardewvalleywiki.com/Omelet" TargetMode="External"/><Relationship Id="rId419" Type="http://schemas.openxmlformats.org/officeDocument/2006/relationships/hyperlink" Target="https://stardewvalleywiki.com/Dinosaur_Mayonnaise" TargetMode="External"/><Relationship Id="rId418" Type="http://schemas.openxmlformats.org/officeDocument/2006/relationships/hyperlink" Target="https://stardewvalleywiki.com/Poppy" TargetMode="External"/><Relationship Id="rId417" Type="http://schemas.openxmlformats.org/officeDocument/2006/relationships/hyperlink" Target="https://stardewvalleywiki.com/Blue_Jazz" TargetMode="External"/><Relationship Id="rId416" Type="http://schemas.openxmlformats.org/officeDocument/2006/relationships/hyperlink" Target="https://stardewvalleywiki.com/Fairy_Rose" TargetMode="External"/><Relationship Id="rId411" Type="http://schemas.openxmlformats.org/officeDocument/2006/relationships/hyperlink" Target="https://stardewvalleywiki.com/Strange_Doll_(green)" TargetMode="External"/><Relationship Id="rId410" Type="http://schemas.openxmlformats.org/officeDocument/2006/relationships/hyperlink" Target="https://stardewvalleywiki.com/Stone" TargetMode="External"/><Relationship Id="rId206" Type="http://schemas.openxmlformats.org/officeDocument/2006/relationships/hyperlink" Target="https://stardewvalleywiki.com/Friendship" TargetMode="External"/><Relationship Id="rId327" Type="http://schemas.openxmlformats.org/officeDocument/2006/relationships/hyperlink" Target="https://stardewvalleywiki.com/Duck_Feather" TargetMode="External"/><Relationship Id="rId205" Type="http://schemas.openxmlformats.org/officeDocument/2006/relationships/hyperlink" Target="https://stardewvalleywiki.com/Butterfly_Bow" TargetMode="External"/><Relationship Id="rId326" Type="http://schemas.openxmlformats.org/officeDocument/2006/relationships/hyperlink" Target="https://stardewvalleywiki.com/Rice_Pudding" TargetMode="External"/><Relationship Id="rId204" Type="http://schemas.openxmlformats.org/officeDocument/2006/relationships/hyperlink" Target="https://stardewvalleywiki.com/Friendship" TargetMode="External"/><Relationship Id="rId325" Type="http://schemas.openxmlformats.org/officeDocument/2006/relationships/hyperlink" Target="https://stardewvalleywiki.com/Mayonnaise" TargetMode="External"/><Relationship Id="rId203" Type="http://schemas.openxmlformats.org/officeDocument/2006/relationships/hyperlink" Target="https://stardewvalleywiki.com/Cat_Ears" TargetMode="External"/><Relationship Id="rId324" Type="http://schemas.openxmlformats.org/officeDocument/2006/relationships/hyperlink" Target="https://stardewvalleywiki.com/Harvey%27s_Clinic" TargetMode="External"/><Relationship Id="rId209" Type="http://schemas.openxmlformats.org/officeDocument/2006/relationships/hyperlink" Target="https://stardewvalleywiki.com/Bridal_Veil" TargetMode="External"/><Relationship Id="rId208" Type="http://schemas.openxmlformats.org/officeDocument/2006/relationships/hyperlink" Target="https://stardewvalleywiki.com/Trout_Derby" TargetMode="External"/><Relationship Id="rId329" Type="http://schemas.openxmlformats.org/officeDocument/2006/relationships/hyperlink" Target="https://stardewvalleywiki.com/Magma_Cap" TargetMode="External"/><Relationship Id="rId207" Type="http://schemas.openxmlformats.org/officeDocument/2006/relationships/hyperlink" Target="https://stardewvalleywiki.com/Bucket_Hat" TargetMode="External"/><Relationship Id="rId328" Type="http://schemas.openxmlformats.org/officeDocument/2006/relationships/hyperlink" Target="https://stardewvalleywiki.com/Leek" TargetMode="External"/><Relationship Id="rId202" Type="http://schemas.openxmlformats.org/officeDocument/2006/relationships/hyperlink" Target="https://stardewvalleywiki.com/Cooking" TargetMode="External"/><Relationship Id="rId323" Type="http://schemas.openxmlformats.org/officeDocument/2006/relationships/hyperlink" Target="https://stardewvalleywiki.com/Jagoite" TargetMode="External"/><Relationship Id="rId201" Type="http://schemas.openxmlformats.org/officeDocument/2006/relationships/hyperlink" Target="https://stardewvalleywiki.com/Chef_Hat" TargetMode="External"/><Relationship Id="rId322" Type="http://schemas.openxmlformats.org/officeDocument/2006/relationships/hyperlink" Target="https://stardewvalleywiki.com/Seaweed" TargetMode="External"/><Relationship Id="rId200" Type="http://schemas.openxmlformats.org/officeDocument/2006/relationships/hyperlink" Target="https://stardewvalleywiki.com/Quests" TargetMode="External"/><Relationship Id="rId321" Type="http://schemas.openxmlformats.org/officeDocument/2006/relationships/hyperlink" Target="https://stardewvalleywiki.com/Elvish_Jewelry" TargetMode="External"/><Relationship Id="rId320" Type="http://schemas.openxmlformats.org/officeDocument/2006/relationships/hyperlink" Target="https://stardewvalleywiki.com/Pyrite" TargetMode="External"/><Relationship Id="rId316" Type="http://schemas.openxmlformats.org/officeDocument/2006/relationships/hyperlink" Target="https://stardewvalleywiki.com/Poi" TargetMode="External"/><Relationship Id="rId315" Type="http://schemas.openxmlformats.org/officeDocument/2006/relationships/hyperlink" Target="https://stardewvalleywiki.com/Pumpkin_Pie" TargetMode="External"/><Relationship Id="rId314" Type="http://schemas.openxmlformats.org/officeDocument/2006/relationships/hyperlink" Target="https://stardewvalleywiki.com/Deluxe_Speed-Gro" TargetMode="External"/><Relationship Id="rId313" Type="http://schemas.openxmlformats.org/officeDocument/2006/relationships/hyperlink" Target="https://stardewvalleywiki.com/Basic_Fertilizer" TargetMode="External"/><Relationship Id="rId319" Type="http://schemas.openxmlformats.org/officeDocument/2006/relationships/hyperlink" Target="https://stardewvalleywiki.com/Golden_Coconut" TargetMode="External"/><Relationship Id="rId318" Type="http://schemas.openxmlformats.org/officeDocument/2006/relationships/hyperlink" Target="https://stardewvalleywiki.com/Iridium_Ore" TargetMode="External"/><Relationship Id="rId317" Type="http://schemas.openxmlformats.org/officeDocument/2006/relationships/hyperlink" Target="https://stardewvalleywiki.com/Iridium_Bar" TargetMode="External"/><Relationship Id="rId312" Type="http://schemas.openxmlformats.org/officeDocument/2006/relationships/hyperlink" Target="https://stardewvalleywiki.com/Torch" TargetMode="External"/><Relationship Id="rId311" Type="http://schemas.openxmlformats.org/officeDocument/2006/relationships/hyperlink" Target="https://stardewvalleywiki.com/Strange_Bun" TargetMode="External"/><Relationship Id="rId310" Type="http://schemas.openxmlformats.org/officeDocument/2006/relationships/hyperlink" Target="https://stardewvalleywiki.com/Oasis"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stardewvalleywiki.com/Daisy" TargetMode="External"/><Relationship Id="rId194" Type="http://schemas.openxmlformats.org/officeDocument/2006/relationships/hyperlink" Target="https://stardewvalleywiki.com/Cowgal_Hat" TargetMode="External"/><Relationship Id="rId193" Type="http://schemas.openxmlformats.org/officeDocument/2006/relationships/hyperlink" Target="https://stardewvalleywiki.com/Shipping" TargetMode="External"/><Relationship Id="rId192" Type="http://schemas.openxmlformats.org/officeDocument/2006/relationships/hyperlink" Target="https://stardewvalleywiki.com/Cowpoke_Hat" TargetMode="External"/><Relationship Id="rId191" Type="http://schemas.openxmlformats.org/officeDocument/2006/relationships/hyperlink" Target="https://stardewvalleywiki.com/Crafting" TargetMode="External"/><Relationship Id="rId187" Type="http://schemas.openxmlformats.org/officeDocument/2006/relationships/hyperlink" Target="https://stardewvalleywiki.com/Skull_Cavern" TargetMode="External"/><Relationship Id="rId186" Type="http://schemas.openxmlformats.org/officeDocument/2006/relationships/hyperlink" Target="https://stardewvalleywiki.com/Dark_Cowboy_Hat" TargetMode="External"/><Relationship Id="rId185" Type="http://schemas.openxmlformats.org/officeDocument/2006/relationships/hyperlink" Target="https://stardewvalleywiki.com/Desert_Festival" TargetMode="External"/><Relationship Id="rId184" Type="http://schemas.openxmlformats.org/officeDocument/2006/relationships/hyperlink" Target="https://stardewvalleywiki.com/Dark_Velvet_Bow" TargetMode="External"/><Relationship Id="rId189" Type="http://schemas.openxmlformats.org/officeDocument/2006/relationships/hyperlink" Target="https://stardewvalleywiki.com/Desert_Festival" TargetMode="External"/><Relationship Id="rId188" Type="http://schemas.openxmlformats.org/officeDocument/2006/relationships/hyperlink" Target="https://stardewvalleywiki.com/Dark_Ballcap" TargetMode="External"/><Relationship Id="rId183" Type="http://schemas.openxmlformats.org/officeDocument/2006/relationships/hyperlink" Target="https://stardewvalleywiki.com/Cooking" TargetMode="External"/><Relationship Id="rId182" Type="http://schemas.openxmlformats.org/officeDocument/2006/relationships/hyperlink" Target="https://stardewvalleywiki.com/Delicate_Bow" TargetMode="External"/><Relationship Id="rId181" Type="http://schemas.openxmlformats.org/officeDocument/2006/relationships/hyperlink" Target="https://stardewvalleywiki.com/Island_Trader" TargetMode="External"/><Relationship Id="rId180" Type="http://schemas.openxmlformats.org/officeDocument/2006/relationships/hyperlink" Target="https://stardewvalleywiki.com/Deluxe_Cowboy_Hat" TargetMode="External"/><Relationship Id="rId176" Type="http://schemas.openxmlformats.org/officeDocument/2006/relationships/hyperlink" Target="https://stardewvalleywiki.com/Dinosaur_Hat" TargetMode="External"/><Relationship Id="rId297" Type="http://schemas.openxmlformats.org/officeDocument/2006/relationships/hyperlink" Target="https://stardewvalleywiki.com/Gold_Bar" TargetMode="External"/><Relationship Id="rId175" Type="http://schemas.openxmlformats.org/officeDocument/2006/relationships/hyperlink" Target="https://stardewvalleywiki.com/Friendship" TargetMode="External"/><Relationship Id="rId296" Type="http://schemas.openxmlformats.org/officeDocument/2006/relationships/hyperlink" Target="https://stardewvalleywiki.com/Aged_Roe" TargetMode="External"/><Relationship Id="rId174" Type="http://schemas.openxmlformats.org/officeDocument/2006/relationships/hyperlink" Target="https://stardewvalleywiki.com/Earmuffs" TargetMode="External"/><Relationship Id="rId295" Type="http://schemas.openxmlformats.org/officeDocument/2006/relationships/hyperlink" Target="https://stardewvalleywiki.com/Ginger_Ale" TargetMode="External"/><Relationship Id="rId173" Type="http://schemas.openxmlformats.org/officeDocument/2006/relationships/hyperlink" Target="https://stardewvalleywiki.com/Achievements" TargetMode="External"/><Relationship Id="rId294" Type="http://schemas.openxmlformats.org/officeDocument/2006/relationships/hyperlink" Target="https://stardewvalleywiki.com/Chowder" TargetMode="External"/><Relationship Id="rId179" Type="http://schemas.openxmlformats.org/officeDocument/2006/relationships/hyperlink" Target="https://stardewvalleywiki.com/Volcano_Dungeon" TargetMode="External"/><Relationship Id="rId178" Type="http://schemas.openxmlformats.org/officeDocument/2006/relationships/hyperlink" Target="https://stardewvalleywiki.com/Deluxe_Pirate_Hat" TargetMode="External"/><Relationship Id="rId299" Type="http://schemas.openxmlformats.org/officeDocument/2006/relationships/hyperlink" Target="https://stardewvalleywiki.com/Maru" TargetMode="External"/><Relationship Id="rId177" Type="http://schemas.openxmlformats.org/officeDocument/2006/relationships/hyperlink" Target="https://stardewvalleywiki.com/Tailoring" TargetMode="External"/><Relationship Id="rId298" Type="http://schemas.openxmlformats.org/officeDocument/2006/relationships/hyperlink" Target="https://stardewvalleywiki.com/Dried_Starfish" TargetMode="External"/><Relationship Id="rId198" Type="http://schemas.openxmlformats.org/officeDocument/2006/relationships/hyperlink" Target="https://stardewvalleywiki.com/Copper_Pan_(hat)" TargetMode="External"/><Relationship Id="rId197" Type="http://schemas.openxmlformats.org/officeDocument/2006/relationships/hyperlink" Target="https://stardewvalleywiki.com/Museum" TargetMode="External"/><Relationship Id="rId196" Type="http://schemas.openxmlformats.org/officeDocument/2006/relationships/hyperlink" Target="https://stardewvalleywiki.com/Cowboy_Hat" TargetMode="External"/><Relationship Id="rId195" Type="http://schemas.openxmlformats.org/officeDocument/2006/relationships/hyperlink" Target="https://stardewvalleywiki.com/Shipping" TargetMode="External"/><Relationship Id="rId199" Type="http://schemas.openxmlformats.org/officeDocument/2006/relationships/hyperlink" Target="https://stardewvalleywiki.com/Pans" TargetMode="External"/><Relationship Id="rId150" Type="http://schemas.openxmlformats.org/officeDocument/2006/relationships/hyperlink" Target="https://stardewvalleywiki.com/Gil%27s_Hat" TargetMode="External"/><Relationship Id="rId271" Type="http://schemas.openxmlformats.org/officeDocument/2006/relationships/hyperlink" Target="https://stardewvalleywiki.com/Copper_Bar" TargetMode="External"/><Relationship Id="rId392" Type="http://schemas.openxmlformats.org/officeDocument/2006/relationships/hyperlink" Target="https://stardewvalleywiki.com/Sap" TargetMode="External"/><Relationship Id="rId270" Type="http://schemas.openxmlformats.org/officeDocument/2006/relationships/hyperlink" Target="https://stardewvalleywiki.com/Green_Algae" TargetMode="External"/><Relationship Id="rId391" Type="http://schemas.openxmlformats.org/officeDocument/2006/relationships/hyperlink" Target="https://stardewvalleywiki.com/Glazed_Yams" TargetMode="External"/><Relationship Id="rId390" Type="http://schemas.openxmlformats.org/officeDocument/2006/relationships/hyperlink" Target="https://stardewvalleywiki.com/Bouquet"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149" Type="http://schemas.openxmlformats.org/officeDocument/2006/relationships/hyperlink" Target="https://stardewvalleywiki.com/Crafting" TargetMode="External"/><Relationship Id="rId4" Type="http://schemas.openxmlformats.org/officeDocument/2006/relationships/hyperlink" Target="https://stardewvalleywiki.com/Witch_Hat" TargetMode="External"/><Relationship Id="rId148" Type="http://schemas.openxmlformats.org/officeDocument/2006/relationships/hyperlink" Target="https://stardewvalleywiki.com/Gnome%27s_Cap" TargetMode="External"/><Relationship Id="rId269" Type="http://schemas.openxmlformats.org/officeDocument/2006/relationships/hyperlink" Target="https://stardewvalleywiki.com/Helvite" TargetMode="External"/><Relationship Id="rId9" Type="http://schemas.openxmlformats.org/officeDocument/2006/relationships/hyperlink" Target="https://stardewvalleywiki.com/Wearable_Dwarf_Helm" TargetMode="External"/><Relationship Id="rId143" Type="http://schemas.openxmlformats.org/officeDocument/2006/relationships/hyperlink" Target="https://stardewvalleywiki.com/Pans" TargetMode="External"/><Relationship Id="rId264" Type="http://schemas.openxmlformats.org/officeDocument/2006/relationships/hyperlink" Target="https://stardewvalleywiki.com/Carp_Surprise" TargetMode="External"/><Relationship Id="rId385" Type="http://schemas.openxmlformats.org/officeDocument/2006/relationships/hyperlink" Target="https://stardewvalleywiki.com/Fried_Calamari" TargetMode="External"/><Relationship Id="rId142" Type="http://schemas.openxmlformats.org/officeDocument/2006/relationships/hyperlink" Target="https://stardewvalleywiki.com/Gold_Pan_(hat)" TargetMode="External"/><Relationship Id="rId263" Type="http://schemas.openxmlformats.org/officeDocument/2006/relationships/hyperlink" Target="https://stardewvalleywiki.com/Large_Egg" TargetMode="External"/><Relationship Id="rId384" Type="http://schemas.openxmlformats.org/officeDocument/2006/relationships/hyperlink" Target="https://stardewvalleywiki.com/Iron_Bar" TargetMode="External"/><Relationship Id="rId141" Type="http://schemas.openxmlformats.org/officeDocument/2006/relationships/hyperlink" Target="https://stardewvalleywiki.com/Golden_Coconut" TargetMode="External"/><Relationship Id="rId262" Type="http://schemas.openxmlformats.org/officeDocument/2006/relationships/hyperlink" Target="https://stardewvalleywiki.com/Anchor" TargetMode="External"/><Relationship Id="rId383" Type="http://schemas.openxmlformats.org/officeDocument/2006/relationships/hyperlink" Target="https://stardewvalleywiki.com/Star_Shards" TargetMode="External"/><Relationship Id="rId140" Type="http://schemas.openxmlformats.org/officeDocument/2006/relationships/hyperlink" Target="https://stardewvalleywiki.com/Golden_Helmet" TargetMode="External"/><Relationship Id="rId261" Type="http://schemas.openxmlformats.org/officeDocument/2006/relationships/hyperlink" Target="https://stardewvalleywiki.com/Chewing_Stick" TargetMode="External"/><Relationship Id="rId382" Type="http://schemas.openxmlformats.org/officeDocument/2006/relationships/hyperlink" Target="https://stardewvalleywiki.com/Juice" TargetMode="External"/><Relationship Id="rId5" Type="http://schemas.openxmlformats.org/officeDocument/2006/relationships/hyperlink" Target="https://stardewvalleywiki.com/Tailoring" TargetMode="External"/><Relationship Id="rId147" Type="http://schemas.openxmlformats.org/officeDocument/2006/relationships/hyperlink" Target="https://stardewvalleywiki.com/Shipping" TargetMode="External"/><Relationship Id="rId268" Type="http://schemas.openxmlformats.org/officeDocument/2006/relationships/hyperlink" Target="https://stardewvalleywiki.com/Complete_Breakfast" TargetMode="External"/><Relationship Id="rId389" Type="http://schemas.openxmlformats.org/officeDocument/2006/relationships/hyperlink" Target="https://stardewvalleywiki.com/Sugar" TargetMode="External"/><Relationship Id="rId6" Type="http://schemas.openxmlformats.org/officeDocument/2006/relationships/hyperlink" Target="https://stardewvalleywiki.com/White_Turban" TargetMode="External"/><Relationship Id="rId146" Type="http://schemas.openxmlformats.org/officeDocument/2006/relationships/hyperlink" Target="https://stardewvalleywiki.com/Goblin_Mask" TargetMode="External"/><Relationship Id="rId267" Type="http://schemas.openxmlformats.org/officeDocument/2006/relationships/hyperlink" Target="https://stardewvalleywiki.com/Rusty_Cog" TargetMode="External"/><Relationship Id="rId388" Type="http://schemas.openxmlformats.org/officeDocument/2006/relationships/hyperlink" Target="https://stardewvalleywiki.com/Obsidian" TargetMode="External"/><Relationship Id="rId7" Type="http://schemas.openxmlformats.org/officeDocument/2006/relationships/hyperlink" Target="https://stardewvalleywiki.com/Tailoring" TargetMode="External"/><Relationship Id="rId145" Type="http://schemas.openxmlformats.org/officeDocument/2006/relationships/hyperlink" Target="https://stardewvalleywiki.com/Tailoring" TargetMode="External"/><Relationship Id="rId266" Type="http://schemas.openxmlformats.org/officeDocument/2006/relationships/hyperlink" Target="https://stardewvalleywiki.com/Escargot" TargetMode="External"/><Relationship Id="rId387" Type="http://schemas.openxmlformats.org/officeDocument/2006/relationships/hyperlink" Target="https://stardewvalleywiki.com/Corn" TargetMode="External"/><Relationship Id="rId8" Type="http://schemas.openxmlformats.org/officeDocument/2006/relationships/hyperlink" Target="https://stardewvalleywiki.com/White_Bow" TargetMode="External"/><Relationship Id="rId144" Type="http://schemas.openxmlformats.org/officeDocument/2006/relationships/hyperlink" Target="https://stardewvalleywiki.com/Goggles" TargetMode="External"/><Relationship Id="rId265" Type="http://schemas.openxmlformats.org/officeDocument/2006/relationships/hyperlink" Target="https://stardewvalleywiki.com/Prehistoric_Handaxe" TargetMode="External"/><Relationship Id="rId386" Type="http://schemas.openxmlformats.org/officeDocument/2006/relationships/hyperlink" Target="https://stardewvalleywiki.com/Coral" TargetMode="External"/><Relationship Id="rId260" Type="http://schemas.openxmlformats.org/officeDocument/2006/relationships/hyperlink" Target="https://stardewvalleywiki.com/Stir_Fry" TargetMode="External"/><Relationship Id="rId381" Type="http://schemas.openxmlformats.org/officeDocument/2006/relationships/hyperlink" Target="https://stardewvalleywiki.com/Arrowhead" TargetMode="External"/><Relationship Id="rId380" Type="http://schemas.openxmlformats.org/officeDocument/2006/relationships/hyperlink" Target="https://stardewvalleywiki.com/Petrified_Slime" TargetMode="External"/><Relationship Id="rId139" Type="http://schemas.openxmlformats.org/officeDocument/2006/relationships/hyperlink" Target="https://stardewvalleywiki.com/Tailoring" TargetMode="External"/><Relationship Id="rId138" Type="http://schemas.openxmlformats.org/officeDocument/2006/relationships/hyperlink" Target="https://stardewvalleywiki.com/Golden_Mask_(hat)" TargetMode="External"/><Relationship Id="rId259" Type="http://schemas.openxmlformats.org/officeDocument/2006/relationships/hyperlink" Target="https://stardewvalleywiki.com/Survival_Burger" TargetMode="External"/><Relationship Id="rId137" Type="http://schemas.openxmlformats.org/officeDocument/2006/relationships/hyperlink" Target="https://stardewvalleywiki.com/Good_Ol%27_Cap" TargetMode="External"/><Relationship Id="rId258" Type="http://schemas.openxmlformats.org/officeDocument/2006/relationships/hyperlink" Target="https://stardewvalleywiki.com/Ancient_Seed" TargetMode="External"/><Relationship Id="rId379" Type="http://schemas.openxmlformats.org/officeDocument/2006/relationships/hyperlink" Target="https://stardewvalleywiki.com/Large_Milk" TargetMode="External"/><Relationship Id="rId132" Type="http://schemas.openxmlformats.org/officeDocument/2006/relationships/hyperlink" Target="https://stardewvalleywiki.com/Tailoring" TargetMode="External"/><Relationship Id="rId253" Type="http://schemas.openxmlformats.org/officeDocument/2006/relationships/hyperlink" Target="https://stardewvalleywiki.com/Strange_Doll_(yellow)" TargetMode="External"/><Relationship Id="rId374" Type="http://schemas.openxmlformats.org/officeDocument/2006/relationships/hyperlink" Target="https://stardewvalleywiki.com/Haunted_Skull" TargetMode="External"/><Relationship Id="rId131" Type="http://schemas.openxmlformats.org/officeDocument/2006/relationships/hyperlink" Target="https://stardewvalleywiki.com/Hair_Bone" TargetMode="External"/><Relationship Id="rId252" Type="http://schemas.openxmlformats.org/officeDocument/2006/relationships/hyperlink" Target="https://stardewvalleywiki.com/Bone_Flute" TargetMode="External"/><Relationship Id="rId373" Type="http://schemas.openxmlformats.org/officeDocument/2006/relationships/hyperlink" Target="https://stardewvalleywiki.com/Radish_Salad" TargetMode="External"/><Relationship Id="rId130" Type="http://schemas.openxmlformats.org/officeDocument/2006/relationships/hyperlink" Target="https://stardewvalleywiki.com/Adventurer%27s_Guild" TargetMode="External"/><Relationship Id="rId251" Type="http://schemas.openxmlformats.org/officeDocument/2006/relationships/hyperlink" Target="https://stardewvalleywiki.com/Frozen_Geode" TargetMode="External"/><Relationship Id="rId372" Type="http://schemas.openxmlformats.org/officeDocument/2006/relationships/hyperlink" Target="https://stardewvalleywiki.com/Shrimp_Cocktail" TargetMode="External"/><Relationship Id="rId250" Type="http://schemas.openxmlformats.org/officeDocument/2006/relationships/hyperlink" Target="https://stardewvalleywiki.com/Octopus" TargetMode="External"/><Relationship Id="rId371" Type="http://schemas.openxmlformats.org/officeDocument/2006/relationships/hyperlink" Target="https://stardewvalleywiki.com/Plum_Pudding" TargetMode="External"/><Relationship Id="rId136" Type="http://schemas.openxmlformats.org/officeDocument/2006/relationships/hyperlink" Target="https://stardewvalleywiki.com/Luau" TargetMode="External"/><Relationship Id="rId257" Type="http://schemas.openxmlformats.org/officeDocument/2006/relationships/hyperlink" Target="https://stardewvalleywiki.com/Hazelnut" TargetMode="External"/><Relationship Id="rId378" Type="http://schemas.openxmlformats.org/officeDocument/2006/relationships/hyperlink" Target="https://stardewvalleywiki.com/Emerald" TargetMode="External"/><Relationship Id="rId135" Type="http://schemas.openxmlformats.org/officeDocument/2006/relationships/hyperlink" Target="https://stardewvalleywiki.com/Governor%27s_Hat" TargetMode="External"/><Relationship Id="rId256" Type="http://schemas.openxmlformats.org/officeDocument/2006/relationships/hyperlink" Target="https://stardewvalleywiki.com/Mudstone" TargetMode="External"/><Relationship Id="rId377" Type="http://schemas.openxmlformats.org/officeDocument/2006/relationships/hyperlink" Target="https://stardewvalleywiki.com/Prehistoric_Skull" TargetMode="External"/><Relationship Id="rId134" Type="http://schemas.openxmlformats.org/officeDocument/2006/relationships/hyperlink" Target="https://stardewvalleywiki.com/Desert_Trader" TargetMode="External"/><Relationship Id="rId255" Type="http://schemas.openxmlformats.org/officeDocument/2006/relationships/hyperlink" Target="https://stardewvalleywiki.com/Ornamental_Fan" TargetMode="External"/><Relationship Id="rId376" Type="http://schemas.openxmlformats.org/officeDocument/2006/relationships/hyperlink" Target="https://stardewvalleywiki.com/Haunted_Skull" TargetMode="External"/><Relationship Id="rId133" Type="http://schemas.openxmlformats.org/officeDocument/2006/relationships/hyperlink" Target="https://stardewvalleywiki.com/Green_Turban" TargetMode="External"/><Relationship Id="rId254" Type="http://schemas.openxmlformats.org/officeDocument/2006/relationships/hyperlink" Target="https://stardewvalleywiki.com/Bomb" TargetMode="External"/><Relationship Id="rId375" Type="http://schemas.openxmlformats.org/officeDocument/2006/relationships/hyperlink" Target="https://stardewvalleywiki.com/Bone_Fragment" TargetMode="External"/><Relationship Id="rId172" Type="http://schemas.openxmlformats.org/officeDocument/2006/relationships/hyperlink" Target="https://stardewvalleywiki.com/Elegant_Turban" TargetMode="External"/><Relationship Id="rId293" Type="http://schemas.openxmlformats.org/officeDocument/2006/relationships/hyperlink" Target="https://stardewvalleywiki.com/Fried_Egg" TargetMode="External"/><Relationship Id="rId171" Type="http://schemas.openxmlformats.org/officeDocument/2006/relationships/hyperlink" Target="https://stardewvalleywiki.com/Emily" TargetMode="External"/><Relationship Id="rId292" Type="http://schemas.openxmlformats.org/officeDocument/2006/relationships/hyperlink" Target="https://stardewvalleywiki.com/Chicken_Statue" TargetMode="External"/><Relationship Id="rId170" Type="http://schemas.openxmlformats.org/officeDocument/2006/relationships/hyperlink" Target="https://stardewvalleywiki.com/Emily%27s_Magic_Hat" TargetMode="External"/><Relationship Id="rId291" Type="http://schemas.openxmlformats.org/officeDocument/2006/relationships/hyperlink" Target="https://stardewvalleywiki.com/Coffee_Bean" TargetMode="External"/><Relationship Id="rId290" Type="http://schemas.openxmlformats.org/officeDocument/2006/relationships/hyperlink" Target="https://stardewvalleywiki.com/Spicy_Eel" TargetMode="External"/><Relationship Id="rId165" Type="http://schemas.openxmlformats.org/officeDocument/2006/relationships/hyperlink" Target="https://stardewvalleywiki.com/Stardew_Valley_Fair" TargetMode="External"/><Relationship Id="rId286" Type="http://schemas.openxmlformats.org/officeDocument/2006/relationships/hyperlink" Target="https://stardewvalleywiki.com/Salmon" TargetMode="External"/><Relationship Id="rId164" Type="http://schemas.openxmlformats.org/officeDocument/2006/relationships/hyperlink" Target="https://stardewvalleywiki.com/Fedora" TargetMode="External"/><Relationship Id="rId285" Type="http://schemas.openxmlformats.org/officeDocument/2006/relationships/hyperlink" Target="https://stardewvalleywiki.com/Ancient_Doll" TargetMode="External"/><Relationship Id="rId163" Type="http://schemas.openxmlformats.org/officeDocument/2006/relationships/hyperlink" Target="https://stardewvalleywiki.com/Tailoring" TargetMode="External"/><Relationship Id="rId284" Type="http://schemas.openxmlformats.org/officeDocument/2006/relationships/hyperlink" Target="https://stardewvalleywiki.com/Maple_Bar" TargetMode="External"/><Relationship Id="rId162" Type="http://schemas.openxmlformats.org/officeDocument/2006/relationships/hyperlink" Target="https://stardewvalleywiki.com/Fishing_Hat" TargetMode="External"/><Relationship Id="rId283" Type="http://schemas.openxmlformats.org/officeDocument/2006/relationships/hyperlink" Target="https://stardewvalleywiki.com/Field_Snack" TargetMode="External"/><Relationship Id="rId169" Type="http://schemas.openxmlformats.org/officeDocument/2006/relationships/hyperlink" Target="https://stardewvalleywiki.com/Fish" TargetMode="External"/><Relationship Id="rId168" Type="http://schemas.openxmlformats.org/officeDocument/2006/relationships/hyperlink" Target="https://stardewvalleywiki.com/Eye_Patch" TargetMode="External"/><Relationship Id="rId289" Type="http://schemas.openxmlformats.org/officeDocument/2006/relationships/hyperlink" Target="https://stardewvalleywiki.com/Bream" TargetMode="External"/><Relationship Id="rId167" Type="http://schemas.openxmlformats.org/officeDocument/2006/relationships/hyperlink" Target="https://stardewvalleywiki.com/Tailoring" TargetMode="External"/><Relationship Id="rId288" Type="http://schemas.openxmlformats.org/officeDocument/2006/relationships/hyperlink" Target="https://stardewvalleywiki.com/Holly" TargetMode="External"/><Relationship Id="rId166" Type="http://schemas.openxmlformats.org/officeDocument/2006/relationships/hyperlink" Target="https://stardewvalleywiki.com/Fashion_Hat" TargetMode="External"/><Relationship Id="rId287" Type="http://schemas.openxmlformats.org/officeDocument/2006/relationships/hyperlink" Target="https://stardewvalleywiki.com/Harvey%27s_Clinic" TargetMode="External"/><Relationship Id="rId161" Type="http://schemas.openxmlformats.org/officeDocument/2006/relationships/hyperlink" Target="https://stardewvalleywiki.com/Tailoring" TargetMode="External"/><Relationship Id="rId282" Type="http://schemas.openxmlformats.org/officeDocument/2006/relationships/hyperlink" Target="https://stardewvalleywiki.com/Wilted_Bouquet" TargetMode="External"/><Relationship Id="rId160" Type="http://schemas.openxmlformats.org/officeDocument/2006/relationships/hyperlink" Target="https://stardewvalleywiki.com/Flat_Topped_Hat" TargetMode="External"/><Relationship Id="rId281" Type="http://schemas.openxmlformats.org/officeDocument/2006/relationships/hyperlink" Target="https://stardewvalleywiki.com/Tigerseye" TargetMode="External"/><Relationship Id="rId280" Type="http://schemas.openxmlformats.org/officeDocument/2006/relationships/hyperlink" Target="https://stardewvalleywiki.com/Bat_Wing" TargetMode="External"/><Relationship Id="rId159" Type="http://schemas.openxmlformats.org/officeDocument/2006/relationships/hyperlink" Target="https://stardewvalleywiki.com/Tailoring" TargetMode="External"/><Relationship Id="rId154" Type="http://schemas.openxmlformats.org/officeDocument/2006/relationships/hyperlink" Target="https://stardewvalleywiki.com/Frog_Hat" TargetMode="External"/><Relationship Id="rId275" Type="http://schemas.openxmlformats.org/officeDocument/2006/relationships/hyperlink" Target="https://stardewvalleywiki.com/Haunted_Skull" TargetMode="External"/><Relationship Id="rId396" Type="http://schemas.openxmlformats.org/officeDocument/2006/relationships/hyperlink" Target="https://stardewvalleywiki.com/Marble" TargetMode="External"/><Relationship Id="rId153" Type="http://schemas.openxmlformats.org/officeDocument/2006/relationships/hyperlink" Target="https://stardewvalleywiki.com/Garbage_Can" TargetMode="External"/><Relationship Id="rId274" Type="http://schemas.openxmlformats.org/officeDocument/2006/relationships/hyperlink" Target="https://stardewvalleywiki.com/Amaranth" TargetMode="External"/><Relationship Id="rId395" Type="http://schemas.openxmlformats.org/officeDocument/2006/relationships/hyperlink" Target="https://stardewvalleywiki.com/Cheese_Cauliflower" TargetMode="External"/><Relationship Id="rId152" Type="http://schemas.openxmlformats.org/officeDocument/2006/relationships/hyperlink" Target="https://stardewvalleywiki.com/Garbage_Hat" TargetMode="External"/><Relationship Id="rId273" Type="http://schemas.openxmlformats.org/officeDocument/2006/relationships/hyperlink" Target="https://stardewvalleywiki.com/Wheat" TargetMode="External"/><Relationship Id="rId394" Type="http://schemas.openxmlformats.org/officeDocument/2006/relationships/hyperlink" Target="https://stardewvalleywiki.com/Green_Tea" TargetMode="External"/><Relationship Id="rId151" Type="http://schemas.openxmlformats.org/officeDocument/2006/relationships/hyperlink" Target="https://stardewvalleywiki.com/Desert_Festival" TargetMode="External"/><Relationship Id="rId272" Type="http://schemas.openxmlformats.org/officeDocument/2006/relationships/hyperlink" Target="https://stardewvalleywiki.com/Crab_Cakes" TargetMode="External"/><Relationship Id="rId393" Type="http://schemas.openxmlformats.org/officeDocument/2006/relationships/hyperlink" Target="https://stardewvalleywiki.com/Radish" TargetMode="External"/><Relationship Id="rId158" Type="http://schemas.openxmlformats.org/officeDocument/2006/relationships/hyperlink" Target="https://stardewvalleywiki.com/Floppy_Beanie" TargetMode="External"/><Relationship Id="rId279" Type="http://schemas.openxmlformats.org/officeDocument/2006/relationships/hyperlink" Target="https://stardewvalleywiki.com/Frozen_Tear" TargetMode="External"/><Relationship Id="rId157" Type="http://schemas.openxmlformats.org/officeDocument/2006/relationships/hyperlink" Target="https://stardewvalleywiki.com/Tailoring" TargetMode="External"/><Relationship Id="rId278" Type="http://schemas.openxmlformats.org/officeDocument/2006/relationships/hyperlink" Target="https://stardewvalleywiki.com/Life_Elixir" TargetMode="External"/><Relationship Id="rId399" Type="http://schemas.openxmlformats.org/officeDocument/2006/relationships/hyperlink" Target="https://stardewvalleywiki.com/Pancakes" TargetMode="External"/><Relationship Id="rId156" Type="http://schemas.openxmlformats.org/officeDocument/2006/relationships/hyperlink" Target="https://stardewvalleywiki.com/Forager%27s_Hat" TargetMode="External"/><Relationship Id="rId277" Type="http://schemas.openxmlformats.org/officeDocument/2006/relationships/hyperlink" Target="https://stardewvalleywiki.com/Haunted_Skull" TargetMode="External"/><Relationship Id="rId398" Type="http://schemas.openxmlformats.org/officeDocument/2006/relationships/hyperlink" Target="https://stardewvalleywiki.com/Tortilla" TargetMode="External"/><Relationship Id="rId155" Type="http://schemas.openxmlformats.org/officeDocument/2006/relationships/hyperlink" Target="https://stardewvalleywiki.com/Fishing" TargetMode="External"/><Relationship Id="rId276" Type="http://schemas.openxmlformats.org/officeDocument/2006/relationships/hyperlink" Target="https://stardewvalleywiki.com/Truffle" TargetMode="External"/><Relationship Id="rId397" Type="http://schemas.openxmlformats.org/officeDocument/2006/relationships/hyperlink" Target="https://stardewvalleywiki.com/Tomato" TargetMode="External"/><Relationship Id="rId40" Type="http://schemas.openxmlformats.org/officeDocument/2006/relationships/hyperlink" Target="https://stardewvalleywiki.com/SquidFest" TargetMode="External"/><Relationship Id="rId42" Type="http://schemas.openxmlformats.org/officeDocument/2006/relationships/hyperlink" Target="https://stardewvalleywiki.com/Tailoring" TargetMode="External"/><Relationship Id="rId41" Type="http://schemas.openxmlformats.org/officeDocument/2006/relationships/hyperlink" Target="https://stardewvalleywiki.com/Spotted_Headscarf" TargetMode="External"/><Relationship Id="rId44" Type="http://schemas.openxmlformats.org/officeDocument/2006/relationships/hyperlink" Target="https://stardewvalleywiki.com/Mayor%27s_Manor" TargetMode="External"/><Relationship Id="rId43" Type="http://schemas.openxmlformats.org/officeDocument/2006/relationships/hyperlink" Target="https://stardewvalleywiki.com/Sports_Cap" TargetMode="External"/><Relationship Id="rId46" Type="http://schemas.openxmlformats.org/officeDocument/2006/relationships/hyperlink" Target="https://stardewvalleywiki.com/The_Mines" TargetMode="External"/><Relationship Id="rId45" Type="http://schemas.openxmlformats.org/officeDocument/2006/relationships/hyperlink" Target="https://stardewvalleywiki.com/Space_Helmet" TargetMode="External"/><Relationship Id="rId48" Type="http://schemas.openxmlformats.org/officeDocument/2006/relationships/hyperlink" Target="https://stardewvalleywiki.com/Fish" TargetMode="External"/><Relationship Id="rId47" Type="http://schemas.openxmlformats.org/officeDocument/2006/relationships/hyperlink" Target="https://stardewvalleywiki.com/Sou%27wester" TargetMode="External"/><Relationship Id="rId49" Type="http://schemas.openxmlformats.org/officeDocument/2006/relationships/hyperlink" Target="https://stardewvalleywiki.com/Sombrero" TargetMode="External"/><Relationship Id="rId31" Type="http://schemas.openxmlformats.org/officeDocument/2006/relationships/hyperlink" Target="https://stardewvalleywiki.com/Tailoring" TargetMode="External"/><Relationship Id="rId30" Type="http://schemas.openxmlformats.org/officeDocument/2006/relationships/hyperlink" Target="https://stardewvalleywiki.com/Sunglasses" TargetMode="External"/><Relationship Id="rId33" Type="http://schemas.openxmlformats.org/officeDocument/2006/relationships/hyperlink" Target="https://stardewvalleywiki.com/Egg_Festival" TargetMode="External"/><Relationship Id="rId32" Type="http://schemas.openxmlformats.org/officeDocument/2006/relationships/hyperlink" Target="https://stardewvalleywiki.com/Straw_Hat" TargetMode="External"/><Relationship Id="rId35" Type="http://schemas.openxmlformats.org/officeDocument/2006/relationships/hyperlink" Target="https://stardewvalleywiki.com/Pans" TargetMode="External"/><Relationship Id="rId34" Type="http://schemas.openxmlformats.org/officeDocument/2006/relationships/hyperlink" Target="https://stardewvalleywiki.com/Steel_Pan_(hat)" TargetMode="External"/><Relationship Id="rId37" Type="http://schemas.openxmlformats.org/officeDocument/2006/relationships/hyperlink" Target="https://stardewvalleywiki.com/Squire%27s_Helmet" TargetMode="External"/><Relationship Id="rId36" Type="http://schemas.openxmlformats.org/officeDocument/2006/relationships/hyperlink" Target="https://stardewvalleywiki.com/Tailoring" TargetMode="External"/><Relationship Id="rId39" Type="http://schemas.openxmlformats.org/officeDocument/2006/relationships/hyperlink" Target="https://stardewvalleywiki.com/Squid_Hat" TargetMode="External"/><Relationship Id="rId38" Type="http://schemas.openxmlformats.org/officeDocument/2006/relationships/hyperlink" Target="https://stardewvalleywiki.com/Metal_Head" TargetMode="External"/><Relationship Id="rId20" Type="http://schemas.openxmlformats.org/officeDocument/2006/relationships/hyperlink" Target="https://stardewvalleywiki.com/Totem_Mask" TargetMode="External"/><Relationship Id="rId22" Type="http://schemas.openxmlformats.org/officeDocument/2006/relationships/hyperlink" Target="https://stardewvalleywiki.com/Top_Hat" TargetMode="External"/><Relationship Id="rId21" Type="http://schemas.openxmlformats.org/officeDocument/2006/relationships/hyperlink" Target="https://stardewvalleywiki.com/Tailoring" TargetMode="External"/><Relationship Id="rId24" Type="http://schemas.openxmlformats.org/officeDocument/2006/relationships/hyperlink" Target="https://stardewvalleywiki.com/Tiger_Hat" TargetMode="External"/><Relationship Id="rId23" Type="http://schemas.openxmlformats.org/officeDocument/2006/relationships/hyperlink" Target="https://stardewvalleywiki.com/Casino" TargetMode="External"/><Relationship Id="rId409" Type="http://schemas.openxmlformats.org/officeDocument/2006/relationships/hyperlink" Target="https://stardewvalleywiki.com/Poppyseed_Muffin" TargetMode="External"/><Relationship Id="rId404" Type="http://schemas.openxmlformats.org/officeDocument/2006/relationships/hyperlink" Target="https://stardewvalleywiki.com/Pepper_Poppers" TargetMode="External"/><Relationship Id="rId403" Type="http://schemas.openxmlformats.org/officeDocument/2006/relationships/hyperlink" Target="https://stardewvalleywiki.com/Sea_Cucumber" TargetMode="External"/><Relationship Id="rId402" Type="http://schemas.openxmlformats.org/officeDocument/2006/relationships/hyperlink" Target="https://stardewvalleywiki.com/Tropical_Curry" TargetMode="External"/><Relationship Id="rId401" Type="http://schemas.openxmlformats.org/officeDocument/2006/relationships/hyperlink" Target="https://stardewvalleywiki.com/Artifact_Trove" TargetMode="External"/><Relationship Id="rId408" Type="http://schemas.openxmlformats.org/officeDocument/2006/relationships/hyperlink" Target="https://stardewvalleywiki.com/Wheat_Flour" TargetMode="External"/><Relationship Id="rId407" Type="http://schemas.openxmlformats.org/officeDocument/2006/relationships/hyperlink" Target="https://stardewvalleywiki.com/Hematite" TargetMode="External"/><Relationship Id="rId406" Type="http://schemas.openxmlformats.org/officeDocument/2006/relationships/hyperlink" Target="https://stardewvalleywiki.com/Coconut" TargetMode="External"/><Relationship Id="rId405" Type="http://schemas.openxmlformats.org/officeDocument/2006/relationships/hyperlink" Target="https://stardewvalleywiki.com/Copper_Ore" TargetMode="External"/><Relationship Id="rId26" Type="http://schemas.openxmlformats.org/officeDocument/2006/relationships/hyperlink" Target="https://stardewvalleywiki.com/Tiara" TargetMode="External"/><Relationship Id="rId25" Type="http://schemas.openxmlformats.org/officeDocument/2006/relationships/hyperlink" Target="https://stardewvalleywiki.com/Slimes" TargetMode="External"/><Relationship Id="rId28" Type="http://schemas.openxmlformats.org/officeDocument/2006/relationships/hyperlink" Target="https://stardewvalleywiki.com/Swashbuckler_Hat" TargetMode="External"/><Relationship Id="rId27" Type="http://schemas.openxmlformats.org/officeDocument/2006/relationships/hyperlink" Target="https://stardewvalleywiki.com/Friendship" TargetMode="External"/><Relationship Id="rId400" Type="http://schemas.openxmlformats.org/officeDocument/2006/relationships/hyperlink" Target="https://stardewvalleywiki.com/Broken_CD" TargetMode="External"/><Relationship Id="rId29" Type="http://schemas.openxmlformats.org/officeDocument/2006/relationships/hyperlink" Target="https://stardewvalleywiki.com/Tailoring" TargetMode="External"/><Relationship Id="rId11" Type="http://schemas.openxmlformats.org/officeDocument/2006/relationships/hyperlink" Target="https://stardewvalleywiki.com/Watermelon_Band" TargetMode="External"/><Relationship Id="rId10" Type="http://schemas.openxmlformats.org/officeDocument/2006/relationships/hyperlink" Target="https://stardewvalleywiki.com/Tailoring" TargetMode="External"/><Relationship Id="rId13" Type="http://schemas.openxmlformats.org/officeDocument/2006/relationships/hyperlink" Target="https://stardewvalleywiki.com/Warrior_Helmet" TargetMode="External"/><Relationship Id="rId12" Type="http://schemas.openxmlformats.org/officeDocument/2006/relationships/hyperlink" Target="https://stardewvalleywiki.com/Fish" TargetMode="External"/><Relationship Id="rId15" Type="http://schemas.openxmlformats.org/officeDocument/2006/relationships/hyperlink" Target="https://stardewvalleywiki.com/Trucker_Hat" TargetMode="External"/><Relationship Id="rId14" Type="http://schemas.openxmlformats.org/officeDocument/2006/relationships/hyperlink" Target="https://stardewvalleywiki.com/Tailoring" TargetMode="External"/><Relationship Id="rId17" Type="http://schemas.openxmlformats.org/officeDocument/2006/relationships/hyperlink" Target="https://stardewvalleywiki.com/Tropiclip" TargetMode="External"/><Relationship Id="rId16" Type="http://schemas.openxmlformats.org/officeDocument/2006/relationships/hyperlink" Target="https://stardewvalleywiki.com/Crafting" TargetMode="External"/><Relationship Id="rId19" Type="http://schemas.openxmlformats.org/officeDocument/2006/relationships/hyperlink" Target="https://stardewvalleywiki.com/Desert_Festival" TargetMode="External"/><Relationship Id="rId18" Type="http://schemas.openxmlformats.org/officeDocument/2006/relationships/hyperlink" Target="https://stardewvalleywiki.com/Tricorn_Hat" TargetMode="External"/><Relationship Id="rId84" Type="http://schemas.openxmlformats.org/officeDocument/2006/relationships/hyperlink" Target="https://stardewvalleywiki.com/Tailoring" TargetMode="External"/><Relationship Id="rId83" Type="http://schemas.openxmlformats.org/officeDocument/2006/relationships/hyperlink" Target="https://stardewvalleywiki.com/Party_Hat_(green)" TargetMode="External"/><Relationship Id="rId86" Type="http://schemas.openxmlformats.org/officeDocument/2006/relationships/hyperlink" Target="https://stardewvalleywiki.com/Ginger_Island" TargetMode="External"/><Relationship Id="rId85" Type="http://schemas.openxmlformats.org/officeDocument/2006/relationships/hyperlink" Target="https://stardewvalleywiki.com/Paper_Hat" TargetMode="External"/><Relationship Id="rId88" Type="http://schemas.openxmlformats.org/officeDocument/2006/relationships/hyperlink" Target="https://stardewvalleywiki.com/Hats" TargetMode="External"/><Relationship Id="rId87" Type="http://schemas.openxmlformats.org/officeDocument/2006/relationships/hyperlink" Target="https://stardewvalleywiki.com/Panda_Hat" TargetMode="External"/><Relationship Id="rId89" Type="http://schemas.openxmlformats.org/officeDocument/2006/relationships/hyperlink" Target="https://stardewvalleywiki.com/Pageboy_Cap" TargetMode="External"/><Relationship Id="rId80" Type="http://schemas.openxmlformats.org/officeDocument/2006/relationships/hyperlink" Target="https://stardewvalleywiki.com/Tailoring" TargetMode="External"/><Relationship Id="rId82" Type="http://schemas.openxmlformats.org/officeDocument/2006/relationships/hyperlink" Target="https://stardewvalleywiki.com/Tailoring" TargetMode="External"/><Relationship Id="rId81" Type="http://schemas.openxmlformats.org/officeDocument/2006/relationships/hyperlink" Target="https://stardewvalleywiki.com/Party_Hat_(blue)" TargetMode="External"/><Relationship Id="rId73" Type="http://schemas.openxmlformats.org/officeDocument/2006/relationships/hyperlink" Target="https://stardewvalleywiki.com/Plum_Chapeau" TargetMode="External"/><Relationship Id="rId72" Type="http://schemas.openxmlformats.org/officeDocument/2006/relationships/hyperlink" Target="https://stardewvalleywiki.com/Quests" TargetMode="External"/><Relationship Id="rId75" Type="http://schemas.openxmlformats.org/officeDocument/2006/relationships/hyperlink" Target="https://stardewvalleywiki.com/Pirate_Hat" TargetMode="External"/><Relationship Id="rId74" Type="http://schemas.openxmlformats.org/officeDocument/2006/relationships/hyperlink" Target="https://stardewvalleywiki.com/Cooking" TargetMode="External"/><Relationship Id="rId77" Type="http://schemas.openxmlformats.org/officeDocument/2006/relationships/hyperlink" Target="https://stardewvalleywiki.com/Pink_Bow" TargetMode="External"/><Relationship Id="rId76" Type="http://schemas.openxmlformats.org/officeDocument/2006/relationships/hyperlink" Target="https://stardewvalleywiki.com/Tailoring" TargetMode="External"/><Relationship Id="rId79" Type="http://schemas.openxmlformats.org/officeDocument/2006/relationships/hyperlink" Target="https://stardewvalleywiki.com/Party_Hat_(red)" TargetMode="External"/><Relationship Id="rId78" Type="http://schemas.openxmlformats.org/officeDocument/2006/relationships/hyperlink" Target="https://stardewvalleywiki.com/Volcano_Dungeon" TargetMode="External"/><Relationship Id="rId71" Type="http://schemas.openxmlformats.org/officeDocument/2006/relationships/hyperlink" Target="https://stardewvalleywiki.com/Polka_Bow" TargetMode="External"/><Relationship Id="rId70" Type="http://schemas.openxmlformats.org/officeDocument/2006/relationships/hyperlink" Target="https://stardewvalleywiki.com/Tailoring" TargetMode="External"/><Relationship Id="rId62" Type="http://schemas.openxmlformats.org/officeDocument/2006/relationships/hyperlink" Target="https://stardewvalleywiki.com/Tailoring" TargetMode="External"/><Relationship Id="rId61" Type="http://schemas.openxmlformats.org/officeDocument/2006/relationships/hyperlink" Target="https://stardewvalleywiki.com/Radioactive_Goggles" TargetMode="External"/><Relationship Id="rId64" Type="http://schemas.openxmlformats.org/officeDocument/2006/relationships/hyperlink" Target="https://stardewvalleywiki.com/Giant_Stump" TargetMode="External"/><Relationship Id="rId63" Type="http://schemas.openxmlformats.org/officeDocument/2006/relationships/hyperlink" Target="https://stardewvalleywiki.com/Raccoon_Hat" TargetMode="External"/><Relationship Id="rId66" Type="http://schemas.openxmlformats.org/officeDocument/2006/relationships/hyperlink" Target="https://stardewvalleywiki.com/Tailoring" TargetMode="External"/><Relationship Id="rId65" Type="http://schemas.openxmlformats.org/officeDocument/2006/relationships/hyperlink" Target="https://stardewvalleywiki.com/Qi_Mask" TargetMode="External"/><Relationship Id="rId68" Type="http://schemas.openxmlformats.org/officeDocument/2006/relationships/hyperlink" Target="https://stardewvalleywiki.com/Tailoring" TargetMode="External"/><Relationship Id="rId67" Type="http://schemas.openxmlformats.org/officeDocument/2006/relationships/hyperlink" Target="https://stardewvalleywiki.com/Pumpkin_Mask" TargetMode="External"/><Relationship Id="rId60" Type="http://schemas.openxmlformats.org/officeDocument/2006/relationships/hyperlink" Target="https://stardewvalleywiki.com/Skull_Cavern" TargetMode="External"/><Relationship Id="rId69" Type="http://schemas.openxmlformats.org/officeDocument/2006/relationships/hyperlink" Target="https://stardewvalleywiki.com/Propeller_Hat" TargetMode="External"/><Relationship Id="rId51" Type="http://schemas.openxmlformats.org/officeDocument/2006/relationships/hyperlink" Target="https://stardewvalleywiki.com/Island_Trader" TargetMode="External"/><Relationship Id="rId50" Type="http://schemas.openxmlformats.org/officeDocument/2006/relationships/hyperlink" Target="https://stardewvalleywiki.com/Small_Cap" TargetMode="External"/><Relationship Id="rId53" Type="http://schemas.openxmlformats.org/officeDocument/2006/relationships/hyperlink" Target="https://stardewvalleywiki.com/Adventurer%27s_Guild" TargetMode="External"/><Relationship Id="rId52" Type="http://schemas.openxmlformats.org/officeDocument/2006/relationships/hyperlink" Target="https://stardewvalleywiki.com/Skeleton_Mask" TargetMode="External"/><Relationship Id="rId55" Type="http://schemas.openxmlformats.org/officeDocument/2006/relationships/hyperlink" Target="https://stardewvalleywiki.com/Sailor%27s_Cap" TargetMode="External"/><Relationship Id="rId54" Type="http://schemas.openxmlformats.org/officeDocument/2006/relationships/hyperlink" Target="https://stardewvalleywiki.com/Friendship" TargetMode="External"/><Relationship Id="rId57" Type="http://schemas.openxmlformats.org/officeDocument/2006/relationships/hyperlink" Target="https://stardewvalleywiki.com/Red_Fez" TargetMode="External"/><Relationship Id="rId56" Type="http://schemas.openxmlformats.org/officeDocument/2006/relationships/hyperlink" Target="https://stardewvalleywiki.com/Festival_of_Ice" TargetMode="External"/><Relationship Id="rId59" Type="http://schemas.openxmlformats.org/officeDocument/2006/relationships/hyperlink" Target="https://stardewvalleywiki.com/Red_Cowboy_Hat" TargetMode="External"/><Relationship Id="rId58" Type="http://schemas.openxmlformats.org/officeDocument/2006/relationships/hyperlink" Target="https://stardewvalleywiki.com/Traveling_Cart" TargetMode="External"/><Relationship Id="rId107" Type="http://schemas.openxmlformats.org/officeDocument/2006/relationships/hyperlink" Target="https://stardewvalleywiki.com/Lucky_Bow" TargetMode="External"/><Relationship Id="rId228" Type="http://schemas.openxmlformats.org/officeDocument/2006/relationships/hyperlink" Target="https://stardewvalleywiki.com/Tailoring" TargetMode="External"/><Relationship Id="rId349" Type="http://schemas.openxmlformats.org/officeDocument/2006/relationships/hyperlink" Target="https://stardewvalleywiki.com/Egg" TargetMode="External"/><Relationship Id="rId106" Type="http://schemas.openxmlformats.org/officeDocument/2006/relationships/hyperlink" Target="https://stardewvalleywiki.com/Desert_Trader" TargetMode="External"/><Relationship Id="rId227" Type="http://schemas.openxmlformats.org/officeDocument/2006/relationships/hyperlink" Target="https://stardewvalleywiki.com/Beanie" TargetMode="External"/><Relationship Id="rId348" Type="http://schemas.openxmlformats.org/officeDocument/2006/relationships/hyperlink" Target="https://stardewvalleywiki.com/Bug_Meat" TargetMode="External"/><Relationship Id="rId105" Type="http://schemas.openxmlformats.org/officeDocument/2006/relationships/hyperlink" Target="https://stardewvalleywiki.com/Magic_Cowboy_Hat" TargetMode="External"/><Relationship Id="rId226" Type="http://schemas.openxmlformats.org/officeDocument/2006/relationships/hyperlink" Target="https://stardewvalleywiki.com/Tailoring" TargetMode="External"/><Relationship Id="rId347" Type="http://schemas.openxmlformats.org/officeDocument/2006/relationships/hyperlink" Target="https://stardewvalleywiki.com/Chanterelle" TargetMode="External"/><Relationship Id="rId104" Type="http://schemas.openxmlformats.org/officeDocument/2006/relationships/hyperlink" Target="https://stardewvalleywiki.com/Desert_Trader" TargetMode="External"/><Relationship Id="rId225" Type="http://schemas.openxmlformats.org/officeDocument/2006/relationships/hyperlink" Target="https://stardewvalleywiki.com/Blobfish_Mask" TargetMode="External"/><Relationship Id="rId346" Type="http://schemas.openxmlformats.org/officeDocument/2006/relationships/hyperlink" Target="https://stardewvalleywiki.com/Vinegar" TargetMode="External"/><Relationship Id="rId109" Type="http://schemas.openxmlformats.org/officeDocument/2006/relationships/hyperlink" Target="https://stardewvalleywiki.com/Tailoring" TargetMode="External"/><Relationship Id="rId108" Type="http://schemas.openxmlformats.org/officeDocument/2006/relationships/hyperlink" Target="https://stardewvalleywiki.com/Logo_Cap" TargetMode="External"/><Relationship Id="rId229" Type="http://schemas.openxmlformats.org/officeDocument/2006/relationships/hyperlink" Target="https://stardewvalleywiki.com/Archer%27s_Cap" TargetMode="External"/><Relationship Id="rId220" Type="http://schemas.openxmlformats.org/officeDocument/2006/relationships/hyperlink" Target="https://stardewvalleywiki.com/Skull_Cavern" TargetMode="External"/><Relationship Id="rId341" Type="http://schemas.openxmlformats.org/officeDocument/2006/relationships/hyperlink" Target="https://stardewvalleywiki.com/Ocean_Stone" TargetMode="External"/><Relationship Id="rId340" Type="http://schemas.openxmlformats.org/officeDocument/2006/relationships/hyperlink" Target="https://stardewvalleywiki.com/Tom_Kha_Soup" TargetMode="External"/><Relationship Id="rId103" Type="http://schemas.openxmlformats.org/officeDocument/2006/relationships/hyperlink" Target="https://stardewvalleywiki.com/Magic_Turban" TargetMode="External"/><Relationship Id="rId224" Type="http://schemas.openxmlformats.org/officeDocument/2006/relationships/hyperlink" Target="https://stardewvalleywiki.com/Museum" TargetMode="External"/><Relationship Id="rId345" Type="http://schemas.openxmlformats.org/officeDocument/2006/relationships/hyperlink" Target="https://stardewvalleywiki.com/Winter_Root" TargetMode="External"/><Relationship Id="rId102" Type="http://schemas.openxmlformats.org/officeDocument/2006/relationships/hyperlink" Target="https://stardewvalleywiki.com/Friendship" TargetMode="External"/><Relationship Id="rId223" Type="http://schemas.openxmlformats.org/officeDocument/2006/relationships/hyperlink" Target="https://stardewvalleywiki.com/Blue_Bonnet" TargetMode="External"/><Relationship Id="rId344" Type="http://schemas.openxmlformats.org/officeDocument/2006/relationships/hyperlink" Target="https://stardewvalleywiki.com/Omni_Geode" TargetMode="External"/><Relationship Id="rId101" Type="http://schemas.openxmlformats.org/officeDocument/2006/relationships/hyperlink" Target="https://stardewvalleywiki.com/Mouse_Ears" TargetMode="External"/><Relationship Id="rId222" Type="http://schemas.openxmlformats.org/officeDocument/2006/relationships/hyperlink" Target="https://stardewvalleywiki.com/Desert_Festival" TargetMode="External"/><Relationship Id="rId343" Type="http://schemas.openxmlformats.org/officeDocument/2006/relationships/hyperlink" Target="https://stardewvalleywiki.com/Oil" TargetMode="External"/><Relationship Id="rId100" Type="http://schemas.openxmlformats.org/officeDocument/2006/relationships/hyperlink" Target="https://stardewvalleywiki.com/Qi%27s_Walnut_Room" TargetMode="External"/><Relationship Id="rId221" Type="http://schemas.openxmlformats.org/officeDocument/2006/relationships/hyperlink" Target="https://stardewvalleywiki.com/Blue_Bow" TargetMode="External"/><Relationship Id="rId342" Type="http://schemas.openxmlformats.org/officeDocument/2006/relationships/hyperlink" Target="https://stardewvalleywiki.com/Glass_Shards" TargetMode="External"/><Relationship Id="rId217" Type="http://schemas.openxmlformats.org/officeDocument/2006/relationships/hyperlink" Target="https://stardewvalleywiki.com/Blue_Ribbon" TargetMode="External"/><Relationship Id="rId338" Type="http://schemas.openxmlformats.org/officeDocument/2006/relationships/hyperlink" Target="https://stardewvalleywiki.com/Morel" TargetMode="External"/><Relationship Id="rId216" Type="http://schemas.openxmlformats.org/officeDocument/2006/relationships/hyperlink" Target="https://stardewvalleywiki.com/Island_Trader" TargetMode="External"/><Relationship Id="rId337" Type="http://schemas.openxmlformats.org/officeDocument/2006/relationships/hyperlink" Target="https://stardewvalleywiki.com/Dandelion" TargetMode="External"/><Relationship Id="rId215" Type="http://schemas.openxmlformats.org/officeDocument/2006/relationships/hyperlink" Target="https://stardewvalleywiki.com/Bluebird_Mask" TargetMode="External"/><Relationship Id="rId336" Type="http://schemas.openxmlformats.org/officeDocument/2006/relationships/hyperlink" Target="https://stardewvalleywiki.com/Seafoam_Pudding" TargetMode="External"/><Relationship Id="rId214" Type="http://schemas.openxmlformats.org/officeDocument/2006/relationships/hyperlink" Target="https://stardewvalleywiki.com/Bowler_Hat" TargetMode="External"/><Relationship Id="rId335" Type="http://schemas.openxmlformats.org/officeDocument/2006/relationships/hyperlink" Target="https://stardewvalleywiki.com/Squid_Ink" TargetMode="External"/><Relationship Id="rId219" Type="http://schemas.openxmlformats.org/officeDocument/2006/relationships/hyperlink" Target="https://stardewvalleywiki.com/Blue_Cowboy_Hat" TargetMode="External"/><Relationship Id="rId218" Type="http://schemas.openxmlformats.org/officeDocument/2006/relationships/hyperlink" Target="https://stardewvalleywiki.com/Stardew_Valley_Fair" TargetMode="External"/><Relationship Id="rId339" Type="http://schemas.openxmlformats.org/officeDocument/2006/relationships/hyperlink" Target="https://stardewvalleywiki.com/Blueberry_Tart" TargetMode="External"/><Relationship Id="rId330" Type="http://schemas.openxmlformats.org/officeDocument/2006/relationships/hyperlink" Target="https://stardewvalleywiki.com/Duck_Feather" TargetMode="External"/><Relationship Id="rId213" Type="http://schemas.openxmlformats.org/officeDocument/2006/relationships/hyperlink" Target="https://stardewvalleywiki.com/Tailoring" TargetMode="External"/><Relationship Id="rId334" Type="http://schemas.openxmlformats.org/officeDocument/2006/relationships/hyperlink" Target="https://stardewvalleywiki.com/Vegetable_Medley" TargetMode="External"/><Relationship Id="rId212" Type="http://schemas.openxmlformats.org/officeDocument/2006/relationships/hyperlink" Target="https://stardewvalleywiki.com/Bridal_Veil" TargetMode="External"/><Relationship Id="rId333" Type="http://schemas.openxmlformats.org/officeDocument/2006/relationships/hyperlink" Target="https://stardewvalleywiki.com/Magic_Rock_Candy" TargetMode="External"/><Relationship Id="rId211" Type="http://schemas.openxmlformats.org/officeDocument/2006/relationships/hyperlink" Target="https://stardewvalleywiki.com/Trout_Derby" TargetMode="External"/><Relationship Id="rId332" Type="http://schemas.openxmlformats.org/officeDocument/2006/relationships/hyperlink" Target="https://stardewvalleywiki.com/Magma_Cap" TargetMode="External"/><Relationship Id="rId210" Type="http://schemas.openxmlformats.org/officeDocument/2006/relationships/hyperlink" Target="https://stardewvalleywiki.com/Bucket_Hat" TargetMode="External"/><Relationship Id="rId331" Type="http://schemas.openxmlformats.org/officeDocument/2006/relationships/hyperlink" Target="https://stardewvalleywiki.com/Leek" TargetMode="External"/><Relationship Id="rId370" Type="http://schemas.openxmlformats.org/officeDocument/2006/relationships/hyperlink" Target="https://stardewvalleywiki.com/Orpiment" TargetMode="External"/><Relationship Id="rId129" Type="http://schemas.openxmlformats.org/officeDocument/2006/relationships/hyperlink" Target="https://stardewvalleywiki.com/Hard_Hat" TargetMode="External"/><Relationship Id="rId128" Type="http://schemas.openxmlformats.org/officeDocument/2006/relationships/hyperlink" Target="https://stardewvalleywiki.com/Hunter%27s_Cap" TargetMode="External"/><Relationship Id="rId249" Type="http://schemas.openxmlformats.org/officeDocument/2006/relationships/hyperlink" Target="https://stardewvalleywiki.com/Fiddlehead_Risotto" TargetMode="External"/><Relationship Id="rId127" Type="http://schemas.openxmlformats.org/officeDocument/2006/relationships/hyperlink" Target="https://stardewvalleywiki.com/Infinity_Blade" TargetMode="External"/><Relationship Id="rId248" Type="http://schemas.openxmlformats.org/officeDocument/2006/relationships/hyperlink" Target="https://stardewvalleywiki.com/Beer" TargetMode="External"/><Relationship Id="rId369" Type="http://schemas.openxmlformats.org/officeDocument/2006/relationships/hyperlink" Target="https://stardewvalleywiki.com/Dish_O%27_The_Sea" TargetMode="External"/><Relationship Id="rId126" Type="http://schemas.openxmlformats.org/officeDocument/2006/relationships/hyperlink" Target="https://stardewvalleywiki.com/Infinity_Crown" TargetMode="External"/><Relationship Id="rId247" Type="http://schemas.openxmlformats.org/officeDocument/2006/relationships/hyperlink" Target="https://stardewvalleywiki.com/Rainbow_Shell" TargetMode="External"/><Relationship Id="rId368" Type="http://schemas.openxmlformats.org/officeDocument/2006/relationships/hyperlink" Target="https://stardewvalleywiki.com/Bruschetta" TargetMode="External"/><Relationship Id="rId121" Type="http://schemas.openxmlformats.org/officeDocument/2006/relationships/hyperlink" Target="https://stardewvalleywiki.com/Desert_Festival" TargetMode="External"/><Relationship Id="rId242" Type="http://schemas.openxmlformats.org/officeDocument/2006/relationships/hyperlink" Target="https://stardewvalleywiki.com/Kyanite" TargetMode="External"/><Relationship Id="rId363" Type="http://schemas.openxmlformats.org/officeDocument/2006/relationships/hyperlink" Target="https://stardewvalleywiki.com/Golden_Relic" TargetMode="External"/><Relationship Id="rId120" Type="http://schemas.openxmlformats.org/officeDocument/2006/relationships/hyperlink" Target="https://stardewvalleywiki.com/Joja_Cap" TargetMode="External"/><Relationship Id="rId241" Type="http://schemas.openxmlformats.org/officeDocument/2006/relationships/hyperlink" Target="https://stardewvalleywiki.com/Jasper" TargetMode="External"/><Relationship Id="rId362" Type="http://schemas.openxmlformats.org/officeDocument/2006/relationships/hyperlink" Target="https://stardewvalleywiki.com/Ancient_Drum" TargetMode="External"/><Relationship Id="rId240" Type="http://schemas.openxmlformats.org/officeDocument/2006/relationships/hyperlink" Target="https://stardewvalleywiki.com/Banana_Pudding" TargetMode="External"/><Relationship Id="rId361" Type="http://schemas.openxmlformats.org/officeDocument/2006/relationships/hyperlink" Target="https://stardewvalleywiki.com/Red_Plate" TargetMode="External"/><Relationship Id="rId360" Type="http://schemas.openxmlformats.org/officeDocument/2006/relationships/hyperlink" Target="https://stardewvalleywiki.com/Cranberry_Candy" TargetMode="External"/><Relationship Id="rId125" Type="http://schemas.openxmlformats.org/officeDocument/2006/relationships/hyperlink" Target="https://stardewvalleywiki.com/Pans" TargetMode="External"/><Relationship Id="rId246" Type="http://schemas.openxmlformats.org/officeDocument/2006/relationships/hyperlink" Target="https://stardewvalleywiki.com/Autumn%27s_Bounty" TargetMode="External"/><Relationship Id="rId367" Type="http://schemas.openxmlformats.org/officeDocument/2006/relationships/hyperlink" Target="https://stardewvalleywiki.com/Carrot" TargetMode="External"/><Relationship Id="rId124" Type="http://schemas.openxmlformats.org/officeDocument/2006/relationships/hyperlink" Target="https://stardewvalleywiki.com/Iridium_Pan_(hat)" TargetMode="External"/><Relationship Id="rId245" Type="http://schemas.openxmlformats.org/officeDocument/2006/relationships/hyperlink" Target="https://stardewvalleywiki.com/Fiber" TargetMode="External"/><Relationship Id="rId366" Type="http://schemas.openxmlformats.org/officeDocument/2006/relationships/hyperlink" Target="https://stardewvalleywiki.com/Spaghetti" TargetMode="External"/><Relationship Id="rId123" Type="http://schemas.openxmlformats.org/officeDocument/2006/relationships/hyperlink" Target="https://stardewvalleywiki.com/Movie_Theater" TargetMode="External"/><Relationship Id="rId244" Type="http://schemas.openxmlformats.org/officeDocument/2006/relationships/hyperlink" Target="https://stardewvalleywiki.com/Tailoring" TargetMode="External"/><Relationship Id="rId365" Type="http://schemas.openxmlformats.org/officeDocument/2006/relationships/hyperlink" Target="https://stardewvalleywiki.com/Rusty_Spoon" TargetMode="External"/><Relationship Id="rId122" Type="http://schemas.openxmlformats.org/officeDocument/2006/relationships/hyperlink" Target="https://stardewvalleywiki.com/Jester_Hat" TargetMode="External"/><Relationship Id="rId243" Type="http://schemas.openxmlformats.org/officeDocument/2006/relationships/hyperlink" Target="https://stardewvalleywiki.com/Fluorapatite" TargetMode="External"/><Relationship Id="rId364" Type="http://schemas.openxmlformats.org/officeDocument/2006/relationships/hyperlink" Target="https://stardewvalleywiki.com/Ice_Cream" TargetMode="External"/><Relationship Id="rId95" Type="http://schemas.openxmlformats.org/officeDocument/2006/relationships/hyperlink" Target="https://stardewvalleywiki.com/Mushroom_Cap" TargetMode="External"/><Relationship Id="rId94" Type="http://schemas.openxmlformats.org/officeDocument/2006/relationships/hyperlink" Target="https://stardewvalleywiki.com/Mystery_Box" TargetMode="External"/><Relationship Id="rId97" Type="http://schemas.openxmlformats.org/officeDocument/2006/relationships/hyperlink" Target="https://stardewvalleywiki.com/Mummy_Mask" TargetMode="External"/><Relationship Id="rId96" Type="http://schemas.openxmlformats.org/officeDocument/2006/relationships/hyperlink" Target="https://stardewvalleywiki.com/Mushroom_Tree" TargetMode="External"/><Relationship Id="rId99" Type="http://schemas.openxmlformats.org/officeDocument/2006/relationships/hyperlink" Target="https://stardewvalleywiki.com/Mr._Qi%27s_Hat" TargetMode="External"/><Relationship Id="rId98" Type="http://schemas.openxmlformats.org/officeDocument/2006/relationships/hyperlink" Target="https://stardewvalleywiki.com/Desert_Festival" TargetMode="External"/><Relationship Id="rId91" Type="http://schemas.openxmlformats.org/officeDocument/2006/relationships/hyperlink" Target="https://stardewvalleywiki.com/Official_Cap" TargetMode="External"/><Relationship Id="rId90" Type="http://schemas.openxmlformats.org/officeDocument/2006/relationships/hyperlink" Target="https://stardewvalleywiki.com/Books" TargetMode="External"/><Relationship Id="rId93" Type="http://schemas.openxmlformats.org/officeDocument/2006/relationships/hyperlink" Target="https://stardewvalleywiki.com/Mystery_Hat" TargetMode="External"/><Relationship Id="rId92" Type="http://schemas.openxmlformats.org/officeDocument/2006/relationships/hyperlink" Target="https://stardewvalleywiki.com/Fish" TargetMode="External"/><Relationship Id="rId118" Type="http://schemas.openxmlformats.org/officeDocument/2006/relationships/hyperlink" Target="https://stardewvalleywiki.com/Junimo_Hat" TargetMode="External"/><Relationship Id="rId239" Type="http://schemas.openxmlformats.org/officeDocument/2006/relationships/hyperlink" Target="https://stardewvalleywiki.com/Duck_Mayonnaise" TargetMode="External"/><Relationship Id="rId117" Type="http://schemas.openxmlformats.org/officeDocument/2006/relationships/hyperlink" Target="https://stardewvalleywiki.com/Adventurer%27s_Guild" TargetMode="External"/><Relationship Id="rId238" Type="http://schemas.openxmlformats.org/officeDocument/2006/relationships/hyperlink" Target="https://stardewvalleywiki.com/Chipped_Amphora" TargetMode="External"/><Relationship Id="rId359" Type="http://schemas.openxmlformats.org/officeDocument/2006/relationships/hyperlink" Target="https://stardewvalleywiki.com/Magma_Geode" TargetMode="External"/><Relationship Id="rId116" Type="http://schemas.openxmlformats.org/officeDocument/2006/relationships/hyperlink" Target="https://stardewvalleywiki.com/Knight%27s_Helmet" TargetMode="External"/><Relationship Id="rId237" Type="http://schemas.openxmlformats.org/officeDocument/2006/relationships/hyperlink" Target="https://stardewvalleywiki.com/Cactus_Fruit" TargetMode="External"/><Relationship Id="rId358" Type="http://schemas.openxmlformats.org/officeDocument/2006/relationships/hyperlink" Target="https://stardewvalleywiki.com/Hashbrowns" TargetMode="External"/><Relationship Id="rId115" Type="http://schemas.openxmlformats.org/officeDocument/2006/relationships/hyperlink" Target="https://stardewvalleywiki.com/Desert_Festival" TargetMode="External"/><Relationship Id="rId236" Type="http://schemas.openxmlformats.org/officeDocument/2006/relationships/hyperlink" Target="https://stardewvalleywiki.com/Forge" TargetMode="External"/><Relationship Id="rId357" Type="http://schemas.openxmlformats.org/officeDocument/2006/relationships/hyperlink" Target="https://stardewvalleywiki.com/Trout_Soup" TargetMode="External"/><Relationship Id="rId119" Type="http://schemas.openxmlformats.org/officeDocument/2006/relationships/hyperlink" Target="https://stardewvalleywiki.com/The_Summit" TargetMode="External"/><Relationship Id="rId110" Type="http://schemas.openxmlformats.org/officeDocument/2006/relationships/hyperlink" Target="https://stardewvalleywiki.com/Living_Hat" TargetMode="External"/><Relationship Id="rId231" Type="http://schemas.openxmlformats.org/officeDocument/2006/relationships/hyperlink" Target="https://stardewvalleywiki.com/Arcane_Hat" TargetMode="External"/><Relationship Id="rId352" Type="http://schemas.openxmlformats.org/officeDocument/2006/relationships/hyperlink" Target="https://stardewvalleywiki.com/Coffee" TargetMode="External"/><Relationship Id="rId230" Type="http://schemas.openxmlformats.org/officeDocument/2006/relationships/hyperlink" Target="https://stardewvalleywiki.com/Cooking" TargetMode="External"/><Relationship Id="rId351" Type="http://schemas.openxmlformats.org/officeDocument/2006/relationships/hyperlink" Target="https://stardewvalleywiki.com/Roe" TargetMode="External"/><Relationship Id="rId350" Type="http://schemas.openxmlformats.org/officeDocument/2006/relationships/hyperlink" Target="https://stardewvalleywiki.com/Wool" TargetMode="External"/><Relationship Id="rId114" Type="http://schemas.openxmlformats.org/officeDocument/2006/relationships/hyperlink" Target="https://stardewvalleywiki.com/Laurel_Wreath_Crown" TargetMode="External"/><Relationship Id="rId235" Type="http://schemas.openxmlformats.org/officeDocument/2006/relationships/hyperlink" Target="https://stardewvalleywiki.com/%3F%3F%3F_(hat)" TargetMode="External"/><Relationship Id="rId356" Type="http://schemas.openxmlformats.org/officeDocument/2006/relationships/hyperlink" Target="https://stardewvalleywiki.com/Crayfish" TargetMode="External"/><Relationship Id="rId113" Type="http://schemas.openxmlformats.org/officeDocument/2006/relationships/hyperlink" Target="https://stardewvalleywiki.com/Abandoned_House" TargetMode="External"/><Relationship Id="rId234" Type="http://schemas.openxmlformats.org/officeDocument/2006/relationships/hyperlink" Target="https://stardewvalleywiki.com/Desert_Festival" TargetMode="External"/><Relationship Id="rId355" Type="http://schemas.openxmlformats.org/officeDocument/2006/relationships/hyperlink" Target="https://stardewvalleywiki.com/Prismatic_Shard" TargetMode="External"/><Relationship Id="rId112" Type="http://schemas.openxmlformats.org/officeDocument/2006/relationships/hyperlink" Target="https://stardewvalleywiki.com/Leprechaun_Hat" TargetMode="External"/><Relationship Id="rId233" Type="http://schemas.openxmlformats.org/officeDocument/2006/relationships/hyperlink" Target="https://stardewvalleywiki.com/Abigail%27s_Bow" TargetMode="External"/><Relationship Id="rId354" Type="http://schemas.openxmlformats.org/officeDocument/2006/relationships/hyperlink" Target="https://stardewvalleywiki.com/Prismatic_Shard" TargetMode="External"/><Relationship Id="rId111" Type="http://schemas.openxmlformats.org/officeDocument/2006/relationships/hyperlink" Target="https://stardewvalleywiki.com/Weeds" TargetMode="External"/><Relationship Id="rId232" Type="http://schemas.openxmlformats.org/officeDocument/2006/relationships/hyperlink" Target="https://stardewvalleywiki.com/Adventurer%27s_Guild" TargetMode="External"/><Relationship Id="rId353" Type="http://schemas.openxmlformats.org/officeDocument/2006/relationships/hyperlink" Target="https://stardewvalleywiki.com/Prismatic_Shard" TargetMode="External"/><Relationship Id="rId305" Type="http://schemas.openxmlformats.org/officeDocument/2006/relationships/hyperlink" Target="https://stardewvalleywiki.com/Malachite" TargetMode="External"/><Relationship Id="rId426" Type="http://schemas.openxmlformats.org/officeDocument/2006/relationships/hyperlink" Target="https://stardewvalleywiki.com/Honey" TargetMode="External"/><Relationship Id="rId304" Type="http://schemas.openxmlformats.org/officeDocument/2006/relationships/hyperlink" Target="https://stardewvalleywiki.com/Cave_Carrot" TargetMode="External"/><Relationship Id="rId425" Type="http://schemas.openxmlformats.org/officeDocument/2006/relationships/hyperlink" Target="https://stardewvalleywiki.com/Slime_Egg" TargetMode="External"/><Relationship Id="rId303" Type="http://schemas.openxmlformats.org/officeDocument/2006/relationships/hyperlink" Target="https://stardewvalleywiki.com/Quartz" TargetMode="External"/><Relationship Id="rId424" Type="http://schemas.openxmlformats.org/officeDocument/2006/relationships/hyperlink" Target="https://stardewvalleywiki.com/Ancient_Fruit" TargetMode="External"/><Relationship Id="rId302" Type="http://schemas.openxmlformats.org/officeDocument/2006/relationships/hyperlink" Target="https://stardewvalleywiki.com/Esperite" TargetMode="External"/><Relationship Id="rId423" Type="http://schemas.openxmlformats.org/officeDocument/2006/relationships/hyperlink" Target="https://stardewvalleywiki.com/Hay" TargetMode="External"/><Relationship Id="rId309" Type="http://schemas.openxmlformats.org/officeDocument/2006/relationships/hyperlink" Target="https://stardewvalleywiki.com/Jamborite" TargetMode="External"/><Relationship Id="rId308" Type="http://schemas.openxmlformats.org/officeDocument/2006/relationships/hyperlink" Target="https://stardewvalleywiki.com/Fiddlehead_Fern" TargetMode="External"/><Relationship Id="rId429" Type="http://schemas.openxmlformats.org/officeDocument/2006/relationships/hyperlink" Target="https://stardewvalleywiki.com/Prismatic_Shard" TargetMode="External"/><Relationship Id="rId307" Type="http://schemas.openxmlformats.org/officeDocument/2006/relationships/hyperlink" Target="https://stardewvalleywiki.com/Super_Meal" TargetMode="External"/><Relationship Id="rId428" Type="http://schemas.openxmlformats.org/officeDocument/2006/relationships/hyperlink" Target="https://stardewvalleywiki.com/Orange" TargetMode="External"/><Relationship Id="rId306" Type="http://schemas.openxmlformats.org/officeDocument/2006/relationships/hyperlink" Target="https://stardewvalleywiki.com/Rhubarb" TargetMode="External"/><Relationship Id="rId427" Type="http://schemas.openxmlformats.org/officeDocument/2006/relationships/hyperlink" Target="https://stardewvalleywiki.com/Apple" TargetMode="External"/><Relationship Id="rId301" Type="http://schemas.openxmlformats.org/officeDocument/2006/relationships/hyperlink" Target="https://stardewvalleywiki.com/Geode" TargetMode="External"/><Relationship Id="rId422" Type="http://schemas.openxmlformats.org/officeDocument/2006/relationships/hyperlink" Target="https://stardewvalleywiki.com/Dinosaur_Mayonnaise" TargetMode="External"/><Relationship Id="rId300" Type="http://schemas.openxmlformats.org/officeDocument/2006/relationships/hyperlink" Target="https://stardewvalleywiki.com/Lunarite" TargetMode="External"/><Relationship Id="rId421" Type="http://schemas.openxmlformats.org/officeDocument/2006/relationships/hyperlink" Target="https://stardewvalleywiki.com/Poppy" TargetMode="External"/><Relationship Id="rId420" Type="http://schemas.openxmlformats.org/officeDocument/2006/relationships/hyperlink" Target="https://stardewvalleywiki.com/Blue_Jazz" TargetMode="External"/><Relationship Id="rId415" Type="http://schemas.openxmlformats.org/officeDocument/2006/relationships/hyperlink" Target="https://stardewvalleywiki.com/Omelet" TargetMode="External"/><Relationship Id="rId414" Type="http://schemas.openxmlformats.org/officeDocument/2006/relationships/hyperlink" Target="https://stardewvalleywiki.com/Strange_Doll_(green)" TargetMode="External"/><Relationship Id="rId413" Type="http://schemas.openxmlformats.org/officeDocument/2006/relationships/hyperlink" Target="https://stardewvalleywiki.com/Stone" TargetMode="External"/><Relationship Id="rId412" Type="http://schemas.openxmlformats.org/officeDocument/2006/relationships/hyperlink" Target="https://stardewvalleywiki.com/Milk" TargetMode="External"/><Relationship Id="rId419" Type="http://schemas.openxmlformats.org/officeDocument/2006/relationships/hyperlink" Target="https://stardewvalleywiki.com/Fairy_Rose" TargetMode="External"/><Relationship Id="rId418" Type="http://schemas.openxmlformats.org/officeDocument/2006/relationships/hyperlink" Target="https://stardewvalleywiki.com/Blueberry" TargetMode="External"/><Relationship Id="rId417" Type="http://schemas.openxmlformats.org/officeDocument/2006/relationships/hyperlink" Target="https://stardewvalleywiki.com/Cranberries" TargetMode="External"/><Relationship Id="rId416" Type="http://schemas.openxmlformats.org/officeDocument/2006/relationships/hyperlink" Target="https://stardewvalleywiki.com/Mango_Sticky_Rice" TargetMode="External"/><Relationship Id="rId411" Type="http://schemas.openxmlformats.org/officeDocument/2006/relationships/hyperlink" Target="https://stardewvalleywiki.com/Rice" TargetMode="External"/><Relationship Id="rId410" Type="http://schemas.openxmlformats.org/officeDocument/2006/relationships/hyperlink" Target="https://stardewvalleywiki.com/Pale_Broth" TargetMode="External"/><Relationship Id="rId206" Type="http://schemas.openxmlformats.org/officeDocument/2006/relationships/hyperlink" Target="https://stardewvalleywiki.com/Cat_Ears" TargetMode="External"/><Relationship Id="rId327" Type="http://schemas.openxmlformats.org/officeDocument/2006/relationships/hyperlink" Target="https://stardewvalleywiki.com/Harvey%27s_Clinic" TargetMode="External"/><Relationship Id="rId205" Type="http://schemas.openxmlformats.org/officeDocument/2006/relationships/hyperlink" Target="https://stardewvalleywiki.com/Cooking" TargetMode="External"/><Relationship Id="rId326" Type="http://schemas.openxmlformats.org/officeDocument/2006/relationships/hyperlink" Target="https://stardewvalleywiki.com/Jagoite" TargetMode="External"/><Relationship Id="rId204" Type="http://schemas.openxmlformats.org/officeDocument/2006/relationships/hyperlink" Target="https://stardewvalleywiki.com/Chef_Hat" TargetMode="External"/><Relationship Id="rId325" Type="http://schemas.openxmlformats.org/officeDocument/2006/relationships/hyperlink" Target="https://stardewvalleywiki.com/Seaweed" TargetMode="External"/><Relationship Id="rId203" Type="http://schemas.openxmlformats.org/officeDocument/2006/relationships/hyperlink" Target="https://stardewvalleywiki.com/Quests" TargetMode="External"/><Relationship Id="rId324" Type="http://schemas.openxmlformats.org/officeDocument/2006/relationships/hyperlink" Target="https://stardewvalleywiki.com/Elvish_Jewelry" TargetMode="External"/><Relationship Id="rId209" Type="http://schemas.openxmlformats.org/officeDocument/2006/relationships/hyperlink" Target="https://stardewvalleywiki.com/Friendship" TargetMode="External"/><Relationship Id="rId208" Type="http://schemas.openxmlformats.org/officeDocument/2006/relationships/hyperlink" Target="https://stardewvalleywiki.com/Butterfly_Bow" TargetMode="External"/><Relationship Id="rId329" Type="http://schemas.openxmlformats.org/officeDocument/2006/relationships/hyperlink" Target="https://stardewvalleywiki.com/Rice_Pudding" TargetMode="External"/><Relationship Id="rId207" Type="http://schemas.openxmlformats.org/officeDocument/2006/relationships/hyperlink" Target="https://stardewvalleywiki.com/Friendship" TargetMode="External"/><Relationship Id="rId328" Type="http://schemas.openxmlformats.org/officeDocument/2006/relationships/hyperlink" Target="https://stardewvalleywiki.com/Mayonnaise" TargetMode="External"/><Relationship Id="rId202" Type="http://schemas.openxmlformats.org/officeDocument/2006/relationships/hyperlink" Target="https://stardewvalleywiki.com/Night_Market" TargetMode="External"/><Relationship Id="rId323" Type="http://schemas.openxmlformats.org/officeDocument/2006/relationships/hyperlink" Target="https://stardewvalleywiki.com/Pyrite" TargetMode="External"/><Relationship Id="rId201" Type="http://schemas.openxmlformats.org/officeDocument/2006/relationships/hyperlink" Target="https://stardewvalleywiki.com/Cone_Hat" TargetMode="External"/><Relationship Id="rId322" Type="http://schemas.openxmlformats.org/officeDocument/2006/relationships/hyperlink" Target="https://stardewvalleywiki.com/Golden_Coconut" TargetMode="External"/><Relationship Id="rId200" Type="http://schemas.openxmlformats.org/officeDocument/2006/relationships/hyperlink" Target="https://stardewvalleywiki.com/Cool_Cap" TargetMode="External"/><Relationship Id="rId321" Type="http://schemas.openxmlformats.org/officeDocument/2006/relationships/hyperlink" Target="https://stardewvalleywiki.com/Iridium_Ore" TargetMode="External"/><Relationship Id="rId320" Type="http://schemas.openxmlformats.org/officeDocument/2006/relationships/hyperlink" Target="https://stardewvalleywiki.com/Iridium_Bar" TargetMode="External"/><Relationship Id="rId316" Type="http://schemas.openxmlformats.org/officeDocument/2006/relationships/hyperlink" Target="https://stardewvalleywiki.com/Basic_Fertilizer" TargetMode="External"/><Relationship Id="rId315" Type="http://schemas.openxmlformats.org/officeDocument/2006/relationships/hyperlink" Target="https://stardewvalleywiki.com/Torch" TargetMode="External"/><Relationship Id="rId314" Type="http://schemas.openxmlformats.org/officeDocument/2006/relationships/hyperlink" Target="https://stardewvalleywiki.com/Strange_Bun" TargetMode="External"/><Relationship Id="rId313" Type="http://schemas.openxmlformats.org/officeDocument/2006/relationships/hyperlink" Target="https://stardewvalleywiki.com/Oasis" TargetMode="External"/><Relationship Id="rId319" Type="http://schemas.openxmlformats.org/officeDocument/2006/relationships/hyperlink" Target="https://stardewvalleywiki.com/Poi" TargetMode="External"/><Relationship Id="rId318" Type="http://schemas.openxmlformats.org/officeDocument/2006/relationships/hyperlink" Target="https://stardewvalleywiki.com/Pumpkin_Pie" TargetMode="External"/><Relationship Id="rId317" Type="http://schemas.openxmlformats.org/officeDocument/2006/relationships/hyperlink" Target="https://stardewvalleywiki.com/Deluxe_Speed-Gro" TargetMode="External"/><Relationship Id="rId312" Type="http://schemas.openxmlformats.org/officeDocument/2006/relationships/hyperlink" Target="https://stardewvalleywiki.com/Lemon_Stone" TargetMode="External"/><Relationship Id="rId311" Type="http://schemas.openxmlformats.org/officeDocument/2006/relationships/hyperlink" Target="https://stardewvalleywiki.com/Bean_Hotpot" TargetMode="External"/><Relationship Id="rId432" Type="http://schemas.openxmlformats.org/officeDocument/2006/relationships/vmlDrawing" Target="../drawings/vmlDrawing4.vml"/><Relationship Id="rId310" Type="http://schemas.openxmlformats.org/officeDocument/2006/relationships/hyperlink" Target="https://stardewvalleywiki.com/Ancient_Sword" TargetMode="External"/><Relationship Id="rId431" Type="http://schemas.openxmlformats.org/officeDocument/2006/relationships/drawing" Target="../drawings/drawing6.xml"/><Relationship Id="rId430" Type="http://schemas.openxmlformats.org/officeDocument/2006/relationships/hyperlink" Target="https://stardewvalleywiki.com/Prismatic_Shard"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stardewvalleywiki.com/Shipping" TargetMode="External"/><Relationship Id="rId194" Type="http://schemas.openxmlformats.org/officeDocument/2006/relationships/hyperlink" Target="https://stardewvalleywiki.com/Museum" TargetMode="External"/><Relationship Id="rId193" Type="http://schemas.openxmlformats.org/officeDocument/2006/relationships/hyperlink" Target="https://stardewvalleywiki.com/Cowboy_Hat" TargetMode="External"/><Relationship Id="rId192" Type="http://schemas.openxmlformats.org/officeDocument/2006/relationships/hyperlink" Target="https://stardewvalleywiki.com/Shipping" TargetMode="External"/><Relationship Id="rId191" Type="http://schemas.openxmlformats.org/officeDocument/2006/relationships/hyperlink" Target="https://stardewvalleywiki.com/Cowgal_Hat" TargetMode="External"/><Relationship Id="rId187" Type="http://schemas.openxmlformats.org/officeDocument/2006/relationships/hyperlink" Target="https://stardewvalleywiki.com/Daisy" TargetMode="External"/><Relationship Id="rId186" Type="http://schemas.openxmlformats.org/officeDocument/2006/relationships/hyperlink" Target="https://stardewvalleywiki.com/Desert_Festival" TargetMode="External"/><Relationship Id="rId185" Type="http://schemas.openxmlformats.org/officeDocument/2006/relationships/hyperlink" Target="https://stardewvalleywiki.com/Dark_Ballcap" TargetMode="External"/><Relationship Id="rId184" Type="http://schemas.openxmlformats.org/officeDocument/2006/relationships/hyperlink" Target="https://stardewvalleywiki.com/Skull_Cavern" TargetMode="External"/><Relationship Id="rId189" Type="http://schemas.openxmlformats.org/officeDocument/2006/relationships/hyperlink" Target="https://stardewvalleywiki.com/Cowpoke_Hat" TargetMode="External"/><Relationship Id="rId188" Type="http://schemas.openxmlformats.org/officeDocument/2006/relationships/hyperlink" Target="https://stardewvalleywiki.com/Crafting" TargetMode="External"/><Relationship Id="rId183" Type="http://schemas.openxmlformats.org/officeDocument/2006/relationships/hyperlink" Target="https://stardewvalleywiki.com/Dark_Cowboy_Hat" TargetMode="External"/><Relationship Id="rId182" Type="http://schemas.openxmlformats.org/officeDocument/2006/relationships/hyperlink" Target="https://stardewvalleywiki.com/Desert_Festival" TargetMode="External"/><Relationship Id="rId181" Type="http://schemas.openxmlformats.org/officeDocument/2006/relationships/hyperlink" Target="https://stardewvalleywiki.com/Dark_Velvet_Bow" TargetMode="External"/><Relationship Id="rId180" Type="http://schemas.openxmlformats.org/officeDocument/2006/relationships/hyperlink" Target="https://stardewvalleywiki.com/Cooking" TargetMode="External"/><Relationship Id="rId176" Type="http://schemas.openxmlformats.org/officeDocument/2006/relationships/hyperlink" Target="https://stardewvalleywiki.com/Volcano_Dungeon" TargetMode="External"/><Relationship Id="rId297" Type="http://schemas.openxmlformats.org/officeDocument/2006/relationships/hyperlink" Target="https://stardewvalleywiki.com/Lunarite" TargetMode="External"/><Relationship Id="rId175" Type="http://schemas.openxmlformats.org/officeDocument/2006/relationships/hyperlink" Target="https://stardewvalleywiki.com/Deluxe_Pirate_Hat" TargetMode="External"/><Relationship Id="rId296" Type="http://schemas.openxmlformats.org/officeDocument/2006/relationships/hyperlink" Target="https://stardewvalleywiki.com/Maru" TargetMode="External"/><Relationship Id="rId174" Type="http://schemas.openxmlformats.org/officeDocument/2006/relationships/hyperlink" Target="https://stardewvalleywiki.com/Tailoring" TargetMode="External"/><Relationship Id="rId295" Type="http://schemas.openxmlformats.org/officeDocument/2006/relationships/hyperlink" Target="https://stardewvalleywiki.com/Dried_Starfish" TargetMode="External"/><Relationship Id="rId173" Type="http://schemas.openxmlformats.org/officeDocument/2006/relationships/hyperlink" Target="https://stardewvalleywiki.com/Dinosaur_Hat" TargetMode="External"/><Relationship Id="rId294" Type="http://schemas.openxmlformats.org/officeDocument/2006/relationships/hyperlink" Target="https://stardewvalleywiki.com/Gold_Bar" TargetMode="External"/><Relationship Id="rId179" Type="http://schemas.openxmlformats.org/officeDocument/2006/relationships/hyperlink" Target="https://stardewvalleywiki.com/Delicate_Bow" TargetMode="External"/><Relationship Id="rId178" Type="http://schemas.openxmlformats.org/officeDocument/2006/relationships/hyperlink" Target="https://stardewvalleywiki.com/Island_Trader" TargetMode="External"/><Relationship Id="rId299" Type="http://schemas.openxmlformats.org/officeDocument/2006/relationships/hyperlink" Target="https://stardewvalleywiki.com/Esperite" TargetMode="External"/><Relationship Id="rId177" Type="http://schemas.openxmlformats.org/officeDocument/2006/relationships/hyperlink" Target="https://stardewvalleywiki.com/Deluxe_Cowboy_Hat" TargetMode="External"/><Relationship Id="rId298" Type="http://schemas.openxmlformats.org/officeDocument/2006/relationships/hyperlink" Target="https://stardewvalleywiki.com/Geode" TargetMode="External"/><Relationship Id="rId198" Type="http://schemas.openxmlformats.org/officeDocument/2006/relationships/hyperlink" Target="https://stardewvalleywiki.com/Cone_Hat" TargetMode="External"/><Relationship Id="rId197" Type="http://schemas.openxmlformats.org/officeDocument/2006/relationships/hyperlink" Target="https://stardewvalleywiki.com/Cool_Cap" TargetMode="External"/><Relationship Id="rId196" Type="http://schemas.openxmlformats.org/officeDocument/2006/relationships/hyperlink" Target="https://stardewvalleywiki.com/Pans" TargetMode="External"/><Relationship Id="rId195" Type="http://schemas.openxmlformats.org/officeDocument/2006/relationships/hyperlink" Target="https://stardewvalleywiki.com/Copper_Pan_(hat)" TargetMode="External"/><Relationship Id="rId199" Type="http://schemas.openxmlformats.org/officeDocument/2006/relationships/hyperlink" Target="https://stardewvalleywiki.com/Night_Market" TargetMode="External"/><Relationship Id="rId150" Type="http://schemas.openxmlformats.org/officeDocument/2006/relationships/hyperlink" Target="https://stardewvalleywiki.com/Garbage_Can" TargetMode="External"/><Relationship Id="rId271" Type="http://schemas.openxmlformats.org/officeDocument/2006/relationships/hyperlink" Target="https://stardewvalleywiki.com/Amaranth" TargetMode="External"/><Relationship Id="rId392" Type="http://schemas.openxmlformats.org/officeDocument/2006/relationships/hyperlink" Target="https://stardewvalleywiki.com/Cheese_Cauliflower" TargetMode="External"/><Relationship Id="rId270" Type="http://schemas.openxmlformats.org/officeDocument/2006/relationships/hyperlink" Target="https://stardewvalleywiki.com/Wheat" TargetMode="External"/><Relationship Id="rId391" Type="http://schemas.openxmlformats.org/officeDocument/2006/relationships/hyperlink" Target="https://stardewvalleywiki.com/Green_Tea" TargetMode="External"/><Relationship Id="rId390" Type="http://schemas.openxmlformats.org/officeDocument/2006/relationships/hyperlink" Target="https://stardewvalleywiki.com/Radish" TargetMode="External"/><Relationship Id="rId1" Type="http://schemas.openxmlformats.org/officeDocument/2006/relationships/hyperlink" Target="https://stardewvalleywiki.com/Witch_Hat" TargetMode="External"/><Relationship Id="rId2" Type="http://schemas.openxmlformats.org/officeDocument/2006/relationships/hyperlink" Target="https://stardewvalleywiki.com/Tailoring" TargetMode="External"/><Relationship Id="rId3" Type="http://schemas.openxmlformats.org/officeDocument/2006/relationships/hyperlink" Target="https://stardewvalleywiki.com/White_Turban" TargetMode="External"/><Relationship Id="rId149" Type="http://schemas.openxmlformats.org/officeDocument/2006/relationships/hyperlink" Target="https://stardewvalleywiki.com/Garbage_Hat" TargetMode="External"/><Relationship Id="rId4" Type="http://schemas.openxmlformats.org/officeDocument/2006/relationships/hyperlink" Target="https://stardewvalleywiki.com/Tailoring" TargetMode="External"/><Relationship Id="rId148" Type="http://schemas.openxmlformats.org/officeDocument/2006/relationships/hyperlink" Target="https://stardewvalleywiki.com/Desert_Festival" TargetMode="External"/><Relationship Id="rId269" Type="http://schemas.openxmlformats.org/officeDocument/2006/relationships/hyperlink" Target="https://stardewvalleywiki.com/Crab_Cakes" TargetMode="External"/><Relationship Id="rId9" Type="http://schemas.openxmlformats.org/officeDocument/2006/relationships/hyperlink" Target="https://stardewvalleywiki.com/Fish" TargetMode="External"/><Relationship Id="rId143" Type="http://schemas.openxmlformats.org/officeDocument/2006/relationships/hyperlink" Target="https://stardewvalleywiki.com/Goblin_Mask" TargetMode="External"/><Relationship Id="rId264" Type="http://schemas.openxmlformats.org/officeDocument/2006/relationships/hyperlink" Target="https://stardewvalleywiki.com/Rusty_Cog" TargetMode="External"/><Relationship Id="rId385" Type="http://schemas.openxmlformats.org/officeDocument/2006/relationships/hyperlink" Target="https://stardewvalleywiki.com/Obsidian" TargetMode="External"/><Relationship Id="rId142" Type="http://schemas.openxmlformats.org/officeDocument/2006/relationships/hyperlink" Target="https://stardewvalleywiki.com/Tailoring" TargetMode="External"/><Relationship Id="rId263" Type="http://schemas.openxmlformats.org/officeDocument/2006/relationships/hyperlink" Target="https://stardewvalleywiki.com/Escargot" TargetMode="External"/><Relationship Id="rId384" Type="http://schemas.openxmlformats.org/officeDocument/2006/relationships/hyperlink" Target="https://stardewvalleywiki.com/Corn" TargetMode="External"/><Relationship Id="rId141" Type="http://schemas.openxmlformats.org/officeDocument/2006/relationships/hyperlink" Target="https://stardewvalleywiki.com/Goggles" TargetMode="External"/><Relationship Id="rId262" Type="http://schemas.openxmlformats.org/officeDocument/2006/relationships/hyperlink" Target="https://stardewvalleywiki.com/Prehistoric_Handaxe" TargetMode="External"/><Relationship Id="rId383" Type="http://schemas.openxmlformats.org/officeDocument/2006/relationships/hyperlink" Target="https://stardewvalleywiki.com/Coral" TargetMode="External"/><Relationship Id="rId140" Type="http://schemas.openxmlformats.org/officeDocument/2006/relationships/hyperlink" Target="https://stardewvalleywiki.com/Pans" TargetMode="External"/><Relationship Id="rId261" Type="http://schemas.openxmlformats.org/officeDocument/2006/relationships/hyperlink" Target="https://stardewvalleywiki.com/Carp_Surprise" TargetMode="External"/><Relationship Id="rId382" Type="http://schemas.openxmlformats.org/officeDocument/2006/relationships/hyperlink" Target="https://stardewvalleywiki.com/Fried_Calamari" TargetMode="External"/><Relationship Id="rId5" Type="http://schemas.openxmlformats.org/officeDocument/2006/relationships/hyperlink" Target="https://stardewvalleywiki.com/White_Bow" TargetMode="External"/><Relationship Id="rId147" Type="http://schemas.openxmlformats.org/officeDocument/2006/relationships/hyperlink" Target="https://stardewvalleywiki.com/Gil%27s_Hat" TargetMode="External"/><Relationship Id="rId268" Type="http://schemas.openxmlformats.org/officeDocument/2006/relationships/hyperlink" Target="https://stardewvalleywiki.com/Copper_Bar" TargetMode="External"/><Relationship Id="rId389" Type="http://schemas.openxmlformats.org/officeDocument/2006/relationships/hyperlink" Target="https://stardewvalleywiki.com/Sap" TargetMode="External"/><Relationship Id="rId6" Type="http://schemas.openxmlformats.org/officeDocument/2006/relationships/hyperlink" Target="https://stardewvalleywiki.com/Wearable_Dwarf_Helm" TargetMode="External"/><Relationship Id="rId146" Type="http://schemas.openxmlformats.org/officeDocument/2006/relationships/hyperlink" Target="https://stardewvalleywiki.com/Crafting" TargetMode="External"/><Relationship Id="rId267" Type="http://schemas.openxmlformats.org/officeDocument/2006/relationships/hyperlink" Target="https://stardewvalleywiki.com/Green_Algae" TargetMode="External"/><Relationship Id="rId388" Type="http://schemas.openxmlformats.org/officeDocument/2006/relationships/hyperlink" Target="https://stardewvalleywiki.com/Glazed_Yams" TargetMode="External"/><Relationship Id="rId7" Type="http://schemas.openxmlformats.org/officeDocument/2006/relationships/hyperlink" Target="https://stardewvalleywiki.com/Tailoring" TargetMode="External"/><Relationship Id="rId145" Type="http://schemas.openxmlformats.org/officeDocument/2006/relationships/hyperlink" Target="https://stardewvalleywiki.com/Gnome%27s_Cap" TargetMode="External"/><Relationship Id="rId266" Type="http://schemas.openxmlformats.org/officeDocument/2006/relationships/hyperlink" Target="https://stardewvalleywiki.com/Helvite" TargetMode="External"/><Relationship Id="rId387" Type="http://schemas.openxmlformats.org/officeDocument/2006/relationships/hyperlink" Target="https://stardewvalleywiki.com/Bouquet" TargetMode="External"/><Relationship Id="rId8" Type="http://schemas.openxmlformats.org/officeDocument/2006/relationships/hyperlink" Target="https://stardewvalleywiki.com/Watermelon_Band" TargetMode="External"/><Relationship Id="rId144" Type="http://schemas.openxmlformats.org/officeDocument/2006/relationships/hyperlink" Target="https://stardewvalleywiki.com/Shipping" TargetMode="External"/><Relationship Id="rId265" Type="http://schemas.openxmlformats.org/officeDocument/2006/relationships/hyperlink" Target="https://stardewvalleywiki.com/Complete_Breakfast" TargetMode="External"/><Relationship Id="rId386" Type="http://schemas.openxmlformats.org/officeDocument/2006/relationships/hyperlink" Target="https://stardewvalleywiki.com/Sugar" TargetMode="External"/><Relationship Id="rId260" Type="http://schemas.openxmlformats.org/officeDocument/2006/relationships/hyperlink" Target="https://stardewvalleywiki.com/Large_Egg" TargetMode="External"/><Relationship Id="rId381" Type="http://schemas.openxmlformats.org/officeDocument/2006/relationships/hyperlink" Target="https://stardewvalleywiki.com/Iron_Bar" TargetMode="External"/><Relationship Id="rId380" Type="http://schemas.openxmlformats.org/officeDocument/2006/relationships/hyperlink" Target="https://stardewvalleywiki.com/Star_Shards" TargetMode="External"/><Relationship Id="rId139" Type="http://schemas.openxmlformats.org/officeDocument/2006/relationships/hyperlink" Target="https://stardewvalleywiki.com/Gold_Pan_(hat)" TargetMode="External"/><Relationship Id="rId138" Type="http://schemas.openxmlformats.org/officeDocument/2006/relationships/hyperlink" Target="https://stardewvalleywiki.com/Golden_Coconut" TargetMode="External"/><Relationship Id="rId259" Type="http://schemas.openxmlformats.org/officeDocument/2006/relationships/hyperlink" Target="https://stardewvalleywiki.com/Anchor" TargetMode="External"/><Relationship Id="rId137" Type="http://schemas.openxmlformats.org/officeDocument/2006/relationships/hyperlink" Target="https://stardewvalleywiki.com/Golden_Helmet" TargetMode="External"/><Relationship Id="rId258" Type="http://schemas.openxmlformats.org/officeDocument/2006/relationships/hyperlink" Target="https://stardewvalleywiki.com/Chewing_Stick" TargetMode="External"/><Relationship Id="rId379" Type="http://schemas.openxmlformats.org/officeDocument/2006/relationships/hyperlink" Target="https://stardewvalleywiki.com/Juice" TargetMode="External"/><Relationship Id="rId132" Type="http://schemas.openxmlformats.org/officeDocument/2006/relationships/hyperlink" Target="https://stardewvalleywiki.com/Governor%27s_Hat" TargetMode="External"/><Relationship Id="rId253" Type="http://schemas.openxmlformats.org/officeDocument/2006/relationships/hyperlink" Target="https://stardewvalleywiki.com/Mudstone" TargetMode="External"/><Relationship Id="rId374" Type="http://schemas.openxmlformats.org/officeDocument/2006/relationships/hyperlink" Target="https://stardewvalleywiki.com/Prehistoric_Skull" TargetMode="External"/><Relationship Id="rId131" Type="http://schemas.openxmlformats.org/officeDocument/2006/relationships/hyperlink" Target="https://stardewvalleywiki.com/Desert_Trader" TargetMode="External"/><Relationship Id="rId252" Type="http://schemas.openxmlformats.org/officeDocument/2006/relationships/hyperlink" Target="https://stardewvalleywiki.com/Ornamental_Fan" TargetMode="External"/><Relationship Id="rId373" Type="http://schemas.openxmlformats.org/officeDocument/2006/relationships/hyperlink" Target="https://stardewvalleywiki.com/Haunted_Skull" TargetMode="External"/><Relationship Id="rId130" Type="http://schemas.openxmlformats.org/officeDocument/2006/relationships/hyperlink" Target="https://stardewvalleywiki.com/Green_Turban" TargetMode="External"/><Relationship Id="rId251" Type="http://schemas.openxmlformats.org/officeDocument/2006/relationships/hyperlink" Target="https://stardewvalleywiki.com/Bomb" TargetMode="External"/><Relationship Id="rId372" Type="http://schemas.openxmlformats.org/officeDocument/2006/relationships/hyperlink" Target="https://stardewvalleywiki.com/Bone_Fragment" TargetMode="External"/><Relationship Id="rId250" Type="http://schemas.openxmlformats.org/officeDocument/2006/relationships/hyperlink" Target="https://stardewvalleywiki.com/Strange_Doll_(yellow)" TargetMode="External"/><Relationship Id="rId371" Type="http://schemas.openxmlformats.org/officeDocument/2006/relationships/hyperlink" Target="https://stardewvalleywiki.com/Haunted_Skull" TargetMode="External"/><Relationship Id="rId136" Type="http://schemas.openxmlformats.org/officeDocument/2006/relationships/hyperlink" Target="https://stardewvalleywiki.com/Tailoring" TargetMode="External"/><Relationship Id="rId257" Type="http://schemas.openxmlformats.org/officeDocument/2006/relationships/hyperlink" Target="https://stardewvalleywiki.com/Stir_Fry" TargetMode="External"/><Relationship Id="rId378" Type="http://schemas.openxmlformats.org/officeDocument/2006/relationships/hyperlink" Target="https://stardewvalleywiki.com/Arrowhead" TargetMode="External"/><Relationship Id="rId135" Type="http://schemas.openxmlformats.org/officeDocument/2006/relationships/hyperlink" Target="https://stardewvalleywiki.com/Golden_Mask_(hat)" TargetMode="External"/><Relationship Id="rId256" Type="http://schemas.openxmlformats.org/officeDocument/2006/relationships/hyperlink" Target="https://stardewvalleywiki.com/Survival_Burger" TargetMode="External"/><Relationship Id="rId377" Type="http://schemas.openxmlformats.org/officeDocument/2006/relationships/hyperlink" Target="https://stardewvalleywiki.com/Petrified_Slime" TargetMode="External"/><Relationship Id="rId134" Type="http://schemas.openxmlformats.org/officeDocument/2006/relationships/hyperlink" Target="https://stardewvalleywiki.com/Good_Ol%27_Cap" TargetMode="External"/><Relationship Id="rId255" Type="http://schemas.openxmlformats.org/officeDocument/2006/relationships/hyperlink" Target="https://stardewvalleywiki.com/Ancient_Seed" TargetMode="External"/><Relationship Id="rId376" Type="http://schemas.openxmlformats.org/officeDocument/2006/relationships/hyperlink" Target="https://stardewvalleywiki.com/Large_Milk" TargetMode="External"/><Relationship Id="rId133" Type="http://schemas.openxmlformats.org/officeDocument/2006/relationships/hyperlink" Target="https://stardewvalleywiki.com/Luau" TargetMode="External"/><Relationship Id="rId254" Type="http://schemas.openxmlformats.org/officeDocument/2006/relationships/hyperlink" Target="https://stardewvalleywiki.com/Hazelnut" TargetMode="External"/><Relationship Id="rId375" Type="http://schemas.openxmlformats.org/officeDocument/2006/relationships/hyperlink" Target="https://stardewvalleywiki.com/Emerald" TargetMode="External"/><Relationship Id="rId172" Type="http://schemas.openxmlformats.org/officeDocument/2006/relationships/hyperlink" Target="https://stardewvalleywiki.com/Friendship" TargetMode="External"/><Relationship Id="rId293" Type="http://schemas.openxmlformats.org/officeDocument/2006/relationships/hyperlink" Target="https://stardewvalleywiki.com/Aged_Roe" TargetMode="External"/><Relationship Id="rId171" Type="http://schemas.openxmlformats.org/officeDocument/2006/relationships/hyperlink" Target="https://stardewvalleywiki.com/Earmuffs" TargetMode="External"/><Relationship Id="rId292" Type="http://schemas.openxmlformats.org/officeDocument/2006/relationships/hyperlink" Target="https://stardewvalleywiki.com/Ginger_Ale" TargetMode="External"/><Relationship Id="rId170" Type="http://schemas.openxmlformats.org/officeDocument/2006/relationships/hyperlink" Target="https://stardewvalleywiki.com/Achievements" TargetMode="External"/><Relationship Id="rId291" Type="http://schemas.openxmlformats.org/officeDocument/2006/relationships/hyperlink" Target="https://stardewvalleywiki.com/Chowder" TargetMode="External"/><Relationship Id="rId290" Type="http://schemas.openxmlformats.org/officeDocument/2006/relationships/hyperlink" Target="https://stardewvalleywiki.com/Fried_Egg" TargetMode="External"/><Relationship Id="rId165" Type="http://schemas.openxmlformats.org/officeDocument/2006/relationships/hyperlink" Target="https://stardewvalleywiki.com/Eye_Patch" TargetMode="External"/><Relationship Id="rId286" Type="http://schemas.openxmlformats.org/officeDocument/2006/relationships/hyperlink" Target="https://stardewvalleywiki.com/Bream" TargetMode="External"/><Relationship Id="rId164" Type="http://schemas.openxmlformats.org/officeDocument/2006/relationships/hyperlink" Target="https://stardewvalleywiki.com/Tailoring" TargetMode="External"/><Relationship Id="rId285" Type="http://schemas.openxmlformats.org/officeDocument/2006/relationships/hyperlink" Target="https://stardewvalleywiki.com/Holly" TargetMode="External"/><Relationship Id="rId163" Type="http://schemas.openxmlformats.org/officeDocument/2006/relationships/hyperlink" Target="https://stardewvalleywiki.com/Fashion_Hat" TargetMode="External"/><Relationship Id="rId284" Type="http://schemas.openxmlformats.org/officeDocument/2006/relationships/hyperlink" Target="https://stardewvalleywiki.com/Harvey%27s_Clinic" TargetMode="External"/><Relationship Id="rId162" Type="http://schemas.openxmlformats.org/officeDocument/2006/relationships/hyperlink" Target="https://stardewvalleywiki.com/Stardew_Valley_Fair" TargetMode="External"/><Relationship Id="rId283" Type="http://schemas.openxmlformats.org/officeDocument/2006/relationships/hyperlink" Target="https://stardewvalleywiki.com/Salmon" TargetMode="External"/><Relationship Id="rId169" Type="http://schemas.openxmlformats.org/officeDocument/2006/relationships/hyperlink" Target="https://stardewvalleywiki.com/Elegant_Turban" TargetMode="External"/><Relationship Id="rId168" Type="http://schemas.openxmlformats.org/officeDocument/2006/relationships/hyperlink" Target="https://stardewvalleywiki.com/Emily" TargetMode="External"/><Relationship Id="rId289" Type="http://schemas.openxmlformats.org/officeDocument/2006/relationships/hyperlink" Target="https://stardewvalleywiki.com/Chicken_Statue" TargetMode="External"/><Relationship Id="rId167" Type="http://schemas.openxmlformats.org/officeDocument/2006/relationships/hyperlink" Target="https://stardewvalleywiki.com/Emily%27s_Magic_Hat" TargetMode="External"/><Relationship Id="rId288" Type="http://schemas.openxmlformats.org/officeDocument/2006/relationships/hyperlink" Target="https://stardewvalleywiki.com/Coffee_Bean" TargetMode="External"/><Relationship Id="rId166" Type="http://schemas.openxmlformats.org/officeDocument/2006/relationships/hyperlink" Target="https://stardewvalleywiki.com/Fish" TargetMode="External"/><Relationship Id="rId287" Type="http://schemas.openxmlformats.org/officeDocument/2006/relationships/hyperlink" Target="https://stardewvalleywiki.com/Spicy_Eel" TargetMode="External"/><Relationship Id="rId161" Type="http://schemas.openxmlformats.org/officeDocument/2006/relationships/hyperlink" Target="https://stardewvalleywiki.com/Fedora" TargetMode="External"/><Relationship Id="rId282" Type="http://schemas.openxmlformats.org/officeDocument/2006/relationships/hyperlink" Target="https://stardewvalleywiki.com/Ancient_Doll" TargetMode="External"/><Relationship Id="rId160" Type="http://schemas.openxmlformats.org/officeDocument/2006/relationships/hyperlink" Target="https://stardewvalleywiki.com/Tailoring" TargetMode="External"/><Relationship Id="rId281" Type="http://schemas.openxmlformats.org/officeDocument/2006/relationships/hyperlink" Target="https://stardewvalleywiki.com/Maple_Bar" TargetMode="External"/><Relationship Id="rId280" Type="http://schemas.openxmlformats.org/officeDocument/2006/relationships/hyperlink" Target="https://stardewvalleywiki.com/Field_Snack" TargetMode="External"/><Relationship Id="rId159" Type="http://schemas.openxmlformats.org/officeDocument/2006/relationships/hyperlink" Target="https://stardewvalleywiki.com/Fishing_Hat" TargetMode="External"/><Relationship Id="rId154" Type="http://schemas.openxmlformats.org/officeDocument/2006/relationships/hyperlink" Target="https://stardewvalleywiki.com/Tailoring" TargetMode="External"/><Relationship Id="rId275" Type="http://schemas.openxmlformats.org/officeDocument/2006/relationships/hyperlink" Target="https://stardewvalleywiki.com/Life_Elixir" TargetMode="External"/><Relationship Id="rId396" Type="http://schemas.openxmlformats.org/officeDocument/2006/relationships/hyperlink" Target="https://stardewvalleywiki.com/Pancakes" TargetMode="External"/><Relationship Id="rId153" Type="http://schemas.openxmlformats.org/officeDocument/2006/relationships/hyperlink" Target="https://stardewvalleywiki.com/Forager%27s_Hat" TargetMode="External"/><Relationship Id="rId274" Type="http://schemas.openxmlformats.org/officeDocument/2006/relationships/hyperlink" Target="https://stardewvalleywiki.com/Haunted_Skull" TargetMode="External"/><Relationship Id="rId395" Type="http://schemas.openxmlformats.org/officeDocument/2006/relationships/hyperlink" Target="https://stardewvalleywiki.com/Tortilla" TargetMode="External"/><Relationship Id="rId152" Type="http://schemas.openxmlformats.org/officeDocument/2006/relationships/hyperlink" Target="https://stardewvalleywiki.com/Fishing" TargetMode="External"/><Relationship Id="rId273" Type="http://schemas.openxmlformats.org/officeDocument/2006/relationships/hyperlink" Target="https://stardewvalleywiki.com/Truffle" TargetMode="External"/><Relationship Id="rId394" Type="http://schemas.openxmlformats.org/officeDocument/2006/relationships/hyperlink" Target="https://stardewvalleywiki.com/Tomato" TargetMode="External"/><Relationship Id="rId151" Type="http://schemas.openxmlformats.org/officeDocument/2006/relationships/hyperlink" Target="https://stardewvalleywiki.com/Frog_Hat" TargetMode="External"/><Relationship Id="rId272" Type="http://schemas.openxmlformats.org/officeDocument/2006/relationships/hyperlink" Target="https://stardewvalleywiki.com/Haunted_Skull" TargetMode="External"/><Relationship Id="rId393" Type="http://schemas.openxmlformats.org/officeDocument/2006/relationships/hyperlink" Target="https://stardewvalleywiki.com/Marble" TargetMode="External"/><Relationship Id="rId158" Type="http://schemas.openxmlformats.org/officeDocument/2006/relationships/hyperlink" Target="https://stardewvalleywiki.com/Tailoring" TargetMode="External"/><Relationship Id="rId279" Type="http://schemas.openxmlformats.org/officeDocument/2006/relationships/hyperlink" Target="https://stardewvalleywiki.com/Wilted_Bouquet" TargetMode="External"/><Relationship Id="rId157" Type="http://schemas.openxmlformats.org/officeDocument/2006/relationships/hyperlink" Target="https://stardewvalleywiki.com/Flat_Topped_Hat" TargetMode="External"/><Relationship Id="rId278" Type="http://schemas.openxmlformats.org/officeDocument/2006/relationships/hyperlink" Target="https://stardewvalleywiki.com/Tigerseye" TargetMode="External"/><Relationship Id="rId399" Type="http://schemas.openxmlformats.org/officeDocument/2006/relationships/hyperlink" Target="https://stardewvalleywiki.com/Tropical_Curry" TargetMode="External"/><Relationship Id="rId156" Type="http://schemas.openxmlformats.org/officeDocument/2006/relationships/hyperlink" Target="https://stardewvalleywiki.com/Tailoring" TargetMode="External"/><Relationship Id="rId277" Type="http://schemas.openxmlformats.org/officeDocument/2006/relationships/hyperlink" Target="https://stardewvalleywiki.com/Bat_Wing" TargetMode="External"/><Relationship Id="rId398" Type="http://schemas.openxmlformats.org/officeDocument/2006/relationships/hyperlink" Target="https://stardewvalleywiki.com/Artifact_Trove" TargetMode="External"/><Relationship Id="rId155" Type="http://schemas.openxmlformats.org/officeDocument/2006/relationships/hyperlink" Target="https://stardewvalleywiki.com/Floppy_Beanie" TargetMode="External"/><Relationship Id="rId276" Type="http://schemas.openxmlformats.org/officeDocument/2006/relationships/hyperlink" Target="https://stardewvalleywiki.com/Frozen_Tear" TargetMode="External"/><Relationship Id="rId397" Type="http://schemas.openxmlformats.org/officeDocument/2006/relationships/hyperlink" Target="https://stardewvalleywiki.com/Broken_CD" TargetMode="External"/><Relationship Id="rId40" Type="http://schemas.openxmlformats.org/officeDocument/2006/relationships/hyperlink" Target="https://stardewvalleywiki.com/Sports_Cap" TargetMode="External"/><Relationship Id="rId42" Type="http://schemas.openxmlformats.org/officeDocument/2006/relationships/hyperlink" Target="https://stardewvalleywiki.com/Space_Helmet" TargetMode="External"/><Relationship Id="rId41" Type="http://schemas.openxmlformats.org/officeDocument/2006/relationships/hyperlink" Target="https://stardewvalleywiki.com/Mayor%27s_Manor" TargetMode="External"/><Relationship Id="rId44" Type="http://schemas.openxmlformats.org/officeDocument/2006/relationships/hyperlink" Target="https://stardewvalleywiki.com/Sou%27wester" TargetMode="External"/><Relationship Id="rId43" Type="http://schemas.openxmlformats.org/officeDocument/2006/relationships/hyperlink" Target="https://stardewvalleywiki.com/The_Mines" TargetMode="External"/><Relationship Id="rId46" Type="http://schemas.openxmlformats.org/officeDocument/2006/relationships/hyperlink" Target="https://stardewvalleywiki.com/Sombrero" TargetMode="External"/><Relationship Id="rId45" Type="http://schemas.openxmlformats.org/officeDocument/2006/relationships/hyperlink" Target="https://stardewvalleywiki.com/Fish" TargetMode="External"/><Relationship Id="rId48" Type="http://schemas.openxmlformats.org/officeDocument/2006/relationships/hyperlink" Target="https://stardewvalleywiki.com/Island_Trader" TargetMode="External"/><Relationship Id="rId47" Type="http://schemas.openxmlformats.org/officeDocument/2006/relationships/hyperlink" Target="https://stardewvalleywiki.com/Small_Cap" TargetMode="External"/><Relationship Id="rId49" Type="http://schemas.openxmlformats.org/officeDocument/2006/relationships/hyperlink" Target="https://stardewvalleywiki.com/Skeleton_Mask" TargetMode="External"/><Relationship Id="rId31" Type="http://schemas.openxmlformats.org/officeDocument/2006/relationships/hyperlink" Target="https://stardewvalleywiki.com/Steel_Pan_(hat)" TargetMode="External"/><Relationship Id="rId30" Type="http://schemas.openxmlformats.org/officeDocument/2006/relationships/hyperlink" Target="https://stardewvalleywiki.com/Egg_Festival" TargetMode="External"/><Relationship Id="rId33" Type="http://schemas.openxmlformats.org/officeDocument/2006/relationships/hyperlink" Target="https://stardewvalleywiki.com/Tailoring" TargetMode="External"/><Relationship Id="rId32" Type="http://schemas.openxmlformats.org/officeDocument/2006/relationships/hyperlink" Target="https://stardewvalleywiki.com/Pans" TargetMode="External"/><Relationship Id="rId35" Type="http://schemas.openxmlformats.org/officeDocument/2006/relationships/hyperlink" Target="https://stardewvalleywiki.com/Metal_Head" TargetMode="External"/><Relationship Id="rId34" Type="http://schemas.openxmlformats.org/officeDocument/2006/relationships/hyperlink" Target="https://stardewvalleywiki.com/Squire%27s_Helmet" TargetMode="External"/><Relationship Id="rId37" Type="http://schemas.openxmlformats.org/officeDocument/2006/relationships/hyperlink" Target="https://stardewvalleywiki.com/SquidFest" TargetMode="External"/><Relationship Id="rId36" Type="http://schemas.openxmlformats.org/officeDocument/2006/relationships/hyperlink" Target="https://stardewvalleywiki.com/Squid_Hat" TargetMode="External"/><Relationship Id="rId39" Type="http://schemas.openxmlformats.org/officeDocument/2006/relationships/hyperlink" Target="https://stardewvalleywiki.com/Tailoring" TargetMode="External"/><Relationship Id="rId38" Type="http://schemas.openxmlformats.org/officeDocument/2006/relationships/hyperlink" Target="https://stardewvalleywiki.com/Spotted_Headscarf" TargetMode="External"/><Relationship Id="rId20" Type="http://schemas.openxmlformats.org/officeDocument/2006/relationships/hyperlink" Target="https://stardewvalleywiki.com/Casino" TargetMode="External"/><Relationship Id="rId22" Type="http://schemas.openxmlformats.org/officeDocument/2006/relationships/hyperlink" Target="https://stardewvalleywiki.com/Slimes" TargetMode="External"/><Relationship Id="rId21" Type="http://schemas.openxmlformats.org/officeDocument/2006/relationships/hyperlink" Target="https://stardewvalleywiki.com/Tiger_Hat" TargetMode="External"/><Relationship Id="rId24" Type="http://schemas.openxmlformats.org/officeDocument/2006/relationships/hyperlink" Target="https://stardewvalleywiki.com/Friendship" TargetMode="External"/><Relationship Id="rId23" Type="http://schemas.openxmlformats.org/officeDocument/2006/relationships/hyperlink" Target="https://stardewvalleywiki.com/Tiara" TargetMode="External"/><Relationship Id="rId409" Type="http://schemas.openxmlformats.org/officeDocument/2006/relationships/hyperlink" Target="https://stardewvalleywiki.com/Milk" TargetMode="External"/><Relationship Id="rId404" Type="http://schemas.openxmlformats.org/officeDocument/2006/relationships/hyperlink" Target="https://stardewvalleywiki.com/Hematite" TargetMode="External"/><Relationship Id="rId403" Type="http://schemas.openxmlformats.org/officeDocument/2006/relationships/hyperlink" Target="https://stardewvalleywiki.com/Coconut" TargetMode="External"/><Relationship Id="rId402" Type="http://schemas.openxmlformats.org/officeDocument/2006/relationships/hyperlink" Target="https://stardewvalleywiki.com/Copper_Ore" TargetMode="External"/><Relationship Id="rId401" Type="http://schemas.openxmlformats.org/officeDocument/2006/relationships/hyperlink" Target="https://stardewvalleywiki.com/Pepper_Poppers" TargetMode="External"/><Relationship Id="rId408" Type="http://schemas.openxmlformats.org/officeDocument/2006/relationships/hyperlink" Target="https://stardewvalleywiki.com/Rice" TargetMode="External"/><Relationship Id="rId407" Type="http://schemas.openxmlformats.org/officeDocument/2006/relationships/hyperlink" Target="https://stardewvalleywiki.com/Pale_Broth" TargetMode="External"/><Relationship Id="rId406" Type="http://schemas.openxmlformats.org/officeDocument/2006/relationships/hyperlink" Target="https://stardewvalleywiki.com/Poppyseed_Muffin" TargetMode="External"/><Relationship Id="rId405" Type="http://schemas.openxmlformats.org/officeDocument/2006/relationships/hyperlink" Target="https://stardewvalleywiki.com/Wheat_Flour" TargetMode="External"/><Relationship Id="rId26" Type="http://schemas.openxmlformats.org/officeDocument/2006/relationships/hyperlink" Target="https://stardewvalleywiki.com/Tailoring" TargetMode="External"/><Relationship Id="rId25" Type="http://schemas.openxmlformats.org/officeDocument/2006/relationships/hyperlink" Target="https://stardewvalleywiki.com/Swashbuckler_Hat" TargetMode="External"/><Relationship Id="rId28" Type="http://schemas.openxmlformats.org/officeDocument/2006/relationships/hyperlink" Target="https://stardewvalleywiki.com/Tailoring" TargetMode="External"/><Relationship Id="rId27" Type="http://schemas.openxmlformats.org/officeDocument/2006/relationships/hyperlink" Target="https://stardewvalleywiki.com/Sunglasses" TargetMode="External"/><Relationship Id="rId400" Type="http://schemas.openxmlformats.org/officeDocument/2006/relationships/hyperlink" Target="https://stardewvalleywiki.com/Sea_Cucumber" TargetMode="External"/><Relationship Id="rId29" Type="http://schemas.openxmlformats.org/officeDocument/2006/relationships/hyperlink" Target="https://stardewvalleywiki.com/Straw_Hat" TargetMode="External"/><Relationship Id="rId11" Type="http://schemas.openxmlformats.org/officeDocument/2006/relationships/hyperlink" Target="https://stardewvalleywiki.com/Tailoring" TargetMode="External"/><Relationship Id="rId10" Type="http://schemas.openxmlformats.org/officeDocument/2006/relationships/hyperlink" Target="https://stardewvalleywiki.com/Warrior_Helmet" TargetMode="External"/><Relationship Id="rId13" Type="http://schemas.openxmlformats.org/officeDocument/2006/relationships/hyperlink" Target="https://stardewvalleywiki.com/Crafting" TargetMode="External"/><Relationship Id="rId12" Type="http://schemas.openxmlformats.org/officeDocument/2006/relationships/hyperlink" Target="https://stardewvalleywiki.com/Trucker_Hat" TargetMode="External"/><Relationship Id="rId15" Type="http://schemas.openxmlformats.org/officeDocument/2006/relationships/hyperlink" Target="https://stardewvalleywiki.com/Tricorn_Hat" TargetMode="External"/><Relationship Id="rId14" Type="http://schemas.openxmlformats.org/officeDocument/2006/relationships/hyperlink" Target="https://stardewvalleywiki.com/Tropiclip" TargetMode="External"/><Relationship Id="rId17" Type="http://schemas.openxmlformats.org/officeDocument/2006/relationships/hyperlink" Target="https://stardewvalleywiki.com/Totem_Mask" TargetMode="External"/><Relationship Id="rId16" Type="http://schemas.openxmlformats.org/officeDocument/2006/relationships/hyperlink" Target="https://stardewvalleywiki.com/Desert_Festival" TargetMode="External"/><Relationship Id="rId19" Type="http://schemas.openxmlformats.org/officeDocument/2006/relationships/hyperlink" Target="https://stardewvalleywiki.com/Top_Hat" TargetMode="External"/><Relationship Id="rId18" Type="http://schemas.openxmlformats.org/officeDocument/2006/relationships/hyperlink" Target="https://stardewvalleywiki.com/Tailoring" TargetMode="External"/><Relationship Id="rId84" Type="http://schemas.openxmlformats.org/officeDocument/2006/relationships/hyperlink" Target="https://stardewvalleywiki.com/Panda_Hat" TargetMode="External"/><Relationship Id="rId83" Type="http://schemas.openxmlformats.org/officeDocument/2006/relationships/hyperlink" Target="https://stardewvalleywiki.com/Ginger_Island" TargetMode="External"/><Relationship Id="rId86" Type="http://schemas.openxmlformats.org/officeDocument/2006/relationships/hyperlink" Target="https://stardewvalleywiki.com/Pageboy_Cap" TargetMode="External"/><Relationship Id="rId85" Type="http://schemas.openxmlformats.org/officeDocument/2006/relationships/hyperlink" Target="https://stardewvalleywiki.com/Hats" TargetMode="External"/><Relationship Id="rId88" Type="http://schemas.openxmlformats.org/officeDocument/2006/relationships/hyperlink" Target="https://stardewvalleywiki.com/Official_Cap" TargetMode="External"/><Relationship Id="rId87" Type="http://schemas.openxmlformats.org/officeDocument/2006/relationships/hyperlink" Target="https://stardewvalleywiki.com/Books" TargetMode="External"/><Relationship Id="rId89" Type="http://schemas.openxmlformats.org/officeDocument/2006/relationships/hyperlink" Target="https://stardewvalleywiki.com/Fish" TargetMode="External"/><Relationship Id="rId80" Type="http://schemas.openxmlformats.org/officeDocument/2006/relationships/hyperlink" Target="https://stardewvalleywiki.com/Party_Hat_(green)" TargetMode="External"/><Relationship Id="rId82" Type="http://schemas.openxmlformats.org/officeDocument/2006/relationships/hyperlink" Target="https://stardewvalleywiki.com/Paper_Hat" TargetMode="External"/><Relationship Id="rId81" Type="http://schemas.openxmlformats.org/officeDocument/2006/relationships/hyperlink" Target="https://stardewvalleywiki.com/Tailoring" TargetMode="External"/><Relationship Id="rId73" Type="http://schemas.openxmlformats.org/officeDocument/2006/relationships/hyperlink" Target="https://stardewvalleywiki.com/Tailoring" TargetMode="External"/><Relationship Id="rId72" Type="http://schemas.openxmlformats.org/officeDocument/2006/relationships/hyperlink" Target="https://stardewvalleywiki.com/Pirate_Hat" TargetMode="External"/><Relationship Id="rId75" Type="http://schemas.openxmlformats.org/officeDocument/2006/relationships/hyperlink" Target="https://stardewvalleywiki.com/Volcano_Dungeon" TargetMode="External"/><Relationship Id="rId74" Type="http://schemas.openxmlformats.org/officeDocument/2006/relationships/hyperlink" Target="https://stardewvalleywiki.com/Pink_Bow" TargetMode="External"/><Relationship Id="rId77" Type="http://schemas.openxmlformats.org/officeDocument/2006/relationships/hyperlink" Target="https://stardewvalleywiki.com/Tailoring" TargetMode="External"/><Relationship Id="rId76" Type="http://schemas.openxmlformats.org/officeDocument/2006/relationships/hyperlink" Target="https://stardewvalleywiki.com/Party_Hat_(red)" TargetMode="External"/><Relationship Id="rId79" Type="http://schemas.openxmlformats.org/officeDocument/2006/relationships/hyperlink" Target="https://stardewvalleywiki.com/Tailoring" TargetMode="External"/><Relationship Id="rId78" Type="http://schemas.openxmlformats.org/officeDocument/2006/relationships/hyperlink" Target="https://stardewvalleywiki.com/Party_Hat_(blue)" TargetMode="External"/><Relationship Id="rId71" Type="http://schemas.openxmlformats.org/officeDocument/2006/relationships/hyperlink" Target="https://stardewvalleywiki.com/Cooking" TargetMode="External"/><Relationship Id="rId70" Type="http://schemas.openxmlformats.org/officeDocument/2006/relationships/hyperlink" Target="https://stardewvalleywiki.com/Plum_Chapeau" TargetMode="External"/><Relationship Id="rId62" Type="http://schemas.openxmlformats.org/officeDocument/2006/relationships/hyperlink" Target="https://stardewvalleywiki.com/Qi_Mask" TargetMode="External"/><Relationship Id="rId61" Type="http://schemas.openxmlformats.org/officeDocument/2006/relationships/hyperlink" Target="https://stardewvalleywiki.com/Giant_Stump" TargetMode="External"/><Relationship Id="rId64" Type="http://schemas.openxmlformats.org/officeDocument/2006/relationships/hyperlink" Target="https://stardewvalleywiki.com/Pumpkin_Mask" TargetMode="External"/><Relationship Id="rId63" Type="http://schemas.openxmlformats.org/officeDocument/2006/relationships/hyperlink" Target="https://stardewvalleywiki.com/Tailoring" TargetMode="External"/><Relationship Id="rId66" Type="http://schemas.openxmlformats.org/officeDocument/2006/relationships/hyperlink" Target="https://stardewvalleywiki.com/Propeller_Hat" TargetMode="External"/><Relationship Id="rId65" Type="http://schemas.openxmlformats.org/officeDocument/2006/relationships/hyperlink" Target="https://stardewvalleywiki.com/Tailoring" TargetMode="External"/><Relationship Id="rId68" Type="http://schemas.openxmlformats.org/officeDocument/2006/relationships/hyperlink" Target="https://stardewvalleywiki.com/Polka_Bow" TargetMode="External"/><Relationship Id="rId67" Type="http://schemas.openxmlformats.org/officeDocument/2006/relationships/hyperlink" Target="https://stardewvalleywiki.com/Tailoring" TargetMode="External"/><Relationship Id="rId60" Type="http://schemas.openxmlformats.org/officeDocument/2006/relationships/hyperlink" Target="https://stardewvalleywiki.com/Raccoon_Hat" TargetMode="External"/><Relationship Id="rId69" Type="http://schemas.openxmlformats.org/officeDocument/2006/relationships/hyperlink" Target="https://stardewvalleywiki.com/Quests" TargetMode="External"/><Relationship Id="rId51" Type="http://schemas.openxmlformats.org/officeDocument/2006/relationships/hyperlink" Target="https://stardewvalleywiki.com/Friendship" TargetMode="External"/><Relationship Id="rId50" Type="http://schemas.openxmlformats.org/officeDocument/2006/relationships/hyperlink" Target="https://stardewvalleywiki.com/Adventurer%27s_Guild" TargetMode="External"/><Relationship Id="rId53" Type="http://schemas.openxmlformats.org/officeDocument/2006/relationships/hyperlink" Target="https://stardewvalleywiki.com/Festival_of_Ice" TargetMode="External"/><Relationship Id="rId52" Type="http://schemas.openxmlformats.org/officeDocument/2006/relationships/hyperlink" Target="https://stardewvalleywiki.com/Sailor%27s_Cap" TargetMode="External"/><Relationship Id="rId55" Type="http://schemas.openxmlformats.org/officeDocument/2006/relationships/hyperlink" Target="https://stardewvalleywiki.com/Traveling_Cart" TargetMode="External"/><Relationship Id="rId54" Type="http://schemas.openxmlformats.org/officeDocument/2006/relationships/hyperlink" Target="https://stardewvalleywiki.com/Red_Fez" TargetMode="External"/><Relationship Id="rId57" Type="http://schemas.openxmlformats.org/officeDocument/2006/relationships/hyperlink" Target="https://stardewvalleywiki.com/Skull_Cavern" TargetMode="External"/><Relationship Id="rId56" Type="http://schemas.openxmlformats.org/officeDocument/2006/relationships/hyperlink" Target="https://stardewvalleywiki.com/Red_Cowboy_Hat" TargetMode="External"/><Relationship Id="rId59" Type="http://schemas.openxmlformats.org/officeDocument/2006/relationships/hyperlink" Target="https://stardewvalleywiki.com/Tailoring" TargetMode="External"/><Relationship Id="rId58" Type="http://schemas.openxmlformats.org/officeDocument/2006/relationships/hyperlink" Target="https://stardewvalleywiki.com/Radioactive_Goggles" TargetMode="External"/><Relationship Id="rId107" Type="http://schemas.openxmlformats.org/officeDocument/2006/relationships/hyperlink" Target="https://stardewvalleywiki.com/Living_Hat" TargetMode="External"/><Relationship Id="rId228" Type="http://schemas.openxmlformats.org/officeDocument/2006/relationships/hyperlink" Target="https://stardewvalleywiki.com/Arcane_Hat" TargetMode="External"/><Relationship Id="rId349" Type="http://schemas.openxmlformats.org/officeDocument/2006/relationships/hyperlink" Target="https://stardewvalleywiki.com/Coffee" TargetMode="External"/><Relationship Id="rId106" Type="http://schemas.openxmlformats.org/officeDocument/2006/relationships/hyperlink" Target="https://stardewvalleywiki.com/Tailoring" TargetMode="External"/><Relationship Id="rId227" Type="http://schemas.openxmlformats.org/officeDocument/2006/relationships/hyperlink" Target="https://stardewvalleywiki.com/Cooking" TargetMode="External"/><Relationship Id="rId348" Type="http://schemas.openxmlformats.org/officeDocument/2006/relationships/hyperlink" Target="https://stardewvalleywiki.com/Roe" TargetMode="External"/><Relationship Id="rId105" Type="http://schemas.openxmlformats.org/officeDocument/2006/relationships/hyperlink" Target="https://stardewvalleywiki.com/Logo_Cap" TargetMode="External"/><Relationship Id="rId226" Type="http://schemas.openxmlformats.org/officeDocument/2006/relationships/hyperlink" Target="https://stardewvalleywiki.com/Archer%27s_Cap" TargetMode="External"/><Relationship Id="rId347" Type="http://schemas.openxmlformats.org/officeDocument/2006/relationships/hyperlink" Target="https://stardewvalleywiki.com/Wool" TargetMode="External"/><Relationship Id="rId104" Type="http://schemas.openxmlformats.org/officeDocument/2006/relationships/hyperlink" Target="https://stardewvalleywiki.com/Lucky_Bow" TargetMode="External"/><Relationship Id="rId225" Type="http://schemas.openxmlformats.org/officeDocument/2006/relationships/hyperlink" Target="https://stardewvalleywiki.com/Tailoring" TargetMode="External"/><Relationship Id="rId346" Type="http://schemas.openxmlformats.org/officeDocument/2006/relationships/hyperlink" Target="https://stardewvalleywiki.com/Egg" TargetMode="External"/><Relationship Id="rId109" Type="http://schemas.openxmlformats.org/officeDocument/2006/relationships/hyperlink" Target="https://stardewvalleywiki.com/Leprechaun_Hat" TargetMode="External"/><Relationship Id="rId108" Type="http://schemas.openxmlformats.org/officeDocument/2006/relationships/hyperlink" Target="https://stardewvalleywiki.com/Weeds" TargetMode="External"/><Relationship Id="rId229" Type="http://schemas.openxmlformats.org/officeDocument/2006/relationships/hyperlink" Target="https://stardewvalleywiki.com/Adventurer%27s_Guild" TargetMode="External"/><Relationship Id="rId220" Type="http://schemas.openxmlformats.org/officeDocument/2006/relationships/hyperlink" Target="https://stardewvalleywiki.com/Blue_Bonnet" TargetMode="External"/><Relationship Id="rId341" Type="http://schemas.openxmlformats.org/officeDocument/2006/relationships/hyperlink" Target="https://stardewvalleywiki.com/Omni_Geode" TargetMode="External"/><Relationship Id="rId340" Type="http://schemas.openxmlformats.org/officeDocument/2006/relationships/hyperlink" Target="https://stardewvalleywiki.com/Oil" TargetMode="External"/><Relationship Id="rId103" Type="http://schemas.openxmlformats.org/officeDocument/2006/relationships/hyperlink" Target="https://stardewvalleywiki.com/Desert_Trader" TargetMode="External"/><Relationship Id="rId224" Type="http://schemas.openxmlformats.org/officeDocument/2006/relationships/hyperlink" Target="https://stardewvalleywiki.com/Beanie" TargetMode="External"/><Relationship Id="rId345" Type="http://schemas.openxmlformats.org/officeDocument/2006/relationships/hyperlink" Target="https://stardewvalleywiki.com/Bug_Meat" TargetMode="External"/><Relationship Id="rId102" Type="http://schemas.openxmlformats.org/officeDocument/2006/relationships/hyperlink" Target="https://stardewvalleywiki.com/Magic_Cowboy_Hat" TargetMode="External"/><Relationship Id="rId223" Type="http://schemas.openxmlformats.org/officeDocument/2006/relationships/hyperlink" Target="https://stardewvalleywiki.com/Tailoring" TargetMode="External"/><Relationship Id="rId344" Type="http://schemas.openxmlformats.org/officeDocument/2006/relationships/hyperlink" Target="https://stardewvalleywiki.com/Chanterelle" TargetMode="External"/><Relationship Id="rId101" Type="http://schemas.openxmlformats.org/officeDocument/2006/relationships/hyperlink" Target="https://stardewvalleywiki.com/Desert_Trader" TargetMode="External"/><Relationship Id="rId222" Type="http://schemas.openxmlformats.org/officeDocument/2006/relationships/hyperlink" Target="https://stardewvalleywiki.com/Blobfish_Mask" TargetMode="External"/><Relationship Id="rId343" Type="http://schemas.openxmlformats.org/officeDocument/2006/relationships/hyperlink" Target="https://stardewvalleywiki.com/Vinegar" TargetMode="External"/><Relationship Id="rId100" Type="http://schemas.openxmlformats.org/officeDocument/2006/relationships/hyperlink" Target="https://stardewvalleywiki.com/Magic_Turban" TargetMode="External"/><Relationship Id="rId221" Type="http://schemas.openxmlformats.org/officeDocument/2006/relationships/hyperlink" Target="https://stardewvalleywiki.com/Museum" TargetMode="External"/><Relationship Id="rId342" Type="http://schemas.openxmlformats.org/officeDocument/2006/relationships/hyperlink" Target="https://stardewvalleywiki.com/Winter_Root" TargetMode="External"/><Relationship Id="rId217" Type="http://schemas.openxmlformats.org/officeDocument/2006/relationships/hyperlink" Target="https://stardewvalleywiki.com/Skull_Cavern" TargetMode="External"/><Relationship Id="rId338" Type="http://schemas.openxmlformats.org/officeDocument/2006/relationships/hyperlink" Target="https://stardewvalleywiki.com/Ocean_Stone" TargetMode="External"/><Relationship Id="rId216" Type="http://schemas.openxmlformats.org/officeDocument/2006/relationships/hyperlink" Target="https://stardewvalleywiki.com/Blue_Cowboy_Hat" TargetMode="External"/><Relationship Id="rId337" Type="http://schemas.openxmlformats.org/officeDocument/2006/relationships/hyperlink" Target="https://stardewvalleywiki.com/Tom_Kha_Soup" TargetMode="External"/><Relationship Id="rId215" Type="http://schemas.openxmlformats.org/officeDocument/2006/relationships/hyperlink" Target="https://stardewvalleywiki.com/Stardew_Valley_Fair" TargetMode="External"/><Relationship Id="rId336" Type="http://schemas.openxmlformats.org/officeDocument/2006/relationships/hyperlink" Target="https://stardewvalleywiki.com/Blueberry_Tart" TargetMode="External"/><Relationship Id="rId214" Type="http://schemas.openxmlformats.org/officeDocument/2006/relationships/hyperlink" Target="https://stardewvalleywiki.com/Blue_Ribbon" TargetMode="External"/><Relationship Id="rId335" Type="http://schemas.openxmlformats.org/officeDocument/2006/relationships/hyperlink" Target="https://stardewvalleywiki.com/Morel" TargetMode="External"/><Relationship Id="rId219" Type="http://schemas.openxmlformats.org/officeDocument/2006/relationships/hyperlink" Target="https://stardewvalleywiki.com/Desert_Festival" TargetMode="External"/><Relationship Id="rId218" Type="http://schemas.openxmlformats.org/officeDocument/2006/relationships/hyperlink" Target="https://stardewvalleywiki.com/Blue_Bow" TargetMode="External"/><Relationship Id="rId339" Type="http://schemas.openxmlformats.org/officeDocument/2006/relationships/hyperlink" Target="https://stardewvalleywiki.com/Glass_Shards" TargetMode="External"/><Relationship Id="rId330" Type="http://schemas.openxmlformats.org/officeDocument/2006/relationships/hyperlink" Target="https://stardewvalleywiki.com/Magic_Rock_Candy" TargetMode="External"/><Relationship Id="rId213" Type="http://schemas.openxmlformats.org/officeDocument/2006/relationships/hyperlink" Target="https://stardewvalleywiki.com/Island_Trader" TargetMode="External"/><Relationship Id="rId334" Type="http://schemas.openxmlformats.org/officeDocument/2006/relationships/hyperlink" Target="https://stardewvalleywiki.com/Dandelion" TargetMode="External"/><Relationship Id="rId212" Type="http://schemas.openxmlformats.org/officeDocument/2006/relationships/hyperlink" Target="https://stardewvalleywiki.com/Bluebird_Mask" TargetMode="External"/><Relationship Id="rId333" Type="http://schemas.openxmlformats.org/officeDocument/2006/relationships/hyperlink" Target="https://stardewvalleywiki.com/Seafoam_Pudding" TargetMode="External"/><Relationship Id="rId211" Type="http://schemas.openxmlformats.org/officeDocument/2006/relationships/hyperlink" Target="https://stardewvalleywiki.com/Bowler_Hat" TargetMode="External"/><Relationship Id="rId332" Type="http://schemas.openxmlformats.org/officeDocument/2006/relationships/hyperlink" Target="https://stardewvalleywiki.com/Squid_Ink" TargetMode="External"/><Relationship Id="rId210" Type="http://schemas.openxmlformats.org/officeDocument/2006/relationships/hyperlink" Target="https://stardewvalleywiki.com/Tailoring" TargetMode="External"/><Relationship Id="rId331" Type="http://schemas.openxmlformats.org/officeDocument/2006/relationships/hyperlink" Target="https://stardewvalleywiki.com/Vegetable_Medley" TargetMode="External"/><Relationship Id="rId370" Type="http://schemas.openxmlformats.org/officeDocument/2006/relationships/hyperlink" Target="https://stardewvalleywiki.com/Radish_Salad" TargetMode="External"/><Relationship Id="rId129" Type="http://schemas.openxmlformats.org/officeDocument/2006/relationships/hyperlink" Target="https://stardewvalleywiki.com/Tailoring" TargetMode="External"/><Relationship Id="rId128" Type="http://schemas.openxmlformats.org/officeDocument/2006/relationships/hyperlink" Target="https://stardewvalleywiki.com/Hair_Bone" TargetMode="External"/><Relationship Id="rId249" Type="http://schemas.openxmlformats.org/officeDocument/2006/relationships/hyperlink" Target="https://stardewvalleywiki.com/Bone_Flute" TargetMode="External"/><Relationship Id="rId127" Type="http://schemas.openxmlformats.org/officeDocument/2006/relationships/hyperlink" Target="https://stardewvalleywiki.com/Adventurer%27s_Guild" TargetMode="External"/><Relationship Id="rId248" Type="http://schemas.openxmlformats.org/officeDocument/2006/relationships/hyperlink" Target="https://stardewvalleywiki.com/Frozen_Geode" TargetMode="External"/><Relationship Id="rId369" Type="http://schemas.openxmlformats.org/officeDocument/2006/relationships/hyperlink" Target="https://stardewvalleywiki.com/Shrimp_Cocktail" TargetMode="External"/><Relationship Id="rId126" Type="http://schemas.openxmlformats.org/officeDocument/2006/relationships/hyperlink" Target="https://stardewvalleywiki.com/Hard_Hat" TargetMode="External"/><Relationship Id="rId247" Type="http://schemas.openxmlformats.org/officeDocument/2006/relationships/hyperlink" Target="https://stardewvalleywiki.com/Octopus" TargetMode="External"/><Relationship Id="rId368" Type="http://schemas.openxmlformats.org/officeDocument/2006/relationships/hyperlink" Target="https://stardewvalleywiki.com/Plum_Pudding" TargetMode="External"/><Relationship Id="rId121" Type="http://schemas.openxmlformats.org/officeDocument/2006/relationships/hyperlink" Target="https://stardewvalleywiki.com/Iridium_Pan_(hat)" TargetMode="External"/><Relationship Id="rId242" Type="http://schemas.openxmlformats.org/officeDocument/2006/relationships/hyperlink" Target="https://stardewvalleywiki.com/Fiber" TargetMode="External"/><Relationship Id="rId363" Type="http://schemas.openxmlformats.org/officeDocument/2006/relationships/hyperlink" Target="https://stardewvalleywiki.com/Spaghetti" TargetMode="External"/><Relationship Id="rId120" Type="http://schemas.openxmlformats.org/officeDocument/2006/relationships/hyperlink" Target="https://stardewvalleywiki.com/Movie_Theater" TargetMode="External"/><Relationship Id="rId241" Type="http://schemas.openxmlformats.org/officeDocument/2006/relationships/hyperlink" Target="https://stardewvalleywiki.com/Tailoring" TargetMode="External"/><Relationship Id="rId362" Type="http://schemas.openxmlformats.org/officeDocument/2006/relationships/hyperlink" Target="https://stardewvalleywiki.com/Rusty_Spoon" TargetMode="External"/><Relationship Id="rId240" Type="http://schemas.openxmlformats.org/officeDocument/2006/relationships/hyperlink" Target="https://stardewvalleywiki.com/Fluorapatite" TargetMode="External"/><Relationship Id="rId361" Type="http://schemas.openxmlformats.org/officeDocument/2006/relationships/hyperlink" Target="https://stardewvalleywiki.com/Ice_Cream" TargetMode="External"/><Relationship Id="rId360" Type="http://schemas.openxmlformats.org/officeDocument/2006/relationships/hyperlink" Target="https://stardewvalleywiki.com/Golden_Relic" TargetMode="External"/><Relationship Id="rId125" Type="http://schemas.openxmlformats.org/officeDocument/2006/relationships/hyperlink" Target="https://stardewvalleywiki.com/Hunter%27s_Cap" TargetMode="External"/><Relationship Id="rId246" Type="http://schemas.openxmlformats.org/officeDocument/2006/relationships/hyperlink" Target="https://stardewvalleywiki.com/Fiddlehead_Risotto" TargetMode="External"/><Relationship Id="rId367" Type="http://schemas.openxmlformats.org/officeDocument/2006/relationships/hyperlink" Target="https://stardewvalleywiki.com/Orpiment" TargetMode="External"/><Relationship Id="rId124" Type="http://schemas.openxmlformats.org/officeDocument/2006/relationships/hyperlink" Target="https://stardewvalleywiki.com/Infinity_Blade" TargetMode="External"/><Relationship Id="rId245" Type="http://schemas.openxmlformats.org/officeDocument/2006/relationships/hyperlink" Target="https://stardewvalleywiki.com/Beer" TargetMode="External"/><Relationship Id="rId366" Type="http://schemas.openxmlformats.org/officeDocument/2006/relationships/hyperlink" Target="https://stardewvalleywiki.com/Dish_O%27_The_Sea" TargetMode="External"/><Relationship Id="rId123" Type="http://schemas.openxmlformats.org/officeDocument/2006/relationships/hyperlink" Target="https://stardewvalleywiki.com/Infinity_Crown" TargetMode="External"/><Relationship Id="rId244" Type="http://schemas.openxmlformats.org/officeDocument/2006/relationships/hyperlink" Target="https://stardewvalleywiki.com/Rainbow_Shell" TargetMode="External"/><Relationship Id="rId365" Type="http://schemas.openxmlformats.org/officeDocument/2006/relationships/hyperlink" Target="https://stardewvalleywiki.com/Bruschetta" TargetMode="External"/><Relationship Id="rId122" Type="http://schemas.openxmlformats.org/officeDocument/2006/relationships/hyperlink" Target="https://stardewvalleywiki.com/Pans" TargetMode="External"/><Relationship Id="rId243" Type="http://schemas.openxmlformats.org/officeDocument/2006/relationships/hyperlink" Target="https://stardewvalleywiki.com/Autumn%27s_Bounty" TargetMode="External"/><Relationship Id="rId364" Type="http://schemas.openxmlformats.org/officeDocument/2006/relationships/hyperlink" Target="https://stardewvalleywiki.com/Carrot" TargetMode="External"/><Relationship Id="rId95" Type="http://schemas.openxmlformats.org/officeDocument/2006/relationships/hyperlink" Target="https://stardewvalleywiki.com/Desert_Festival" TargetMode="External"/><Relationship Id="rId94" Type="http://schemas.openxmlformats.org/officeDocument/2006/relationships/hyperlink" Target="https://stardewvalleywiki.com/Mummy_Mask" TargetMode="External"/><Relationship Id="rId97" Type="http://schemas.openxmlformats.org/officeDocument/2006/relationships/hyperlink" Target="https://stardewvalleywiki.com/Qi%27s_Walnut_Room" TargetMode="External"/><Relationship Id="rId96" Type="http://schemas.openxmlformats.org/officeDocument/2006/relationships/hyperlink" Target="https://stardewvalleywiki.com/Mr._Qi%27s_Hat" TargetMode="External"/><Relationship Id="rId99" Type="http://schemas.openxmlformats.org/officeDocument/2006/relationships/hyperlink" Target="https://stardewvalleywiki.com/Friendship" TargetMode="External"/><Relationship Id="rId98" Type="http://schemas.openxmlformats.org/officeDocument/2006/relationships/hyperlink" Target="https://stardewvalleywiki.com/Mouse_Ears" TargetMode="External"/><Relationship Id="rId91" Type="http://schemas.openxmlformats.org/officeDocument/2006/relationships/hyperlink" Target="https://stardewvalleywiki.com/Mystery_Box" TargetMode="External"/><Relationship Id="rId90" Type="http://schemas.openxmlformats.org/officeDocument/2006/relationships/hyperlink" Target="https://stardewvalleywiki.com/Mystery_Hat" TargetMode="External"/><Relationship Id="rId93" Type="http://schemas.openxmlformats.org/officeDocument/2006/relationships/hyperlink" Target="https://stardewvalleywiki.com/Mushroom_Tree" TargetMode="External"/><Relationship Id="rId92" Type="http://schemas.openxmlformats.org/officeDocument/2006/relationships/hyperlink" Target="https://stardewvalleywiki.com/Mushroom_Cap" TargetMode="External"/><Relationship Id="rId118" Type="http://schemas.openxmlformats.org/officeDocument/2006/relationships/hyperlink" Target="https://stardewvalleywiki.com/Desert_Festival" TargetMode="External"/><Relationship Id="rId239" Type="http://schemas.openxmlformats.org/officeDocument/2006/relationships/hyperlink" Target="https://stardewvalleywiki.com/Kyanite" TargetMode="External"/><Relationship Id="rId117" Type="http://schemas.openxmlformats.org/officeDocument/2006/relationships/hyperlink" Target="https://stardewvalleywiki.com/Joja_Cap" TargetMode="External"/><Relationship Id="rId238" Type="http://schemas.openxmlformats.org/officeDocument/2006/relationships/hyperlink" Target="https://stardewvalleywiki.com/Jasper" TargetMode="External"/><Relationship Id="rId359" Type="http://schemas.openxmlformats.org/officeDocument/2006/relationships/hyperlink" Target="https://stardewvalleywiki.com/Ancient_Drum" TargetMode="External"/><Relationship Id="rId116" Type="http://schemas.openxmlformats.org/officeDocument/2006/relationships/hyperlink" Target="https://stardewvalleywiki.com/The_Summit" TargetMode="External"/><Relationship Id="rId237" Type="http://schemas.openxmlformats.org/officeDocument/2006/relationships/hyperlink" Target="https://stardewvalleywiki.com/Banana_Pudding" TargetMode="External"/><Relationship Id="rId358" Type="http://schemas.openxmlformats.org/officeDocument/2006/relationships/hyperlink" Target="https://stardewvalleywiki.com/Red_Plate" TargetMode="External"/><Relationship Id="rId115" Type="http://schemas.openxmlformats.org/officeDocument/2006/relationships/hyperlink" Target="https://stardewvalleywiki.com/Junimo_Hat" TargetMode="External"/><Relationship Id="rId236" Type="http://schemas.openxmlformats.org/officeDocument/2006/relationships/hyperlink" Target="https://stardewvalleywiki.com/Duck_Mayonnaise" TargetMode="External"/><Relationship Id="rId357" Type="http://schemas.openxmlformats.org/officeDocument/2006/relationships/hyperlink" Target="https://stardewvalleywiki.com/Cranberry_Candy" TargetMode="External"/><Relationship Id="rId119" Type="http://schemas.openxmlformats.org/officeDocument/2006/relationships/hyperlink" Target="https://stardewvalleywiki.com/Jester_Hat" TargetMode="External"/><Relationship Id="rId110" Type="http://schemas.openxmlformats.org/officeDocument/2006/relationships/hyperlink" Target="https://stardewvalleywiki.com/Abandoned_House" TargetMode="External"/><Relationship Id="rId231" Type="http://schemas.openxmlformats.org/officeDocument/2006/relationships/hyperlink" Target="https://stardewvalleywiki.com/Desert_Festival" TargetMode="External"/><Relationship Id="rId352" Type="http://schemas.openxmlformats.org/officeDocument/2006/relationships/hyperlink" Target="https://stardewvalleywiki.com/Prismatic_Shard" TargetMode="External"/><Relationship Id="rId230" Type="http://schemas.openxmlformats.org/officeDocument/2006/relationships/hyperlink" Target="https://stardewvalleywiki.com/Abigail%27s_Bow" TargetMode="External"/><Relationship Id="rId351" Type="http://schemas.openxmlformats.org/officeDocument/2006/relationships/hyperlink" Target="https://stardewvalleywiki.com/Prismatic_Shard" TargetMode="External"/><Relationship Id="rId350" Type="http://schemas.openxmlformats.org/officeDocument/2006/relationships/hyperlink" Target="https://stardewvalleywiki.com/Prismatic_Shard" TargetMode="External"/><Relationship Id="rId114" Type="http://schemas.openxmlformats.org/officeDocument/2006/relationships/hyperlink" Target="https://stardewvalleywiki.com/Adventurer%27s_Guild" TargetMode="External"/><Relationship Id="rId235" Type="http://schemas.openxmlformats.org/officeDocument/2006/relationships/hyperlink" Target="https://stardewvalleywiki.com/Chipped_Amphora" TargetMode="External"/><Relationship Id="rId356" Type="http://schemas.openxmlformats.org/officeDocument/2006/relationships/hyperlink" Target="https://stardewvalleywiki.com/Magma_Geode" TargetMode="External"/><Relationship Id="rId113" Type="http://schemas.openxmlformats.org/officeDocument/2006/relationships/hyperlink" Target="https://stardewvalleywiki.com/Knight%27s_Helmet" TargetMode="External"/><Relationship Id="rId234" Type="http://schemas.openxmlformats.org/officeDocument/2006/relationships/hyperlink" Target="https://stardewvalleywiki.com/Cactus_Fruit" TargetMode="External"/><Relationship Id="rId355" Type="http://schemas.openxmlformats.org/officeDocument/2006/relationships/hyperlink" Target="https://stardewvalleywiki.com/Hashbrowns" TargetMode="External"/><Relationship Id="rId112" Type="http://schemas.openxmlformats.org/officeDocument/2006/relationships/hyperlink" Target="https://stardewvalleywiki.com/Desert_Festival" TargetMode="External"/><Relationship Id="rId233" Type="http://schemas.openxmlformats.org/officeDocument/2006/relationships/hyperlink" Target="https://stardewvalleywiki.com/Forge" TargetMode="External"/><Relationship Id="rId354" Type="http://schemas.openxmlformats.org/officeDocument/2006/relationships/hyperlink" Target="https://stardewvalleywiki.com/Trout_Soup" TargetMode="External"/><Relationship Id="rId111" Type="http://schemas.openxmlformats.org/officeDocument/2006/relationships/hyperlink" Target="https://stardewvalleywiki.com/Laurel_Wreath_Crown" TargetMode="External"/><Relationship Id="rId232" Type="http://schemas.openxmlformats.org/officeDocument/2006/relationships/hyperlink" Target="https://stardewvalleywiki.com/%3F%3F%3F_(hat)" TargetMode="External"/><Relationship Id="rId353" Type="http://schemas.openxmlformats.org/officeDocument/2006/relationships/hyperlink" Target="https://stardewvalleywiki.com/Crayfish" TargetMode="External"/><Relationship Id="rId305" Type="http://schemas.openxmlformats.org/officeDocument/2006/relationships/hyperlink" Target="https://stardewvalleywiki.com/Fiddlehead_Fern" TargetMode="External"/><Relationship Id="rId426" Type="http://schemas.openxmlformats.org/officeDocument/2006/relationships/hyperlink" Target="https://stardewvalleywiki.com/Prismatic_Shard" TargetMode="External"/><Relationship Id="rId304" Type="http://schemas.openxmlformats.org/officeDocument/2006/relationships/hyperlink" Target="https://stardewvalleywiki.com/Super_Meal" TargetMode="External"/><Relationship Id="rId425" Type="http://schemas.openxmlformats.org/officeDocument/2006/relationships/hyperlink" Target="https://stardewvalleywiki.com/Orange" TargetMode="External"/><Relationship Id="rId303" Type="http://schemas.openxmlformats.org/officeDocument/2006/relationships/hyperlink" Target="https://stardewvalleywiki.com/Rhubarb" TargetMode="External"/><Relationship Id="rId424" Type="http://schemas.openxmlformats.org/officeDocument/2006/relationships/hyperlink" Target="https://stardewvalleywiki.com/Apple" TargetMode="External"/><Relationship Id="rId302" Type="http://schemas.openxmlformats.org/officeDocument/2006/relationships/hyperlink" Target="https://stardewvalleywiki.com/Malachite" TargetMode="External"/><Relationship Id="rId423" Type="http://schemas.openxmlformats.org/officeDocument/2006/relationships/hyperlink" Target="https://stardewvalleywiki.com/Honey" TargetMode="External"/><Relationship Id="rId309" Type="http://schemas.openxmlformats.org/officeDocument/2006/relationships/hyperlink" Target="https://stardewvalleywiki.com/Lemon_Stone" TargetMode="External"/><Relationship Id="rId308" Type="http://schemas.openxmlformats.org/officeDocument/2006/relationships/hyperlink" Target="https://stardewvalleywiki.com/Bean_Hotpot" TargetMode="External"/><Relationship Id="rId307" Type="http://schemas.openxmlformats.org/officeDocument/2006/relationships/hyperlink" Target="https://stardewvalleywiki.com/Ancient_Sword" TargetMode="External"/><Relationship Id="rId428" Type="http://schemas.openxmlformats.org/officeDocument/2006/relationships/drawing" Target="../drawings/drawing7.xml"/><Relationship Id="rId306" Type="http://schemas.openxmlformats.org/officeDocument/2006/relationships/hyperlink" Target="https://stardewvalleywiki.com/Jamborite" TargetMode="External"/><Relationship Id="rId427" Type="http://schemas.openxmlformats.org/officeDocument/2006/relationships/hyperlink" Target="https://stardewvalleywiki.com/Prismatic_Shard" TargetMode="External"/><Relationship Id="rId301" Type="http://schemas.openxmlformats.org/officeDocument/2006/relationships/hyperlink" Target="https://stardewvalleywiki.com/Cave_Carrot" TargetMode="External"/><Relationship Id="rId422" Type="http://schemas.openxmlformats.org/officeDocument/2006/relationships/hyperlink" Target="https://stardewvalleywiki.com/Slime_Egg" TargetMode="External"/><Relationship Id="rId300" Type="http://schemas.openxmlformats.org/officeDocument/2006/relationships/hyperlink" Target="https://stardewvalleywiki.com/Quartz" TargetMode="External"/><Relationship Id="rId421" Type="http://schemas.openxmlformats.org/officeDocument/2006/relationships/hyperlink" Target="https://stardewvalleywiki.com/Ancient_Fruit" TargetMode="External"/><Relationship Id="rId420" Type="http://schemas.openxmlformats.org/officeDocument/2006/relationships/hyperlink" Target="https://stardewvalleywiki.com/Hay" TargetMode="External"/><Relationship Id="rId415" Type="http://schemas.openxmlformats.org/officeDocument/2006/relationships/hyperlink" Target="https://stardewvalleywiki.com/Blueberry" TargetMode="External"/><Relationship Id="rId414" Type="http://schemas.openxmlformats.org/officeDocument/2006/relationships/hyperlink" Target="https://stardewvalleywiki.com/Cranberries" TargetMode="External"/><Relationship Id="rId413" Type="http://schemas.openxmlformats.org/officeDocument/2006/relationships/hyperlink" Target="https://stardewvalleywiki.com/Mango_Sticky_Rice" TargetMode="External"/><Relationship Id="rId412" Type="http://schemas.openxmlformats.org/officeDocument/2006/relationships/hyperlink" Target="https://stardewvalleywiki.com/Omelet" TargetMode="External"/><Relationship Id="rId419" Type="http://schemas.openxmlformats.org/officeDocument/2006/relationships/hyperlink" Target="https://stardewvalleywiki.com/Dinosaur_Mayonnaise" TargetMode="External"/><Relationship Id="rId418" Type="http://schemas.openxmlformats.org/officeDocument/2006/relationships/hyperlink" Target="https://stardewvalleywiki.com/Poppy" TargetMode="External"/><Relationship Id="rId417" Type="http://schemas.openxmlformats.org/officeDocument/2006/relationships/hyperlink" Target="https://stardewvalleywiki.com/Blue_Jazz" TargetMode="External"/><Relationship Id="rId416" Type="http://schemas.openxmlformats.org/officeDocument/2006/relationships/hyperlink" Target="https://stardewvalleywiki.com/Fairy_Rose" TargetMode="External"/><Relationship Id="rId411" Type="http://schemas.openxmlformats.org/officeDocument/2006/relationships/hyperlink" Target="https://stardewvalleywiki.com/Strange_Doll_(green)" TargetMode="External"/><Relationship Id="rId410" Type="http://schemas.openxmlformats.org/officeDocument/2006/relationships/hyperlink" Target="https://stardewvalleywiki.com/Stone" TargetMode="External"/><Relationship Id="rId206" Type="http://schemas.openxmlformats.org/officeDocument/2006/relationships/hyperlink" Target="https://stardewvalleywiki.com/Friendship" TargetMode="External"/><Relationship Id="rId327" Type="http://schemas.openxmlformats.org/officeDocument/2006/relationships/hyperlink" Target="https://stardewvalleywiki.com/Duck_Feather" TargetMode="External"/><Relationship Id="rId205" Type="http://schemas.openxmlformats.org/officeDocument/2006/relationships/hyperlink" Target="https://stardewvalleywiki.com/Butterfly_Bow" TargetMode="External"/><Relationship Id="rId326" Type="http://schemas.openxmlformats.org/officeDocument/2006/relationships/hyperlink" Target="https://stardewvalleywiki.com/Rice_Pudding" TargetMode="External"/><Relationship Id="rId204" Type="http://schemas.openxmlformats.org/officeDocument/2006/relationships/hyperlink" Target="https://stardewvalleywiki.com/Friendship" TargetMode="External"/><Relationship Id="rId325" Type="http://schemas.openxmlformats.org/officeDocument/2006/relationships/hyperlink" Target="https://stardewvalleywiki.com/Mayonnaise" TargetMode="External"/><Relationship Id="rId203" Type="http://schemas.openxmlformats.org/officeDocument/2006/relationships/hyperlink" Target="https://stardewvalleywiki.com/Cat_Ears" TargetMode="External"/><Relationship Id="rId324" Type="http://schemas.openxmlformats.org/officeDocument/2006/relationships/hyperlink" Target="https://stardewvalleywiki.com/Harvey%27s_Clinic" TargetMode="External"/><Relationship Id="rId209" Type="http://schemas.openxmlformats.org/officeDocument/2006/relationships/hyperlink" Target="https://stardewvalleywiki.com/Bridal_Veil" TargetMode="External"/><Relationship Id="rId208" Type="http://schemas.openxmlformats.org/officeDocument/2006/relationships/hyperlink" Target="https://stardewvalleywiki.com/Trout_Derby" TargetMode="External"/><Relationship Id="rId329" Type="http://schemas.openxmlformats.org/officeDocument/2006/relationships/hyperlink" Target="https://stardewvalleywiki.com/Magma_Cap" TargetMode="External"/><Relationship Id="rId207" Type="http://schemas.openxmlformats.org/officeDocument/2006/relationships/hyperlink" Target="https://stardewvalleywiki.com/Bucket_Hat" TargetMode="External"/><Relationship Id="rId328" Type="http://schemas.openxmlformats.org/officeDocument/2006/relationships/hyperlink" Target="https://stardewvalleywiki.com/Leek" TargetMode="External"/><Relationship Id="rId202" Type="http://schemas.openxmlformats.org/officeDocument/2006/relationships/hyperlink" Target="https://stardewvalleywiki.com/Cooking" TargetMode="External"/><Relationship Id="rId323" Type="http://schemas.openxmlformats.org/officeDocument/2006/relationships/hyperlink" Target="https://stardewvalleywiki.com/Jagoite" TargetMode="External"/><Relationship Id="rId201" Type="http://schemas.openxmlformats.org/officeDocument/2006/relationships/hyperlink" Target="https://stardewvalleywiki.com/Chef_Hat" TargetMode="External"/><Relationship Id="rId322" Type="http://schemas.openxmlformats.org/officeDocument/2006/relationships/hyperlink" Target="https://stardewvalleywiki.com/Seaweed" TargetMode="External"/><Relationship Id="rId200" Type="http://schemas.openxmlformats.org/officeDocument/2006/relationships/hyperlink" Target="https://stardewvalleywiki.com/Quests" TargetMode="External"/><Relationship Id="rId321" Type="http://schemas.openxmlformats.org/officeDocument/2006/relationships/hyperlink" Target="https://stardewvalleywiki.com/Elvish_Jewelry" TargetMode="External"/><Relationship Id="rId320" Type="http://schemas.openxmlformats.org/officeDocument/2006/relationships/hyperlink" Target="https://stardewvalleywiki.com/Pyrite" TargetMode="External"/><Relationship Id="rId316" Type="http://schemas.openxmlformats.org/officeDocument/2006/relationships/hyperlink" Target="https://stardewvalleywiki.com/Poi" TargetMode="External"/><Relationship Id="rId315" Type="http://schemas.openxmlformats.org/officeDocument/2006/relationships/hyperlink" Target="https://stardewvalleywiki.com/Pumpkin_Pie" TargetMode="External"/><Relationship Id="rId314" Type="http://schemas.openxmlformats.org/officeDocument/2006/relationships/hyperlink" Target="https://stardewvalleywiki.com/Deluxe_Speed-Gro" TargetMode="External"/><Relationship Id="rId313" Type="http://schemas.openxmlformats.org/officeDocument/2006/relationships/hyperlink" Target="https://stardewvalleywiki.com/Basic_Fertilizer" TargetMode="External"/><Relationship Id="rId319" Type="http://schemas.openxmlformats.org/officeDocument/2006/relationships/hyperlink" Target="https://stardewvalleywiki.com/Golden_Coconut" TargetMode="External"/><Relationship Id="rId318" Type="http://schemas.openxmlformats.org/officeDocument/2006/relationships/hyperlink" Target="https://stardewvalleywiki.com/Iridium_Ore" TargetMode="External"/><Relationship Id="rId317" Type="http://schemas.openxmlformats.org/officeDocument/2006/relationships/hyperlink" Target="https://stardewvalleywiki.com/Iridium_Bar" TargetMode="External"/><Relationship Id="rId312" Type="http://schemas.openxmlformats.org/officeDocument/2006/relationships/hyperlink" Target="https://stardewvalleywiki.com/Torch" TargetMode="External"/><Relationship Id="rId311" Type="http://schemas.openxmlformats.org/officeDocument/2006/relationships/hyperlink" Target="https://stardewvalleywiki.com/Strange_Bun" TargetMode="External"/><Relationship Id="rId310" Type="http://schemas.openxmlformats.org/officeDocument/2006/relationships/hyperlink" Target="https://stardewvalleywiki.com/Oasis"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stardewvalleywiki.com/Cowpoke_Hat" TargetMode="External"/><Relationship Id="rId194" Type="http://schemas.openxmlformats.org/officeDocument/2006/relationships/hyperlink" Target="https://stardewvalleywiki.com/Cowboy_Hat" TargetMode="External"/><Relationship Id="rId193" Type="http://schemas.openxmlformats.org/officeDocument/2006/relationships/hyperlink" Target="https://stardewvalleywiki.com/Shipping" TargetMode="External"/><Relationship Id="rId192" Type="http://schemas.openxmlformats.org/officeDocument/2006/relationships/hyperlink" Target="https://stardewvalleywiki.com/Cowgal_Hat" TargetMode="External"/><Relationship Id="rId191" Type="http://schemas.openxmlformats.org/officeDocument/2006/relationships/hyperlink" Target="https://stardewvalleywiki.com/Shipping" TargetMode="External"/><Relationship Id="rId187" Type="http://schemas.openxmlformats.org/officeDocument/2006/relationships/hyperlink" Target="https://stardewvalleywiki.com/Desert_Festival" TargetMode="External"/><Relationship Id="rId186" Type="http://schemas.openxmlformats.org/officeDocument/2006/relationships/hyperlink" Target="https://stardewvalleywiki.com/Dark_Ballcap" TargetMode="External"/><Relationship Id="rId185" Type="http://schemas.openxmlformats.org/officeDocument/2006/relationships/hyperlink" Target="https://stardewvalleywiki.com/Skull_Cavern" TargetMode="External"/><Relationship Id="rId184" Type="http://schemas.openxmlformats.org/officeDocument/2006/relationships/hyperlink" Target="https://stardewvalleywiki.com/Dark_Cowboy_Hat" TargetMode="External"/><Relationship Id="rId189" Type="http://schemas.openxmlformats.org/officeDocument/2006/relationships/hyperlink" Target="https://stardewvalleywiki.com/Crafting" TargetMode="External"/><Relationship Id="rId188" Type="http://schemas.openxmlformats.org/officeDocument/2006/relationships/hyperlink" Target="https://stardewvalleywiki.com/Daisy" TargetMode="External"/><Relationship Id="rId183" Type="http://schemas.openxmlformats.org/officeDocument/2006/relationships/hyperlink" Target="https://stardewvalleywiki.com/Desert_Festival" TargetMode="External"/><Relationship Id="rId182" Type="http://schemas.openxmlformats.org/officeDocument/2006/relationships/hyperlink" Target="https://stardewvalleywiki.com/Dark_Velvet_Bow" TargetMode="External"/><Relationship Id="rId181" Type="http://schemas.openxmlformats.org/officeDocument/2006/relationships/hyperlink" Target="https://stardewvalleywiki.com/Cooking" TargetMode="External"/><Relationship Id="rId180" Type="http://schemas.openxmlformats.org/officeDocument/2006/relationships/hyperlink" Target="https://stardewvalleywiki.com/Delicate_Bow" TargetMode="External"/><Relationship Id="rId176" Type="http://schemas.openxmlformats.org/officeDocument/2006/relationships/hyperlink" Target="https://stardewvalleywiki.com/Deluxe_Pirate_Hat" TargetMode="External"/><Relationship Id="rId297" Type="http://schemas.openxmlformats.org/officeDocument/2006/relationships/hyperlink" Target="https://stardewvalleywiki.com/Dried_Starfish" TargetMode="External"/><Relationship Id="rId175" Type="http://schemas.openxmlformats.org/officeDocument/2006/relationships/hyperlink" Target="https://stardewvalleywiki.com/Tailoring" TargetMode="External"/><Relationship Id="rId296" Type="http://schemas.openxmlformats.org/officeDocument/2006/relationships/hyperlink" Target="https://stardewvalleywiki.com/Gold_Bar" TargetMode="External"/><Relationship Id="rId174" Type="http://schemas.openxmlformats.org/officeDocument/2006/relationships/hyperlink" Target="https://stardewvalleywiki.com/Dinosaur_Hat" TargetMode="External"/><Relationship Id="rId295" Type="http://schemas.openxmlformats.org/officeDocument/2006/relationships/hyperlink" Target="https://stardewvalleywiki.com/Aged_Roe" TargetMode="External"/><Relationship Id="rId173" Type="http://schemas.openxmlformats.org/officeDocument/2006/relationships/hyperlink" Target="https://stardewvalleywiki.com/Friendship" TargetMode="External"/><Relationship Id="rId294" Type="http://schemas.openxmlformats.org/officeDocument/2006/relationships/hyperlink" Target="https://stardewvalleywiki.com/Ginger_Ale" TargetMode="External"/><Relationship Id="rId179" Type="http://schemas.openxmlformats.org/officeDocument/2006/relationships/hyperlink" Target="https://stardewvalleywiki.com/Island_Trader" TargetMode="External"/><Relationship Id="rId178" Type="http://schemas.openxmlformats.org/officeDocument/2006/relationships/hyperlink" Target="https://stardewvalleywiki.com/Deluxe_Cowboy_Hat" TargetMode="External"/><Relationship Id="rId299" Type="http://schemas.openxmlformats.org/officeDocument/2006/relationships/hyperlink" Target="https://stardewvalleywiki.com/Lunarite" TargetMode="External"/><Relationship Id="rId177" Type="http://schemas.openxmlformats.org/officeDocument/2006/relationships/hyperlink" Target="https://stardewvalleywiki.com/Volcano_Dungeon" TargetMode="External"/><Relationship Id="rId298" Type="http://schemas.openxmlformats.org/officeDocument/2006/relationships/hyperlink" Target="https://stardewvalleywiki.com/Maru" TargetMode="External"/><Relationship Id="rId198" Type="http://schemas.openxmlformats.org/officeDocument/2006/relationships/hyperlink" Target="https://stardewvalleywiki.com/Cool_Cap" TargetMode="External"/><Relationship Id="rId197" Type="http://schemas.openxmlformats.org/officeDocument/2006/relationships/hyperlink" Target="https://stardewvalleywiki.com/Pans" TargetMode="External"/><Relationship Id="rId196" Type="http://schemas.openxmlformats.org/officeDocument/2006/relationships/hyperlink" Target="https://stardewvalleywiki.com/Copper_Pan_(hat)" TargetMode="External"/><Relationship Id="rId195" Type="http://schemas.openxmlformats.org/officeDocument/2006/relationships/hyperlink" Target="https://stardewvalleywiki.com/Museum" TargetMode="External"/><Relationship Id="rId199" Type="http://schemas.openxmlformats.org/officeDocument/2006/relationships/hyperlink" Target="https://stardewvalleywiki.com/Cone_Hat" TargetMode="External"/><Relationship Id="rId150" Type="http://schemas.openxmlformats.org/officeDocument/2006/relationships/hyperlink" Target="https://stardewvalleywiki.com/Garbage_Hat" TargetMode="External"/><Relationship Id="rId271" Type="http://schemas.openxmlformats.org/officeDocument/2006/relationships/hyperlink" Target="https://stardewvalleywiki.com/Crab_Cakes" TargetMode="External"/><Relationship Id="rId392" Type="http://schemas.openxmlformats.org/officeDocument/2006/relationships/hyperlink" Target="https://stardewvalleywiki.com/Green_Tea" TargetMode="External"/><Relationship Id="rId270" Type="http://schemas.openxmlformats.org/officeDocument/2006/relationships/hyperlink" Target="https://stardewvalleywiki.com/Copper_Bar" TargetMode="External"/><Relationship Id="rId391" Type="http://schemas.openxmlformats.org/officeDocument/2006/relationships/hyperlink" Target="https://stardewvalleywiki.com/Radish" TargetMode="External"/><Relationship Id="rId390" Type="http://schemas.openxmlformats.org/officeDocument/2006/relationships/hyperlink" Target="https://stardewvalleywiki.com/Sap" TargetMode="External"/><Relationship Id="rId1" Type="http://schemas.openxmlformats.org/officeDocument/2006/relationships/hyperlink" Target="https://stardewvalleywiki.com/Witch_Hat" TargetMode="External"/><Relationship Id="rId2" Type="http://schemas.openxmlformats.org/officeDocument/2006/relationships/hyperlink" Target="https://stardewvalleywiki.com/Tailoring" TargetMode="External"/><Relationship Id="rId3" Type="http://schemas.openxmlformats.org/officeDocument/2006/relationships/hyperlink" Target="https://stardewvalleywiki.com/White_Turban" TargetMode="External"/><Relationship Id="rId149" Type="http://schemas.openxmlformats.org/officeDocument/2006/relationships/hyperlink" Target="https://stardewvalleywiki.com/Desert_Festival" TargetMode="External"/><Relationship Id="rId4" Type="http://schemas.openxmlformats.org/officeDocument/2006/relationships/hyperlink" Target="https://stardewvalleywiki.com/Tailoring" TargetMode="External"/><Relationship Id="rId148" Type="http://schemas.openxmlformats.org/officeDocument/2006/relationships/hyperlink" Target="https://stardewvalleywiki.com/Gil%27s_Hat" TargetMode="External"/><Relationship Id="rId269" Type="http://schemas.openxmlformats.org/officeDocument/2006/relationships/hyperlink" Target="https://stardewvalleywiki.com/Green_Algae" TargetMode="External"/><Relationship Id="rId9" Type="http://schemas.openxmlformats.org/officeDocument/2006/relationships/hyperlink" Target="https://stardewvalleywiki.com/Fish" TargetMode="External"/><Relationship Id="rId143" Type="http://schemas.openxmlformats.org/officeDocument/2006/relationships/hyperlink" Target="https://stardewvalleywiki.com/Tailoring" TargetMode="External"/><Relationship Id="rId264" Type="http://schemas.openxmlformats.org/officeDocument/2006/relationships/hyperlink" Target="https://stardewvalleywiki.com/Prehistoric_Handaxe" TargetMode="External"/><Relationship Id="rId385" Type="http://schemas.openxmlformats.org/officeDocument/2006/relationships/hyperlink" Target="https://stardewvalleywiki.com/Corn" TargetMode="External"/><Relationship Id="rId142" Type="http://schemas.openxmlformats.org/officeDocument/2006/relationships/hyperlink" Target="https://stardewvalleywiki.com/Goggles" TargetMode="External"/><Relationship Id="rId263" Type="http://schemas.openxmlformats.org/officeDocument/2006/relationships/hyperlink" Target="https://stardewvalleywiki.com/Carp_Surprise" TargetMode="External"/><Relationship Id="rId384" Type="http://schemas.openxmlformats.org/officeDocument/2006/relationships/hyperlink" Target="https://stardewvalleywiki.com/Coral" TargetMode="External"/><Relationship Id="rId141" Type="http://schemas.openxmlformats.org/officeDocument/2006/relationships/hyperlink" Target="https://stardewvalleywiki.com/Pans" TargetMode="External"/><Relationship Id="rId262" Type="http://schemas.openxmlformats.org/officeDocument/2006/relationships/hyperlink" Target="https://stardewvalleywiki.com/Large_Egg" TargetMode="External"/><Relationship Id="rId383" Type="http://schemas.openxmlformats.org/officeDocument/2006/relationships/hyperlink" Target="https://stardewvalleywiki.com/Fried_Calamari" TargetMode="External"/><Relationship Id="rId140" Type="http://schemas.openxmlformats.org/officeDocument/2006/relationships/hyperlink" Target="https://stardewvalleywiki.com/Gold_Pan_(hat)" TargetMode="External"/><Relationship Id="rId261" Type="http://schemas.openxmlformats.org/officeDocument/2006/relationships/hyperlink" Target="https://stardewvalleywiki.com/Anchor" TargetMode="External"/><Relationship Id="rId382" Type="http://schemas.openxmlformats.org/officeDocument/2006/relationships/hyperlink" Target="https://stardewvalleywiki.com/Iron_Bar" TargetMode="External"/><Relationship Id="rId5" Type="http://schemas.openxmlformats.org/officeDocument/2006/relationships/hyperlink" Target="https://stardewvalleywiki.com/White_Bow" TargetMode="External"/><Relationship Id="rId147" Type="http://schemas.openxmlformats.org/officeDocument/2006/relationships/hyperlink" Target="https://stardewvalleywiki.com/Crafting" TargetMode="External"/><Relationship Id="rId268" Type="http://schemas.openxmlformats.org/officeDocument/2006/relationships/hyperlink" Target="https://stardewvalleywiki.com/Helvite" TargetMode="External"/><Relationship Id="rId389" Type="http://schemas.openxmlformats.org/officeDocument/2006/relationships/hyperlink" Target="https://stardewvalleywiki.com/Glazed_Yams" TargetMode="External"/><Relationship Id="rId6" Type="http://schemas.openxmlformats.org/officeDocument/2006/relationships/hyperlink" Target="https://stardewvalleywiki.com/Wearable_Dwarf_Helm" TargetMode="External"/><Relationship Id="rId146" Type="http://schemas.openxmlformats.org/officeDocument/2006/relationships/hyperlink" Target="https://stardewvalleywiki.com/Gnome%27s_Cap" TargetMode="External"/><Relationship Id="rId267" Type="http://schemas.openxmlformats.org/officeDocument/2006/relationships/hyperlink" Target="https://stardewvalleywiki.com/Complete_Breakfast" TargetMode="External"/><Relationship Id="rId388" Type="http://schemas.openxmlformats.org/officeDocument/2006/relationships/hyperlink" Target="https://stardewvalleywiki.com/Bouquet" TargetMode="External"/><Relationship Id="rId7" Type="http://schemas.openxmlformats.org/officeDocument/2006/relationships/hyperlink" Target="https://stardewvalleywiki.com/Tailoring" TargetMode="External"/><Relationship Id="rId145" Type="http://schemas.openxmlformats.org/officeDocument/2006/relationships/hyperlink" Target="https://stardewvalleywiki.com/Shipping" TargetMode="External"/><Relationship Id="rId266" Type="http://schemas.openxmlformats.org/officeDocument/2006/relationships/hyperlink" Target="https://stardewvalleywiki.com/Rusty_Cog" TargetMode="External"/><Relationship Id="rId387" Type="http://schemas.openxmlformats.org/officeDocument/2006/relationships/hyperlink" Target="https://stardewvalleywiki.com/Sugar" TargetMode="External"/><Relationship Id="rId8" Type="http://schemas.openxmlformats.org/officeDocument/2006/relationships/hyperlink" Target="https://stardewvalleywiki.com/Watermelon_Band" TargetMode="External"/><Relationship Id="rId144" Type="http://schemas.openxmlformats.org/officeDocument/2006/relationships/hyperlink" Target="https://stardewvalleywiki.com/Goblin_Mask" TargetMode="External"/><Relationship Id="rId265" Type="http://schemas.openxmlformats.org/officeDocument/2006/relationships/hyperlink" Target="https://stardewvalleywiki.com/Escargot" TargetMode="External"/><Relationship Id="rId386" Type="http://schemas.openxmlformats.org/officeDocument/2006/relationships/hyperlink" Target="https://stardewvalleywiki.com/Obsidian" TargetMode="External"/><Relationship Id="rId260" Type="http://schemas.openxmlformats.org/officeDocument/2006/relationships/hyperlink" Target="https://stardewvalleywiki.com/Chewing_Stick" TargetMode="External"/><Relationship Id="rId381" Type="http://schemas.openxmlformats.org/officeDocument/2006/relationships/hyperlink" Target="https://stardewvalleywiki.com/Star_Shards" TargetMode="External"/><Relationship Id="rId380" Type="http://schemas.openxmlformats.org/officeDocument/2006/relationships/hyperlink" Target="https://stardewvalleywiki.com/Juice" TargetMode="External"/><Relationship Id="rId139" Type="http://schemas.openxmlformats.org/officeDocument/2006/relationships/hyperlink" Target="https://stardewvalleywiki.com/Golden_Coconut" TargetMode="External"/><Relationship Id="rId138" Type="http://schemas.openxmlformats.org/officeDocument/2006/relationships/hyperlink" Target="https://stardewvalleywiki.com/Golden_Helmet" TargetMode="External"/><Relationship Id="rId259" Type="http://schemas.openxmlformats.org/officeDocument/2006/relationships/hyperlink" Target="https://stardewvalleywiki.com/Stir_Fry" TargetMode="External"/><Relationship Id="rId137" Type="http://schemas.openxmlformats.org/officeDocument/2006/relationships/hyperlink" Target="https://stardewvalleywiki.com/Tailoring" TargetMode="External"/><Relationship Id="rId258" Type="http://schemas.openxmlformats.org/officeDocument/2006/relationships/hyperlink" Target="https://stardewvalleywiki.com/Survival_Burger" TargetMode="External"/><Relationship Id="rId379" Type="http://schemas.openxmlformats.org/officeDocument/2006/relationships/hyperlink" Target="https://stardewvalleywiki.com/Arrowhead" TargetMode="External"/><Relationship Id="rId132" Type="http://schemas.openxmlformats.org/officeDocument/2006/relationships/hyperlink" Target="https://stardewvalleywiki.com/Desert_Trader" TargetMode="External"/><Relationship Id="rId253" Type="http://schemas.openxmlformats.org/officeDocument/2006/relationships/hyperlink" Target="https://stardewvalleywiki.com/Bomb" TargetMode="External"/><Relationship Id="rId374" Type="http://schemas.openxmlformats.org/officeDocument/2006/relationships/hyperlink" Target="https://stardewvalleywiki.com/Bone_Fragment" TargetMode="External"/><Relationship Id="rId131" Type="http://schemas.openxmlformats.org/officeDocument/2006/relationships/hyperlink" Target="https://stardewvalleywiki.com/Green_Turban" TargetMode="External"/><Relationship Id="rId252" Type="http://schemas.openxmlformats.org/officeDocument/2006/relationships/hyperlink" Target="https://stardewvalleywiki.com/Strange_Doll_(yellow)" TargetMode="External"/><Relationship Id="rId373" Type="http://schemas.openxmlformats.org/officeDocument/2006/relationships/hyperlink" Target="https://stardewvalleywiki.com/Haunted_Skull" TargetMode="External"/><Relationship Id="rId130" Type="http://schemas.openxmlformats.org/officeDocument/2006/relationships/hyperlink" Target="https://stardewvalleywiki.com/Tailoring" TargetMode="External"/><Relationship Id="rId251" Type="http://schemas.openxmlformats.org/officeDocument/2006/relationships/hyperlink" Target="https://stardewvalleywiki.com/Bone_Flute" TargetMode="External"/><Relationship Id="rId372" Type="http://schemas.openxmlformats.org/officeDocument/2006/relationships/hyperlink" Target="https://stardewvalleywiki.com/Radish_Salad" TargetMode="External"/><Relationship Id="rId250" Type="http://schemas.openxmlformats.org/officeDocument/2006/relationships/hyperlink" Target="https://stardewvalleywiki.com/Frozen_Geode" TargetMode="External"/><Relationship Id="rId371" Type="http://schemas.openxmlformats.org/officeDocument/2006/relationships/hyperlink" Target="https://stardewvalleywiki.com/Shrimp_Cocktail" TargetMode="External"/><Relationship Id="rId136" Type="http://schemas.openxmlformats.org/officeDocument/2006/relationships/hyperlink" Target="https://stardewvalleywiki.com/Golden_Mask_(hat)" TargetMode="External"/><Relationship Id="rId257" Type="http://schemas.openxmlformats.org/officeDocument/2006/relationships/hyperlink" Target="https://stardewvalleywiki.com/Ancient_Seed" TargetMode="External"/><Relationship Id="rId378" Type="http://schemas.openxmlformats.org/officeDocument/2006/relationships/hyperlink" Target="https://stardewvalleywiki.com/Petrified_Slime" TargetMode="External"/><Relationship Id="rId135" Type="http://schemas.openxmlformats.org/officeDocument/2006/relationships/hyperlink" Target="https://stardewvalleywiki.com/Good_Ol%27_Cap" TargetMode="External"/><Relationship Id="rId256" Type="http://schemas.openxmlformats.org/officeDocument/2006/relationships/hyperlink" Target="https://stardewvalleywiki.com/Hazelnut" TargetMode="External"/><Relationship Id="rId377" Type="http://schemas.openxmlformats.org/officeDocument/2006/relationships/hyperlink" Target="https://stardewvalleywiki.com/Large_Milk" TargetMode="External"/><Relationship Id="rId134" Type="http://schemas.openxmlformats.org/officeDocument/2006/relationships/hyperlink" Target="https://stardewvalleywiki.com/Luau" TargetMode="External"/><Relationship Id="rId255" Type="http://schemas.openxmlformats.org/officeDocument/2006/relationships/hyperlink" Target="https://stardewvalleywiki.com/Mudstone" TargetMode="External"/><Relationship Id="rId376" Type="http://schemas.openxmlformats.org/officeDocument/2006/relationships/hyperlink" Target="https://stardewvalleywiki.com/Prehistoric_Skull" TargetMode="External"/><Relationship Id="rId133" Type="http://schemas.openxmlformats.org/officeDocument/2006/relationships/hyperlink" Target="https://stardewvalleywiki.com/Governor%27s_Hat" TargetMode="External"/><Relationship Id="rId254" Type="http://schemas.openxmlformats.org/officeDocument/2006/relationships/hyperlink" Target="https://stardewvalleywiki.com/Ornamental_Fan" TargetMode="External"/><Relationship Id="rId375" Type="http://schemas.openxmlformats.org/officeDocument/2006/relationships/hyperlink" Target="https://stardewvalleywiki.com/Haunted_Skull" TargetMode="External"/><Relationship Id="rId172" Type="http://schemas.openxmlformats.org/officeDocument/2006/relationships/hyperlink" Target="https://stardewvalleywiki.com/Earmuffs" TargetMode="External"/><Relationship Id="rId293" Type="http://schemas.openxmlformats.org/officeDocument/2006/relationships/hyperlink" Target="https://stardewvalleywiki.com/Chowder" TargetMode="External"/><Relationship Id="rId171" Type="http://schemas.openxmlformats.org/officeDocument/2006/relationships/hyperlink" Target="https://stardewvalleywiki.com/Achievements" TargetMode="External"/><Relationship Id="rId292" Type="http://schemas.openxmlformats.org/officeDocument/2006/relationships/hyperlink" Target="https://stardewvalleywiki.com/Fried_Egg" TargetMode="External"/><Relationship Id="rId170" Type="http://schemas.openxmlformats.org/officeDocument/2006/relationships/hyperlink" Target="https://stardewvalleywiki.com/Elegant_Turban" TargetMode="External"/><Relationship Id="rId291" Type="http://schemas.openxmlformats.org/officeDocument/2006/relationships/hyperlink" Target="https://stardewvalleywiki.com/Chicken_Statue" TargetMode="External"/><Relationship Id="rId290" Type="http://schemas.openxmlformats.org/officeDocument/2006/relationships/hyperlink" Target="https://stardewvalleywiki.com/Coffee_Bean" TargetMode="External"/><Relationship Id="rId165" Type="http://schemas.openxmlformats.org/officeDocument/2006/relationships/hyperlink" Target="https://stardewvalleywiki.com/Tailoring" TargetMode="External"/><Relationship Id="rId286" Type="http://schemas.openxmlformats.org/officeDocument/2006/relationships/hyperlink" Target="https://stardewvalleywiki.com/Harvey%27s_Clinic" TargetMode="External"/><Relationship Id="rId164" Type="http://schemas.openxmlformats.org/officeDocument/2006/relationships/hyperlink" Target="https://stardewvalleywiki.com/Fashion_Hat" TargetMode="External"/><Relationship Id="rId285" Type="http://schemas.openxmlformats.org/officeDocument/2006/relationships/hyperlink" Target="https://stardewvalleywiki.com/Salmon" TargetMode="External"/><Relationship Id="rId163" Type="http://schemas.openxmlformats.org/officeDocument/2006/relationships/hyperlink" Target="https://stardewvalleywiki.com/Stardew_Valley_Fair" TargetMode="External"/><Relationship Id="rId284" Type="http://schemas.openxmlformats.org/officeDocument/2006/relationships/hyperlink" Target="https://stardewvalleywiki.com/Ancient_Doll" TargetMode="External"/><Relationship Id="rId162" Type="http://schemas.openxmlformats.org/officeDocument/2006/relationships/hyperlink" Target="https://stardewvalleywiki.com/Fedora" TargetMode="External"/><Relationship Id="rId283" Type="http://schemas.openxmlformats.org/officeDocument/2006/relationships/hyperlink" Target="https://stardewvalleywiki.com/Maple_Bar" TargetMode="External"/><Relationship Id="rId169" Type="http://schemas.openxmlformats.org/officeDocument/2006/relationships/hyperlink" Target="https://stardewvalleywiki.com/Emily" TargetMode="External"/><Relationship Id="rId168" Type="http://schemas.openxmlformats.org/officeDocument/2006/relationships/hyperlink" Target="https://stardewvalleywiki.com/Emily%27s_Magic_Hat" TargetMode="External"/><Relationship Id="rId289" Type="http://schemas.openxmlformats.org/officeDocument/2006/relationships/hyperlink" Target="https://stardewvalleywiki.com/Spicy_Eel" TargetMode="External"/><Relationship Id="rId167" Type="http://schemas.openxmlformats.org/officeDocument/2006/relationships/hyperlink" Target="https://stardewvalleywiki.com/Fish" TargetMode="External"/><Relationship Id="rId288" Type="http://schemas.openxmlformats.org/officeDocument/2006/relationships/hyperlink" Target="https://stardewvalleywiki.com/Bream" TargetMode="External"/><Relationship Id="rId166" Type="http://schemas.openxmlformats.org/officeDocument/2006/relationships/hyperlink" Target="https://stardewvalleywiki.com/Eye_Patch" TargetMode="External"/><Relationship Id="rId287" Type="http://schemas.openxmlformats.org/officeDocument/2006/relationships/hyperlink" Target="https://stardewvalleywiki.com/Holly" TargetMode="External"/><Relationship Id="rId161" Type="http://schemas.openxmlformats.org/officeDocument/2006/relationships/hyperlink" Target="https://stardewvalleywiki.com/Tailoring" TargetMode="External"/><Relationship Id="rId282" Type="http://schemas.openxmlformats.org/officeDocument/2006/relationships/hyperlink" Target="https://stardewvalleywiki.com/Field_Snack" TargetMode="External"/><Relationship Id="rId160" Type="http://schemas.openxmlformats.org/officeDocument/2006/relationships/hyperlink" Target="https://stardewvalleywiki.com/Fishing_Hat" TargetMode="External"/><Relationship Id="rId281" Type="http://schemas.openxmlformats.org/officeDocument/2006/relationships/hyperlink" Target="https://stardewvalleywiki.com/Wilted_Bouquet" TargetMode="External"/><Relationship Id="rId280" Type="http://schemas.openxmlformats.org/officeDocument/2006/relationships/hyperlink" Target="https://stardewvalleywiki.com/Tigerseye" TargetMode="External"/><Relationship Id="rId159" Type="http://schemas.openxmlformats.org/officeDocument/2006/relationships/hyperlink" Target="https://stardewvalleywiki.com/Tailoring" TargetMode="External"/><Relationship Id="rId154" Type="http://schemas.openxmlformats.org/officeDocument/2006/relationships/hyperlink" Target="https://stardewvalleywiki.com/Forager%27s_Hat" TargetMode="External"/><Relationship Id="rId275" Type="http://schemas.openxmlformats.org/officeDocument/2006/relationships/hyperlink" Target="https://stardewvalleywiki.com/Truffle" TargetMode="External"/><Relationship Id="rId396" Type="http://schemas.openxmlformats.org/officeDocument/2006/relationships/hyperlink" Target="https://stardewvalleywiki.com/Tortilla" TargetMode="External"/><Relationship Id="rId153" Type="http://schemas.openxmlformats.org/officeDocument/2006/relationships/hyperlink" Target="https://stardewvalleywiki.com/Fishing" TargetMode="External"/><Relationship Id="rId274" Type="http://schemas.openxmlformats.org/officeDocument/2006/relationships/hyperlink" Target="https://stardewvalleywiki.com/Haunted_Skull" TargetMode="External"/><Relationship Id="rId395" Type="http://schemas.openxmlformats.org/officeDocument/2006/relationships/hyperlink" Target="https://stardewvalleywiki.com/Tomato" TargetMode="External"/><Relationship Id="rId152" Type="http://schemas.openxmlformats.org/officeDocument/2006/relationships/hyperlink" Target="https://stardewvalleywiki.com/Frog_Hat" TargetMode="External"/><Relationship Id="rId273" Type="http://schemas.openxmlformats.org/officeDocument/2006/relationships/hyperlink" Target="https://stardewvalleywiki.com/Amaranth" TargetMode="External"/><Relationship Id="rId394" Type="http://schemas.openxmlformats.org/officeDocument/2006/relationships/hyperlink" Target="https://stardewvalleywiki.com/Marble" TargetMode="External"/><Relationship Id="rId151" Type="http://schemas.openxmlformats.org/officeDocument/2006/relationships/hyperlink" Target="https://stardewvalleywiki.com/Garbage_Can" TargetMode="External"/><Relationship Id="rId272" Type="http://schemas.openxmlformats.org/officeDocument/2006/relationships/hyperlink" Target="https://stardewvalleywiki.com/Wheat" TargetMode="External"/><Relationship Id="rId393" Type="http://schemas.openxmlformats.org/officeDocument/2006/relationships/hyperlink" Target="https://stardewvalleywiki.com/Cheese_Cauliflower" TargetMode="External"/><Relationship Id="rId158" Type="http://schemas.openxmlformats.org/officeDocument/2006/relationships/hyperlink" Target="https://stardewvalleywiki.com/Flat_Topped_Hat" TargetMode="External"/><Relationship Id="rId279" Type="http://schemas.openxmlformats.org/officeDocument/2006/relationships/hyperlink" Target="https://stardewvalleywiki.com/Bat_Wing" TargetMode="External"/><Relationship Id="rId157" Type="http://schemas.openxmlformats.org/officeDocument/2006/relationships/hyperlink" Target="https://stardewvalleywiki.com/Tailoring" TargetMode="External"/><Relationship Id="rId278" Type="http://schemas.openxmlformats.org/officeDocument/2006/relationships/hyperlink" Target="https://stardewvalleywiki.com/Frozen_Tear" TargetMode="External"/><Relationship Id="rId399" Type="http://schemas.openxmlformats.org/officeDocument/2006/relationships/hyperlink" Target="https://stardewvalleywiki.com/Artifact_Trove" TargetMode="External"/><Relationship Id="rId156" Type="http://schemas.openxmlformats.org/officeDocument/2006/relationships/hyperlink" Target="https://stardewvalleywiki.com/Floppy_Beanie" TargetMode="External"/><Relationship Id="rId277" Type="http://schemas.openxmlformats.org/officeDocument/2006/relationships/hyperlink" Target="https://stardewvalleywiki.com/Life_Elixir" TargetMode="External"/><Relationship Id="rId398" Type="http://schemas.openxmlformats.org/officeDocument/2006/relationships/hyperlink" Target="https://stardewvalleywiki.com/Broken_CD" TargetMode="External"/><Relationship Id="rId155" Type="http://schemas.openxmlformats.org/officeDocument/2006/relationships/hyperlink" Target="https://stardewvalleywiki.com/Tailoring" TargetMode="External"/><Relationship Id="rId276" Type="http://schemas.openxmlformats.org/officeDocument/2006/relationships/hyperlink" Target="https://stardewvalleywiki.com/Haunted_Skull" TargetMode="External"/><Relationship Id="rId397" Type="http://schemas.openxmlformats.org/officeDocument/2006/relationships/hyperlink" Target="https://stardewvalleywiki.com/Pancakes" TargetMode="External"/><Relationship Id="rId40" Type="http://schemas.openxmlformats.org/officeDocument/2006/relationships/hyperlink" Target="https://stardewvalleywiki.com/Sports_Cap" TargetMode="External"/><Relationship Id="rId42" Type="http://schemas.openxmlformats.org/officeDocument/2006/relationships/hyperlink" Target="https://stardewvalleywiki.com/Space_Helmet" TargetMode="External"/><Relationship Id="rId41" Type="http://schemas.openxmlformats.org/officeDocument/2006/relationships/hyperlink" Target="https://stardewvalleywiki.com/Mayor%27s_Manor" TargetMode="External"/><Relationship Id="rId44" Type="http://schemas.openxmlformats.org/officeDocument/2006/relationships/hyperlink" Target="https://stardewvalleywiki.com/Sou%27wester" TargetMode="External"/><Relationship Id="rId43" Type="http://schemas.openxmlformats.org/officeDocument/2006/relationships/hyperlink" Target="https://stardewvalleywiki.com/The_Mines" TargetMode="External"/><Relationship Id="rId46" Type="http://schemas.openxmlformats.org/officeDocument/2006/relationships/hyperlink" Target="https://stardewvalleywiki.com/Sombrero" TargetMode="External"/><Relationship Id="rId45" Type="http://schemas.openxmlformats.org/officeDocument/2006/relationships/hyperlink" Target="https://stardewvalleywiki.com/Fish" TargetMode="External"/><Relationship Id="rId48" Type="http://schemas.openxmlformats.org/officeDocument/2006/relationships/hyperlink" Target="https://stardewvalleywiki.com/Island_Trader" TargetMode="External"/><Relationship Id="rId47" Type="http://schemas.openxmlformats.org/officeDocument/2006/relationships/hyperlink" Target="https://stardewvalleywiki.com/Small_Cap" TargetMode="External"/><Relationship Id="rId49" Type="http://schemas.openxmlformats.org/officeDocument/2006/relationships/hyperlink" Target="https://stardewvalleywiki.com/Skeleton_Mask" TargetMode="External"/><Relationship Id="rId31" Type="http://schemas.openxmlformats.org/officeDocument/2006/relationships/hyperlink" Target="https://stardewvalleywiki.com/Steel_Pan_(hat)" TargetMode="External"/><Relationship Id="rId30" Type="http://schemas.openxmlformats.org/officeDocument/2006/relationships/hyperlink" Target="https://stardewvalleywiki.com/Egg_Festival" TargetMode="External"/><Relationship Id="rId33" Type="http://schemas.openxmlformats.org/officeDocument/2006/relationships/hyperlink" Target="https://stardewvalleywiki.com/Tailoring" TargetMode="External"/><Relationship Id="rId32" Type="http://schemas.openxmlformats.org/officeDocument/2006/relationships/hyperlink" Target="https://stardewvalleywiki.com/Pans" TargetMode="External"/><Relationship Id="rId35" Type="http://schemas.openxmlformats.org/officeDocument/2006/relationships/hyperlink" Target="https://stardewvalleywiki.com/Metal_Head" TargetMode="External"/><Relationship Id="rId34" Type="http://schemas.openxmlformats.org/officeDocument/2006/relationships/hyperlink" Target="https://stardewvalleywiki.com/Squire%27s_Helmet" TargetMode="External"/><Relationship Id="rId37" Type="http://schemas.openxmlformats.org/officeDocument/2006/relationships/hyperlink" Target="https://stardewvalleywiki.com/SquidFest" TargetMode="External"/><Relationship Id="rId36" Type="http://schemas.openxmlformats.org/officeDocument/2006/relationships/hyperlink" Target="https://stardewvalleywiki.com/Squid_Hat" TargetMode="External"/><Relationship Id="rId39" Type="http://schemas.openxmlformats.org/officeDocument/2006/relationships/hyperlink" Target="https://stardewvalleywiki.com/Tailoring" TargetMode="External"/><Relationship Id="rId38" Type="http://schemas.openxmlformats.org/officeDocument/2006/relationships/hyperlink" Target="https://stardewvalleywiki.com/Spotted_Headscarf" TargetMode="External"/><Relationship Id="rId20" Type="http://schemas.openxmlformats.org/officeDocument/2006/relationships/hyperlink" Target="https://stardewvalleywiki.com/Casino" TargetMode="External"/><Relationship Id="rId22" Type="http://schemas.openxmlformats.org/officeDocument/2006/relationships/hyperlink" Target="https://stardewvalleywiki.com/Slimes" TargetMode="External"/><Relationship Id="rId21" Type="http://schemas.openxmlformats.org/officeDocument/2006/relationships/hyperlink" Target="https://stardewvalleywiki.com/Tiger_Hat" TargetMode="External"/><Relationship Id="rId24" Type="http://schemas.openxmlformats.org/officeDocument/2006/relationships/hyperlink" Target="https://stardewvalleywiki.com/Friendship" TargetMode="External"/><Relationship Id="rId23" Type="http://schemas.openxmlformats.org/officeDocument/2006/relationships/hyperlink" Target="https://stardewvalleywiki.com/Tiara" TargetMode="External"/><Relationship Id="rId409" Type="http://schemas.openxmlformats.org/officeDocument/2006/relationships/hyperlink" Target="https://stardewvalleywiki.com/Rice" TargetMode="External"/><Relationship Id="rId404" Type="http://schemas.openxmlformats.org/officeDocument/2006/relationships/hyperlink" Target="https://stardewvalleywiki.com/Coconut" TargetMode="External"/><Relationship Id="rId403" Type="http://schemas.openxmlformats.org/officeDocument/2006/relationships/hyperlink" Target="https://stardewvalleywiki.com/Copper_Ore" TargetMode="External"/><Relationship Id="rId402" Type="http://schemas.openxmlformats.org/officeDocument/2006/relationships/hyperlink" Target="https://stardewvalleywiki.com/Pepper_Poppers" TargetMode="External"/><Relationship Id="rId401" Type="http://schemas.openxmlformats.org/officeDocument/2006/relationships/hyperlink" Target="https://stardewvalleywiki.com/Sea_Cucumber" TargetMode="External"/><Relationship Id="rId408" Type="http://schemas.openxmlformats.org/officeDocument/2006/relationships/hyperlink" Target="https://stardewvalleywiki.com/Pale_Broth" TargetMode="External"/><Relationship Id="rId407" Type="http://schemas.openxmlformats.org/officeDocument/2006/relationships/hyperlink" Target="https://stardewvalleywiki.com/Poppyseed_Muffin" TargetMode="External"/><Relationship Id="rId406" Type="http://schemas.openxmlformats.org/officeDocument/2006/relationships/hyperlink" Target="https://stardewvalleywiki.com/Wheat_Flour" TargetMode="External"/><Relationship Id="rId405" Type="http://schemas.openxmlformats.org/officeDocument/2006/relationships/hyperlink" Target="https://stardewvalleywiki.com/Hematite" TargetMode="External"/><Relationship Id="rId26" Type="http://schemas.openxmlformats.org/officeDocument/2006/relationships/hyperlink" Target="https://stardewvalleywiki.com/Tailoring" TargetMode="External"/><Relationship Id="rId25" Type="http://schemas.openxmlformats.org/officeDocument/2006/relationships/hyperlink" Target="https://stardewvalleywiki.com/Swashbuckler_Hat" TargetMode="External"/><Relationship Id="rId28" Type="http://schemas.openxmlformats.org/officeDocument/2006/relationships/hyperlink" Target="https://stardewvalleywiki.com/Tailoring" TargetMode="External"/><Relationship Id="rId27" Type="http://schemas.openxmlformats.org/officeDocument/2006/relationships/hyperlink" Target="https://stardewvalleywiki.com/Sunglasses" TargetMode="External"/><Relationship Id="rId400" Type="http://schemas.openxmlformats.org/officeDocument/2006/relationships/hyperlink" Target="https://stardewvalleywiki.com/Tropical_Curry" TargetMode="External"/><Relationship Id="rId29" Type="http://schemas.openxmlformats.org/officeDocument/2006/relationships/hyperlink" Target="https://stardewvalleywiki.com/Straw_Hat" TargetMode="External"/><Relationship Id="rId11" Type="http://schemas.openxmlformats.org/officeDocument/2006/relationships/hyperlink" Target="https://stardewvalleywiki.com/Tailoring" TargetMode="External"/><Relationship Id="rId10" Type="http://schemas.openxmlformats.org/officeDocument/2006/relationships/hyperlink" Target="https://stardewvalleywiki.com/Warrior_Helmet" TargetMode="External"/><Relationship Id="rId13" Type="http://schemas.openxmlformats.org/officeDocument/2006/relationships/hyperlink" Target="https://stardewvalleywiki.com/Crafting" TargetMode="External"/><Relationship Id="rId12" Type="http://schemas.openxmlformats.org/officeDocument/2006/relationships/hyperlink" Target="https://stardewvalleywiki.com/Trucker_Hat" TargetMode="External"/><Relationship Id="rId15" Type="http://schemas.openxmlformats.org/officeDocument/2006/relationships/hyperlink" Target="https://stardewvalleywiki.com/Tricorn_Hat" TargetMode="External"/><Relationship Id="rId14" Type="http://schemas.openxmlformats.org/officeDocument/2006/relationships/hyperlink" Target="https://stardewvalleywiki.com/Tropiclip" TargetMode="External"/><Relationship Id="rId17" Type="http://schemas.openxmlformats.org/officeDocument/2006/relationships/hyperlink" Target="https://stardewvalleywiki.com/Totem_Mask" TargetMode="External"/><Relationship Id="rId16" Type="http://schemas.openxmlformats.org/officeDocument/2006/relationships/hyperlink" Target="https://stardewvalleywiki.com/Desert_Festival" TargetMode="External"/><Relationship Id="rId19" Type="http://schemas.openxmlformats.org/officeDocument/2006/relationships/hyperlink" Target="https://stardewvalleywiki.com/Top_Hat" TargetMode="External"/><Relationship Id="rId18" Type="http://schemas.openxmlformats.org/officeDocument/2006/relationships/hyperlink" Target="https://stardewvalleywiki.com/Tailoring" TargetMode="External"/><Relationship Id="rId84" Type="http://schemas.openxmlformats.org/officeDocument/2006/relationships/hyperlink" Target="https://stardewvalleywiki.com/Ginger_Island" TargetMode="External"/><Relationship Id="rId83" Type="http://schemas.openxmlformats.org/officeDocument/2006/relationships/hyperlink" Target="https://stardewvalleywiki.com/Paper_Hat" TargetMode="External"/><Relationship Id="rId86" Type="http://schemas.openxmlformats.org/officeDocument/2006/relationships/hyperlink" Target="https://stardewvalleywiki.com/Hats" TargetMode="External"/><Relationship Id="rId85" Type="http://schemas.openxmlformats.org/officeDocument/2006/relationships/hyperlink" Target="https://stardewvalleywiki.com/Panda_Hat" TargetMode="External"/><Relationship Id="rId88" Type="http://schemas.openxmlformats.org/officeDocument/2006/relationships/hyperlink" Target="https://stardewvalleywiki.com/Books" TargetMode="External"/><Relationship Id="rId87" Type="http://schemas.openxmlformats.org/officeDocument/2006/relationships/hyperlink" Target="https://stardewvalleywiki.com/Pageboy_Cap" TargetMode="External"/><Relationship Id="rId89" Type="http://schemas.openxmlformats.org/officeDocument/2006/relationships/hyperlink" Target="https://stardewvalleywiki.com/Official_Cap" TargetMode="External"/><Relationship Id="rId80" Type="http://schemas.openxmlformats.org/officeDocument/2006/relationships/hyperlink" Target="https://stardewvalleywiki.com/Tailoring" TargetMode="External"/><Relationship Id="rId82" Type="http://schemas.openxmlformats.org/officeDocument/2006/relationships/hyperlink" Target="https://stardewvalleywiki.com/Tailoring" TargetMode="External"/><Relationship Id="rId81" Type="http://schemas.openxmlformats.org/officeDocument/2006/relationships/hyperlink" Target="https://stardewvalleywiki.com/Party_Hat_(green)" TargetMode="External"/><Relationship Id="rId73" Type="http://schemas.openxmlformats.org/officeDocument/2006/relationships/hyperlink" Target="https://stardewvalleywiki.com/Pirate_Hat" TargetMode="External"/><Relationship Id="rId72" Type="http://schemas.openxmlformats.org/officeDocument/2006/relationships/hyperlink" Target="https://stardewvalleywiki.com/Cooking" TargetMode="External"/><Relationship Id="rId75" Type="http://schemas.openxmlformats.org/officeDocument/2006/relationships/hyperlink" Target="https://stardewvalleywiki.com/Pink_Bow" TargetMode="External"/><Relationship Id="rId74" Type="http://schemas.openxmlformats.org/officeDocument/2006/relationships/hyperlink" Target="https://stardewvalleywiki.com/Tailoring" TargetMode="External"/><Relationship Id="rId77" Type="http://schemas.openxmlformats.org/officeDocument/2006/relationships/hyperlink" Target="https://stardewvalleywiki.com/Party_Hat_(red)" TargetMode="External"/><Relationship Id="rId76" Type="http://schemas.openxmlformats.org/officeDocument/2006/relationships/hyperlink" Target="https://stardewvalleywiki.com/Volcano_Dungeon" TargetMode="External"/><Relationship Id="rId79" Type="http://schemas.openxmlformats.org/officeDocument/2006/relationships/hyperlink" Target="https://stardewvalleywiki.com/Party_Hat_(blue)" TargetMode="External"/><Relationship Id="rId78" Type="http://schemas.openxmlformats.org/officeDocument/2006/relationships/hyperlink" Target="https://stardewvalleywiki.com/Tailoring" TargetMode="External"/><Relationship Id="rId71" Type="http://schemas.openxmlformats.org/officeDocument/2006/relationships/hyperlink" Target="https://stardewvalleywiki.com/Plum_Chapeau" TargetMode="External"/><Relationship Id="rId70" Type="http://schemas.openxmlformats.org/officeDocument/2006/relationships/hyperlink" Target="https://stardewvalleywiki.com/Quests" TargetMode="External"/><Relationship Id="rId62" Type="http://schemas.openxmlformats.org/officeDocument/2006/relationships/hyperlink" Target="https://stardewvalleywiki.com/Giant_Stump" TargetMode="External"/><Relationship Id="rId61" Type="http://schemas.openxmlformats.org/officeDocument/2006/relationships/hyperlink" Target="https://stardewvalleywiki.com/Raccoon_Hat" TargetMode="External"/><Relationship Id="rId64" Type="http://schemas.openxmlformats.org/officeDocument/2006/relationships/hyperlink" Target="https://stardewvalleywiki.com/Tailoring" TargetMode="External"/><Relationship Id="rId63" Type="http://schemas.openxmlformats.org/officeDocument/2006/relationships/hyperlink" Target="https://stardewvalleywiki.com/Qi_Mask" TargetMode="External"/><Relationship Id="rId66" Type="http://schemas.openxmlformats.org/officeDocument/2006/relationships/hyperlink" Target="https://stardewvalleywiki.com/Tailoring" TargetMode="External"/><Relationship Id="rId65" Type="http://schemas.openxmlformats.org/officeDocument/2006/relationships/hyperlink" Target="https://stardewvalleywiki.com/Pumpkin_Mask" TargetMode="External"/><Relationship Id="rId68" Type="http://schemas.openxmlformats.org/officeDocument/2006/relationships/hyperlink" Target="https://stardewvalleywiki.com/Tailoring" TargetMode="External"/><Relationship Id="rId67" Type="http://schemas.openxmlformats.org/officeDocument/2006/relationships/hyperlink" Target="https://stardewvalleywiki.com/Propeller_Hat" TargetMode="External"/><Relationship Id="rId60" Type="http://schemas.openxmlformats.org/officeDocument/2006/relationships/hyperlink" Target="https://stardewvalleywiki.com/Tailoring" TargetMode="External"/><Relationship Id="rId69" Type="http://schemas.openxmlformats.org/officeDocument/2006/relationships/hyperlink" Target="https://stardewvalleywiki.com/Polka_Bow" TargetMode="External"/><Relationship Id="rId51" Type="http://schemas.openxmlformats.org/officeDocument/2006/relationships/hyperlink" Target="https://stardewvalleywiki.com/Santa_Hat" TargetMode="External"/><Relationship Id="rId50" Type="http://schemas.openxmlformats.org/officeDocument/2006/relationships/hyperlink" Target="https://stardewvalleywiki.com/Adventurer%27s_Guild" TargetMode="External"/><Relationship Id="rId53" Type="http://schemas.openxmlformats.org/officeDocument/2006/relationships/hyperlink" Target="https://stardewvalleywiki.com/Sailor%27s_Cap" TargetMode="External"/><Relationship Id="rId52" Type="http://schemas.openxmlformats.org/officeDocument/2006/relationships/hyperlink" Target="https://stardewvalleywiki.com/Friendship" TargetMode="External"/><Relationship Id="rId55" Type="http://schemas.openxmlformats.org/officeDocument/2006/relationships/hyperlink" Target="https://stardewvalleywiki.com/Red_Fez" TargetMode="External"/><Relationship Id="rId54" Type="http://schemas.openxmlformats.org/officeDocument/2006/relationships/hyperlink" Target="https://stardewvalleywiki.com/Festival_of_Ice" TargetMode="External"/><Relationship Id="rId57" Type="http://schemas.openxmlformats.org/officeDocument/2006/relationships/hyperlink" Target="https://stardewvalleywiki.com/Red_Cowboy_Hat" TargetMode="External"/><Relationship Id="rId56" Type="http://schemas.openxmlformats.org/officeDocument/2006/relationships/hyperlink" Target="https://stardewvalleywiki.com/Traveling_Cart" TargetMode="External"/><Relationship Id="rId59" Type="http://schemas.openxmlformats.org/officeDocument/2006/relationships/hyperlink" Target="https://stardewvalleywiki.com/Radioactive_Goggles" TargetMode="External"/><Relationship Id="rId58" Type="http://schemas.openxmlformats.org/officeDocument/2006/relationships/hyperlink" Target="https://stardewvalleywiki.com/Skull_Cavern" TargetMode="External"/><Relationship Id="rId107" Type="http://schemas.openxmlformats.org/officeDocument/2006/relationships/hyperlink" Target="https://stardewvalleywiki.com/Tailoring" TargetMode="External"/><Relationship Id="rId228" Type="http://schemas.openxmlformats.org/officeDocument/2006/relationships/hyperlink" Target="https://stardewvalleywiki.com/Archer%27s_Cap" TargetMode="External"/><Relationship Id="rId349" Type="http://schemas.openxmlformats.org/officeDocument/2006/relationships/hyperlink" Target="https://stardewvalleywiki.com/Wool" TargetMode="External"/><Relationship Id="rId106" Type="http://schemas.openxmlformats.org/officeDocument/2006/relationships/hyperlink" Target="https://stardewvalleywiki.com/Logo_Cap" TargetMode="External"/><Relationship Id="rId227" Type="http://schemas.openxmlformats.org/officeDocument/2006/relationships/hyperlink" Target="https://stardewvalleywiki.com/Tailoring" TargetMode="External"/><Relationship Id="rId348" Type="http://schemas.openxmlformats.org/officeDocument/2006/relationships/hyperlink" Target="https://stardewvalleywiki.com/Egg" TargetMode="External"/><Relationship Id="rId105" Type="http://schemas.openxmlformats.org/officeDocument/2006/relationships/hyperlink" Target="https://stardewvalleywiki.com/Lucky_Bow" TargetMode="External"/><Relationship Id="rId226" Type="http://schemas.openxmlformats.org/officeDocument/2006/relationships/hyperlink" Target="https://stardewvalleywiki.com/Beanie" TargetMode="External"/><Relationship Id="rId347" Type="http://schemas.openxmlformats.org/officeDocument/2006/relationships/hyperlink" Target="https://stardewvalleywiki.com/Bug_Meat" TargetMode="External"/><Relationship Id="rId104" Type="http://schemas.openxmlformats.org/officeDocument/2006/relationships/hyperlink" Target="https://stardewvalleywiki.com/Desert_Trader" TargetMode="External"/><Relationship Id="rId225" Type="http://schemas.openxmlformats.org/officeDocument/2006/relationships/hyperlink" Target="https://stardewvalleywiki.com/Tailoring" TargetMode="External"/><Relationship Id="rId346" Type="http://schemas.openxmlformats.org/officeDocument/2006/relationships/hyperlink" Target="https://stardewvalleywiki.com/Chanterelle" TargetMode="External"/><Relationship Id="rId109" Type="http://schemas.openxmlformats.org/officeDocument/2006/relationships/hyperlink" Target="https://stardewvalleywiki.com/Weeds" TargetMode="External"/><Relationship Id="rId108" Type="http://schemas.openxmlformats.org/officeDocument/2006/relationships/hyperlink" Target="https://stardewvalleywiki.com/Living_Hat" TargetMode="External"/><Relationship Id="rId229" Type="http://schemas.openxmlformats.org/officeDocument/2006/relationships/hyperlink" Target="https://stardewvalleywiki.com/Cooking" TargetMode="External"/><Relationship Id="rId220" Type="http://schemas.openxmlformats.org/officeDocument/2006/relationships/hyperlink" Target="https://stardewvalleywiki.com/Blue_Bow" TargetMode="External"/><Relationship Id="rId341" Type="http://schemas.openxmlformats.org/officeDocument/2006/relationships/hyperlink" Target="https://stardewvalleywiki.com/Glass_Shards" TargetMode="External"/><Relationship Id="rId340" Type="http://schemas.openxmlformats.org/officeDocument/2006/relationships/hyperlink" Target="https://stardewvalleywiki.com/Ocean_Stone" TargetMode="External"/><Relationship Id="rId103" Type="http://schemas.openxmlformats.org/officeDocument/2006/relationships/hyperlink" Target="https://stardewvalleywiki.com/Magic_Cowboy_Hat" TargetMode="External"/><Relationship Id="rId224" Type="http://schemas.openxmlformats.org/officeDocument/2006/relationships/hyperlink" Target="https://stardewvalleywiki.com/Blobfish_Mask" TargetMode="External"/><Relationship Id="rId345" Type="http://schemas.openxmlformats.org/officeDocument/2006/relationships/hyperlink" Target="https://stardewvalleywiki.com/Vinegar" TargetMode="External"/><Relationship Id="rId102" Type="http://schemas.openxmlformats.org/officeDocument/2006/relationships/hyperlink" Target="https://stardewvalleywiki.com/Desert_Trader" TargetMode="External"/><Relationship Id="rId223" Type="http://schemas.openxmlformats.org/officeDocument/2006/relationships/hyperlink" Target="https://stardewvalleywiki.com/Museum" TargetMode="External"/><Relationship Id="rId344" Type="http://schemas.openxmlformats.org/officeDocument/2006/relationships/hyperlink" Target="https://stardewvalleywiki.com/Winter_Root" TargetMode="External"/><Relationship Id="rId101" Type="http://schemas.openxmlformats.org/officeDocument/2006/relationships/hyperlink" Target="https://stardewvalleywiki.com/Magic_Turban" TargetMode="External"/><Relationship Id="rId222" Type="http://schemas.openxmlformats.org/officeDocument/2006/relationships/hyperlink" Target="https://stardewvalleywiki.com/Blue_Bonnet" TargetMode="External"/><Relationship Id="rId343" Type="http://schemas.openxmlformats.org/officeDocument/2006/relationships/hyperlink" Target="https://stardewvalleywiki.com/Omni_Geode" TargetMode="External"/><Relationship Id="rId100" Type="http://schemas.openxmlformats.org/officeDocument/2006/relationships/hyperlink" Target="https://stardewvalleywiki.com/Friendship" TargetMode="External"/><Relationship Id="rId221" Type="http://schemas.openxmlformats.org/officeDocument/2006/relationships/hyperlink" Target="https://stardewvalleywiki.com/Desert_Festival" TargetMode="External"/><Relationship Id="rId342" Type="http://schemas.openxmlformats.org/officeDocument/2006/relationships/hyperlink" Target="https://stardewvalleywiki.com/Oil" TargetMode="External"/><Relationship Id="rId217" Type="http://schemas.openxmlformats.org/officeDocument/2006/relationships/hyperlink" Target="https://stardewvalleywiki.com/Stardew_Valley_Fair" TargetMode="External"/><Relationship Id="rId338" Type="http://schemas.openxmlformats.org/officeDocument/2006/relationships/hyperlink" Target="https://stardewvalleywiki.com/Blueberry_Tart" TargetMode="External"/><Relationship Id="rId216" Type="http://schemas.openxmlformats.org/officeDocument/2006/relationships/hyperlink" Target="https://stardewvalleywiki.com/Blue_Ribbon" TargetMode="External"/><Relationship Id="rId337" Type="http://schemas.openxmlformats.org/officeDocument/2006/relationships/hyperlink" Target="https://stardewvalleywiki.com/Morel" TargetMode="External"/><Relationship Id="rId215" Type="http://schemas.openxmlformats.org/officeDocument/2006/relationships/hyperlink" Target="https://stardewvalleywiki.com/Island_Trader" TargetMode="External"/><Relationship Id="rId336" Type="http://schemas.openxmlformats.org/officeDocument/2006/relationships/hyperlink" Target="https://stardewvalleywiki.com/Dandelion" TargetMode="External"/><Relationship Id="rId214" Type="http://schemas.openxmlformats.org/officeDocument/2006/relationships/hyperlink" Target="https://stardewvalleywiki.com/Bluebird_Mask" TargetMode="External"/><Relationship Id="rId335" Type="http://schemas.openxmlformats.org/officeDocument/2006/relationships/hyperlink" Target="https://stardewvalleywiki.com/Seafoam_Pudding" TargetMode="External"/><Relationship Id="rId219" Type="http://schemas.openxmlformats.org/officeDocument/2006/relationships/hyperlink" Target="https://stardewvalleywiki.com/Skull_Cavern" TargetMode="External"/><Relationship Id="rId218" Type="http://schemas.openxmlformats.org/officeDocument/2006/relationships/hyperlink" Target="https://stardewvalleywiki.com/Blue_Cowboy_Hat" TargetMode="External"/><Relationship Id="rId339" Type="http://schemas.openxmlformats.org/officeDocument/2006/relationships/hyperlink" Target="https://stardewvalleywiki.com/Tom_Kha_Soup" TargetMode="External"/><Relationship Id="rId330" Type="http://schemas.openxmlformats.org/officeDocument/2006/relationships/hyperlink" Target="https://stardewvalleywiki.com/Leek" TargetMode="External"/><Relationship Id="rId213" Type="http://schemas.openxmlformats.org/officeDocument/2006/relationships/hyperlink" Target="https://stardewvalleywiki.com/Bowler_Hat" TargetMode="External"/><Relationship Id="rId334" Type="http://schemas.openxmlformats.org/officeDocument/2006/relationships/hyperlink" Target="https://stardewvalleywiki.com/Squid_Ink" TargetMode="External"/><Relationship Id="rId212" Type="http://schemas.openxmlformats.org/officeDocument/2006/relationships/hyperlink" Target="https://stardewvalleywiki.com/Tailoring" TargetMode="External"/><Relationship Id="rId333" Type="http://schemas.openxmlformats.org/officeDocument/2006/relationships/hyperlink" Target="https://stardewvalleywiki.com/Vegetable_Medley" TargetMode="External"/><Relationship Id="rId211" Type="http://schemas.openxmlformats.org/officeDocument/2006/relationships/hyperlink" Target="https://stardewvalleywiki.com/Bridal_Veil" TargetMode="External"/><Relationship Id="rId332" Type="http://schemas.openxmlformats.org/officeDocument/2006/relationships/hyperlink" Target="https://stardewvalleywiki.com/Magic_Rock_Candy" TargetMode="External"/><Relationship Id="rId210" Type="http://schemas.openxmlformats.org/officeDocument/2006/relationships/hyperlink" Target="https://stardewvalleywiki.com/Trout_Derby" TargetMode="External"/><Relationship Id="rId331" Type="http://schemas.openxmlformats.org/officeDocument/2006/relationships/hyperlink" Target="https://stardewvalleywiki.com/Magma_Cap" TargetMode="External"/><Relationship Id="rId370" Type="http://schemas.openxmlformats.org/officeDocument/2006/relationships/hyperlink" Target="https://stardewvalleywiki.com/Plum_Pudding" TargetMode="External"/><Relationship Id="rId129" Type="http://schemas.openxmlformats.org/officeDocument/2006/relationships/hyperlink" Target="https://stardewvalleywiki.com/Hair_Bone" TargetMode="External"/><Relationship Id="rId128" Type="http://schemas.openxmlformats.org/officeDocument/2006/relationships/hyperlink" Target="https://stardewvalleywiki.com/Adventurer%27s_Guild" TargetMode="External"/><Relationship Id="rId249" Type="http://schemas.openxmlformats.org/officeDocument/2006/relationships/hyperlink" Target="https://stardewvalleywiki.com/Octopus" TargetMode="External"/><Relationship Id="rId127" Type="http://schemas.openxmlformats.org/officeDocument/2006/relationships/hyperlink" Target="https://stardewvalleywiki.com/Hard_Hat" TargetMode="External"/><Relationship Id="rId248" Type="http://schemas.openxmlformats.org/officeDocument/2006/relationships/hyperlink" Target="https://stardewvalleywiki.com/Fiddlehead_Risotto" TargetMode="External"/><Relationship Id="rId369" Type="http://schemas.openxmlformats.org/officeDocument/2006/relationships/hyperlink" Target="https://stardewvalleywiki.com/Orpiment" TargetMode="External"/><Relationship Id="rId126" Type="http://schemas.openxmlformats.org/officeDocument/2006/relationships/hyperlink" Target="https://stardewvalleywiki.com/Hunter%27s_Cap" TargetMode="External"/><Relationship Id="rId247" Type="http://schemas.openxmlformats.org/officeDocument/2006/relationships/hyperlink" Target="https://stardewvalleywiki.com/Beer" TargetMode="External"/><Relationship Id="rId368" Type="http://schemas.openxmlformats.org/officeDocument/2006/relationships/hyperlink" Target="https://stardewvalleywiki.com/Dish_O%27_The_Sea" TargetMode="External"/><Relationship Id="rId121" Type="http://schemas.openxmlformats.org/officeDocument/2006/relationships/hyperlink" Target="https://stardewvalleywiki.com/Movie_Theater" TargetMode="External"/><Relationship Id="rId242" Type="http://schemas.openxmlformats.org/officeDocument/2006/relationships/hyperlink" Target="https://stardewvalleywiki.com/Fluorapatite" TargetMode="External"/><Relationship Id="rId363" Type="http://schemas.openxmlformats.org/officeDocument/2006/relationships/hyperlink" Target="https://stardewvalleywiki.com/Ice_Cream" TargetMode="External"/><Relationship Id="rId120" Type="http://schemas.openxmlformats.org/officeDocument/2006/relationships/hyperlink" Target="https://stardewvalleywiki.com/Jester_Hat" TargetMode="External"/><Relationship Id="rId241" Type="http://schemas.openxmlformats.org/officeDocument/2006/relationships/hyperlink" Target="https://stardewvalleywiki.com/Kyanite" TargetMode="External"/><Relationship Id="rId362" Type="http://schemas.openxmlformats.org/officeDocument/2006/relationships/hyperlink" Target="https://stardewvalleywiki.com/Golden_Relic" TargetMode="External"/><Relationship Id="rId240" Type="http://schemas.openxmlformats.org/officeDocument/2006/relationships/hyperlink" Target="https://stardewvalleywiki.com/Jasper" TargetMode="External"/><Relationship Id="rId361" Type="http://schemas.openxmlformats.org/officeDocument/2006/relationships/hyperlink" Target="https://stardewvalleywiki.com/Ancient_Drum" TargetMode="External"/><Relationship Id="rId360" Type="http://schemas.openxmlformats.org/officeDocument/2006/relationships/hyperlink" Target="https://stardewvalleywiki.com/Red_Plate" TargetMode="External"/><Relationship Id="rId125" Type="http://schemas.openxmlformats.org/officeDocument/2006/relationships/hyperlink" Target="https://stardewvalleywiki.com/Infinity_Blade" TargetMode="External"/><Relationship Id="rId246" Type="http://schemas.openxmlformats.org/officeDocument/2006/relationships/hyperlink" Target="https://stardewvalleywiki.com/Rainbow_Shell" TargetMode="External"/><Relationship Id="rId367" Type="http://schemas.openxmlformats.org/officeDocument/2006/relationships/hyperlink" Target="https://stardewvalleywiki.com/Bruschetta" TargetMode="External"/><Relationship Id="rId124" Type="http://schemas.openxmlformats.org/officeDocument/2006/relationships/hyperlink" Target="https://stardewvalleywiki.com/Infinity_Crown" TargetMode="External"/><Relationship Id="rId245" Type="http://schemas.openxmlformats.org/officeDocument/2006/relationships/hyperlink" Target="https://stardewvalleywiki.com/Autumn%27s_Bounty" TargetMode="External"/><Relationship Id="rId366" Type="http://schemas.openxmlformats.org/officeDocument/2006/relationships/hyperlink" Target="https://stardewvalleywiki.com/Carrot" TargetMode="External"/><Relationship Id="rId123" Type="http://schemas.openxmlformats.org/officeDocument/2006/relationships/hyperlink" Target="https://stardewvalleywiki.com/Pans" TargetMode="External"/><Relationship Id="rId244" Type="http://schemas.openxmlformats.org/officeDocument/2006/relationships/hyperlink" Target="https://stardewvalleywiki.com/Fiber" TargetMode="External"/><Relationship Id="rId365" Type="http://schemas.openxmlformats.org/officeDocument/2006/relationships/hyperlink" Target="https://stardewvalleywiki.com/Spaghetti" TargetMode="External"/><Relationship Id="rId122" Type="http://schemas.openxmlformats.org/officeDocument/2006/relationships/hyperlink" Target="https://stardewvalleywiki.com/Iridium_Pan_(hat)" TargetMode="External"/><Relationship Id="rId243" Type="http://schemas.openxmlformats.org/officeDocument/2006/relationships/hyperlink" Target="https://stardewvalleywiki.com/Tailoring" TargetMode="External"/><Relationship Id="rId364" Type="http://schemas.openxmlformats.org/officeDocument/2006/relationships/hyperlink" Target="https://stardewvalleywiki.com/Rusty_Spoon" TargetMode="External"/><Relationship Id="rId95" Type="http://schemas.openxmlformats.org/officeDocument/2006/relationships/hyperlink" Target="https://stardewvalleywiki.com/Mummy_Mask" TargetMode="External"/><Relationship Id="rId94" Type="http://schemas.openxmlformats.org/officeDocument/2006/relationships/hyperlink" Target="https://stardewvalleywiki.com/Mushroom_Tree" TargetMode="External"/><Relationship Id="rId97" Type="http://schemas.openxmlformats.org/officeDocument/2006/relationships/hyperlink" Target="https://stardewvalleywiki.com/Mr._Qi%27s_Hat" TargetMode="External"/><Relationship Id="rId96" Type="http://schemas.openxmlformats.org/officeDocument/2006/relationships/hyperlink" Target="https://stardewvalleywiki.com/Desert_Festival" TargetMode="External"/><Relationship Id="rId99" Type="http://schemas.openxmlformats.org/officeDocument/2006/relationships/hyperlink" Target="https://stardewvalleywiki.com/Mouse_Ears" TargetMode="External"/><Relationship Id="rId98" Type="http://schemas.openxmlformats.org/officeDocument/2006/relationships/hyperlink" Target="https://stardewvalleywiki.com/Qi%27s_Walnut_Room" TargetMode="External"/><Relationship Id="rId91" Type="http://schemas.openxmlformats.org/officeDocument/2006/relationships/hyperlink" Target="https://stardewvalleywiki.com/Mystery_Hat" TargetMode="External"/><Relationship Id="rId90" Type="http://schemas.openxmlformats.org/officeDocument/2006/relationships/hyperlink" Target="https://stardewvalleywiki.com/Fish" TargetMode="External"/><Relationship Id="rId93" Type="http://schemas.openxmlformats.org/officeDocument/2006/relationships/hyperlink" Target="https://stardewvalleywiki.com/Mushroom_Cap" TargetMode="External"/><Relationship Id="rId92" Type="http://schemas.openxmlformats.org/officeDocument/2006/relationships/hyperlink" Target="https://stardewvalleywiki.com/Mystery_Box" TargetMode="External"/><Relationship Id="rId118" Type="http://schemas.openxmlformats.org/officeDocument/2006/relationships/hyperlink" Target="https://stardewvalleywiki.com/Joja_Cap" TargetMode="External"/><Relationship Id="rId239" Type="http://schemas.openxmlformats.org/officeDocument/2006/relationships/hyperlink" Target="https://stardewvalleywiki.com/Banana_Pudding" TargetMode="External"/><Relationship Id="rId117" Type="http://schemas.openxmlformats.org/officeDocument/2006/relationships/hyperlink" Target="https://stardewvalleywiki.com/The_Summit" TargetMode="External"/><Relationship Id="rId238" Type="http://schemas.openxmlformats.org/officeDocument/2006/relationships/hyperlink" Target="https://stardewvalleywiki.com/Duck_Mayonnaise" TargetMode="External"/><Relationship Id="rId359" Type="http://schemas.openxmlformats.org/officeDocument/2006/relationships/hyperlink" Target="https://stardewvalleywiki.com/Cranberry_Candy" TargetMode="External"/><Relationship Id="rId116" Type="http://schemas.openxmlformats.org/officeDocument/2006/relationships/hyperlink" Target="https://stardewvalleywiki.com/Junimo_Hat" TargetMode="External"/><Relationship Id="rId237" Type="http://schemas.openxmlformats.org/officeDocument/2006/relationships/hyperlink" Target="https://stardewvalleywiki.com/Chipped_Amphora" TargetMode="External"/><Relationship Id="rId358" Type="http://schemas.openxmlformats.org/officeDocument/2006/relationships/hyperlink" Target="https://stardewvalleywiki.com/Magma_Geode" TargetMode="External"/><Relationship Id="rId115" Type="http://schemas.openxmlformats.org/officeDocument/2006/relationships/hyperlink" Target="https://stardewvalleywiki.com/Adventurer%27s_Guild" TargetMode="External"/><Relationship Id="rId236" Type="http://schemas.openxmlformats.org/officeDocument/2006/relationships/hyperlink" Target="https://stardewvalleywiki.com/Cactus_Fruit" TargetMode="External"/><Relationship Id="rId357" Type="http://schemas.openxmlformats.org/officeDocument/2006/relationships/hyperlink" Target="https://stardewvalleywiki.com/Hashbrowns" TargetMode="External"/><Relationship Id="rId119" Type="http://schemas.openxmlformats.org/officeDocument/2006/relationships/hyperlink" Target="https://stardewvalleywiki.com/Desert_Festival" TargetMode="External"/><Relationship Id="rId110" Type="http://schemas.openxmlformats.org/officeDocument/2006/relationships/hyperlink" Target="https://stardewvalleywiki.com/Leprechaun_Hat" TargetMode="External"/><Relationship Id="rId231" Type="http://schemas.openxmlformats.org/officeDocument/2006/relationships/hyperlink" Target="https://stardewvalleywiki.com/Adventurer%27s_Guild" TargetMode="External"/><Relationship Id="rId352" Type="http://schemas.openxmlformats.org/officeDocument/2006/relationships/hyperlink" Target="https://stardewvalleywiki.com/Prismatic_Shard" TargetMode="External"/><Relationship Id="rId230" Type="http://schemas.openxmlformats.org/officeDocument/2006/relationships/hyperlink" Target="https://stardewvalleywiki.com/Arcane_Hat" TargetMode="External"/><Relationship Id="rId351" Type="http://schemas.openxmlformats.org/officeDocument/2006/relationships/hyperlink" Target="https://stardewvalleywiki.com/Coffee" TargetMode="External"/><Relationship Id="rId350" Type="http://schemas.openxmlformats.org/officeDocument/2006/relationships/hyperlink" Target="https://stardewvalleywiki.com/Roe" TargetMode="External"/><Relationship Id="rId114" Type="http://schemas.openxmlformats.org/officeDocument/2006/relationships/hyperlink" Target="https://stardewvalleywiki.com/Knight%27s_Helmet" TargetMode="External"/><Relationship Id="rId235" Type="http://schemas.openxmlformats.org/officeDocument/2006/relationships/hyperlink" Target="https://stardewvalleywiki.com/Forge" TargetMode="External"/><Relationship Id="rId356" Type="http://schemas.openxmlformats.org/officeDocument/2006/relationships/hyperlink" Target="https://stardewvalleywiki.com/Trout_Soup" TargetMode="External"/><Relationship Id="rId113" Type="http://schemas.openxmlformats.org/officeDocument/2006/relationships/hyperlink" Target="https://stardewvalleywiki.com/Desert_Festival" TargetMode="External"/><Relationship Id="rId234" Type="http://schemas.openxmlformats.org/officeDocument/2006/relationships/hyperlink" Target="https://stardewvalleywiki.com/%3F%3F%3F_(hat)" TargetMode="External"/><Relationship Id="rId355" Type="http://schemas.openxmlformats.org/officeDocument/2006/relationships/hyperlink" Target="https://stardewvalleywiki.com/Crayfish" TargetMode="External"/><Relationship Id="rId112" Type="http://schemas.openxmlformats.org/officeDocument/2006/relationships/hyperlink" Target="https://stardewvalleywiki.com/Laurel_Wreath_Crown" TargetMode="External"/><Relationship Id="rId233" Type="http://schemas.openxmlformats.org/officeDocument/2006/relationships/hyperlink" Target="https://stardewvalleywiki.com/Desert_Festival" TargetMode="External"/><Relationship Id="rId354" Type="http://schemas.openxmlformats.org/officeDocument/2006/relationships/hyperlink" Target="https://stardewvalleywiki.com/Prismatic_Shard" TargetMode="External"/><Relationship Id="rId111" Type="http://schemas.openxmlformats.org/officeDocument/2006/relationships/hyperlink" Target="https://stardewvalleywiki.com/Abandoned_House" TargetMode="External"/><Relationship Id="rId232" Type="http://schemas.openxmlformats.org/officeDocument/2006/relationships/hyperlink" Target="https://stardewvalleywiki.com/Abigail%27s_Bow" TargetMode="External"/><Relationship Id="rId353" Type="http://schemas.openxmlformats.org/officeDocument/2006/relationships/hyperlink" Target="https://stardewvalleywiki.com/Prismatic_Shard" TargetMode="External"/><Relationship Id="rId305" Type="http://schemas.openxmlformats.org/officeDocument/2006/relationships/hyperlink" Target="https://stardewvalleywiki.com/Rhubarb" TargetMode="External"/><Relationship Id="rId426" Type="http://schemas.openxmlformats.org/officeDocument/2006/relationships/hyperlink" Target="https://stardewvalleywiki.com/Orange" TargetMode="External"/><Relationship Id="rId304" Type="http://schemas.openxmlformats.org/officeDocument/2006/relationships/hyperlink" Target="https://stardewvalleywiki.com/Malachite" TargetMode="External"/><Relationship Id="rId425" Type="http://schemas.openxmlformats.org/officeDocument/2006/relationships/hyperlink" Target="https://stardewvalleywiki.com/Apple" TargetMode="External"/><Relationship Id="rId303" Type="http://schemas.openxmlformats.org/officeDocument/2006/relationships/hyperlink" Target="https://stardewvalleywiki.com/Cave_Carrot" TargetMode="External"/><Relationship Id="rId424" Type="http://schemas.openxmlformats.org/officeDocument/2006/relationships/hyperlink" Target="https://stardewvalleywiki.com/Honey" TargetMode="External"/><Relationship Id="rId302" Type="http://schemas.openxmlformats.org/officeDocument/2006/relationships/hyperlink" Target="https://stardewvalleywiki.com/Quartz" TargetMode="External"/><Relationship Id="rId423" Type="http://schemas.openxmlformats.org/officeDocument/2006/relationships/hyperlink" Target="https://stardewvalleywiki.com/Slime_Egg" TargetMode="External"/><Relationship Id="rId309" Type="http://schemas.openxmlformats.org/officeDocument/2006/relationships/hyperlink" Target="https://stardewvalleywiki.com/Ancient_Sword" TargetMode="External"/><Relationship Id="rId308" Type="http://schemas.openxmlformats.org/officeDocument/2006/relationships/hyperlink" Target="https://stardewvalleywiki.com/Jamborite" TargetMode="External"/><Relationship Id="rId429" Type="http://schemas.openxmlformats.org/officeDocument/2006/relationships/drawing" Target="../drawings/drawing8.xml"/><Relationship Id="rId307" Type="http://schemas.openxmlformats.org/officeDocument/2006/relationships/hyperlink" Target="https://stardewvalleywiki.com/Fiddlehead_Fern" TargetMode="External"/><Relationship Id="rId428" Type="http://schemas.openxmlformats.org/officeDocument/2006/relationships/hyperlink" Target="https://stardewvalleywiki.com/Prismatic_Shard" TargetMode="External"/><Relationship Id="rId306" Type="http://schemas.openxmlformats.org/officeDocument/2006/relationships/hyperlink" Target="https://stardewvalleywiki.com/Super_Meal" TargetMode="External"/><Relationship Id="rId427" Type="http://schemas.openxmlformats.org/officeDocument/2006/relationships/hyperlink" Target="https://stardewvalleywiki.com/Prismatic_Shard" TargetMode="External"/><Relationship Id="rId301" Type="http://schemas.openxmlformats.org/officeDocument/2006/relationships/hyperlink" Target="https://stardewvalleywiki.com/Esperite" TargetMode="External"/><Relationship Id="rId422" Type="http://schemas.openxmlformats.org/officeDocument/2006/relationships/hyperlink" Target="https://stardewvalleywiki.com/Ancient_Fruit" TargetMode="External"/><Relationship Id="rId300" Type="http://schemas.openxmlformats.org/officeDocument/2006/relationships/hyperlink" Target="https://stardewvalleywiki.com/Geode" TargetMode="External"/><Relationship Id="rId421" Type="http://schemas.openxmlformats.org/officeDocument/2006/relationships/hyperlink" Target="https://stardewvalleywiki.com/Hay" TargetMode="External"/><Relationship Id="rId420" Type="http://schemas.openxmlformats.org/officeDocument/2006/relationships/hyperlink" Target="https://stardewvalleywiki.com/Dinosaur_Mayonnaise" TargetMode="External"/><Relationship Id="rId415" Type="http://schemas.openxmlformats.org/officeDocument/2006/relationships/hyperlink" Target="https://stardewvalleywiki.com/Cranberries" TargetMode="External"/><Relationship Id="rId414" Type="http://schemas.openxmlformats.org/officeDocument/2006/relationships/hyperlink" Target="https://stardewvalleywiki.com/Mango_Sticky_Rice" TargetMode="External"/><Relationship Id="rId413" Type="http://schemas.openxmlformats.org/officeDocument/2006/relationships/hyperlink" Target="https://stardewvalleywiki.com/Omelet" TargetMode="External"/><Relationship Id="rId412" Type="http://schemas.openxmlformats.org/officeDocument/2006/relationships/hyperlink" Target="https://stardewvalleywiki.com/Strange_Doll_(green)" TargetMode="External"/><Relationship Id="rId419" Type="http://schemas.openxmlformats.org/officeDocument/2006/relationships/hyperlink" Target="https://stardewvalleywiki.com/Poppy" TargetMode="External"/><Relationship Id="rId418" Type="http://schemas.openxmlformats.org/officeDocument/2006/relationships/hyperlink" Target="https://stardewvalleywiki.com/Blue_Jazz" TargetMode="External"/><Relationship Id="rId417" Type="http://schemas.openxmlformats.org/officeDocument/2006/relationships/hyperlink" Target="https://stardewvalleywiki.com/Fairy_Rose" TargetMode="External"/><Relationship Id="rId416" Type="http://schemas.openxmlformats.org/officeDocument/2006/relationships/hyperlink" Target="https://stardewvalleywiki.com/Blueberry" TargetMode="External"/><Relationship Id="rId411" Type="http://schemas.openxmlformats.org/officeDocument/2006/relationships/hyperlink" Target="https://stardewvalleywiki.com/Stone" TargetMode="External"/><Relationship Id="rId410" Type="http://schemas.openxmlformats.org/officeDocument/2006/relationships/hyperlink" Target="https://stardewvalleywiki.com/Milk" TargetMode="External"/><Relationship Id="rId206" Type="http://schemas.openxmlformats.org/officeDocument/2006/relationships/hyperlink" Target="https://stardewvalleywiki.com/Friendship" TargetMode="External"/><Relationship Id="rId327" Type="http://schemas.openxmlformats.org/officeDocument/2006/relationships/hyperlink" Target="https://stardewvalleywiki.com/Mayonnaise" TargetMode="External"/><Relationship Id="rId205" Type="http://schemas.openxmlformats.org/officeDocument/2006/relationships/hyperlink" Target="https://stardewvalleywiki.com/Cat_Ears" TargetMode="External"/><Relationship Id="rId326" Type="http://schemas.openxmlformats.org/officeDocument/2006/relationships/hyperlink" Target="https://stardewvalleywiki.com/Harvey%27s_Clinic" TargetMode="External"/><Relationship Id="rId204" Type="http://schemas.openxmlformats.org/officeDocument/2006/relationships/hyperlink" Target="https://stardewvalleywiki.com/Cooking" TargetMode="External"/><Relationship Id="rId325" Type="http://schemas.openxmlformats.org/officeDocument/2006/relationships/hyperlink" Target="https://stardewvalleywiki.com/Jagoite" TargetMode="External"/><Relationship Id="rId203" Type="http://schemas.openxmlformats.org/officeDocument/2006/relationships/hyperlink" Target="https://stardewvalleywiki.com/Chef_Hat" TargetMode="External"/><Relationship Id="rId324" Type="http://schemas.openxmlformats.org/officeDocument/2006/relationships/hyperlink" Target="https://stardewvalleywiki.com/Seaweed" TargetMode="External"/><Relationship Id="rId209" Type="http://schemas.openxmlformats.org/officeDocument/2006/relationships/hyperlink" Target="https://stardewvalleywiki.com/Bucket_Hat" TargetMode="External"/><Relationship Id="rId208" Type="http://schemas.openxmlformats.org/officeDocument/2006/relationships/hyperlink" Target="https://stardewvalleywiki.com/Friendship" TargetMode="External"/><Relationship Id="rId329" Type="http://schemas.openxmlformats.org/officeDocument/2006/relationships/hyperlink" Target="https://stardewvalleywiki.com/Duck_Feather" TargetMode="External"/><Relationship Id="rId207" Type="http://schemas.openxmlformats.org/officeDocument/2006/relationships/hyperlink" Target="https://stardewvalleywiki.com/Butterfly_Bow" TargetMode="External"/><Relationship Id="rId328" Type="http://schemas.openxmlformats.org/officeDocument/2006/relationships/hyperlink" Target="https://stardewvalleywiki.com/Rice_Pudding" TargetMode="External"/><Relationship Id="rId202" Type="http://schemas.openxmlformats.org/officeDocument/2006/relationships/hyperlink" Target="https://stardewvalleywiki.com/Quests" TargetMode="External"/><Relationship Id="rId323" Type="http://schemas.openxmlformats.org/officeDocument/2006/relationships/hyperlink" Target="https://stardewvalleywiki.com/Elvish_Jewelry" TargetMode="External"/><Relationship Id="rId201" Type="http://schemas.openxmlformats.org/officeDocument/2006/relationships/hyperlink" Target="https://stardewvalleywiki.com/Chicken_Mask" TargetMode="External"/><Relationship Id="rId322" Type="http://schemas.openxmlformats.org/officeDocument/2006/relationships/hyperlink" Target="https://stardewvalleywiki.com/Pyrite" TargetMode="External"/><Relationship Id="rId200" Type="http://schemas.openxmlformats.org/officeDocument/2006/relationships/hyperlink" Target="https://stardewvalleywiki.com/Night_Market" TargetMode="External"/><Relationship Id="rId321" Type="http://schemas.openxmlformats.org/officeDocument/2006/relationships/hyperlink" Target="https://stardewvalleywiki.com/Golden_Coconut" TargetMode="External"/><Relationship Id="rId320" Type="http://schemas.openxmlformats.org/officeDocument/2006/relationships/hyperlink" Target="https://stardewvalleywiki.com/Iridium_Ore" TargetMode="External"/><Relationship Id="rId316" Type="http://schemas.openxmlformats.org/officeDocument/2006/relationships/hyperlink" Target="https://stardewvalleywiki.com/Deluxe_Speed-Gro" TargetMode="External"/><Relationship Id="rId315" Type="http://schemas.openxmlformats.org/officeDocument/2006/relationships/hyperlink" Target="https://stardewvalleywiki.com/Basic_Fertilizer" TargetMode="External"/><Relationship Id="rId314" Type="http://schemas.openxmlformats.org/officeDocument/2006/relationships/hyperlink" Target="https://stardewvalleywiki.com/Torch" TargetMode="External"/><Relationship Id="rId313" Type="http://schemas.openxmlformats.org/officeDocument/2006/relationships/hyperlink" Target="https://stardewvalleywiki.com/Strange_Bun" TargetMode="External"/><Relationship Id="rId319" Type="http://schemas.openxmlformats.org/officeDocument/2006/relationships/hyperlink" Target="https://stardewvalleywiki.com/Iridium_Bar" TargetMode="External"/><Relationship Id="rId318" Type="http://schemas.openxmlformats.org/officeDocument/2006/relationships/hyperlink" Target="https://stardewvalleywiki.com/Poi" TargetMode="External"/><Relationship Id="rId317" Type="http://schemas.openxmlformats.org/officeDocument/2006/relationships/hyperlink" Target="https://stardewvalleywiki.com/Pumpkin_Pie" TargetMode="External"/><Relationship Id="rId312" Type="http://schemas.openxmlformats.org/officeDocument/2006/relationships/hyperlink" Target="https://stardewvalleywiki.com/Oasis" TargetMode="External"/><Relationship Id="rId311" Type="http://schemas.openxmlformats.org/officeDocument/2006/relationships/hyperlink" Target="https://stardewvalleywiki.com/Lemon_Stone" TargetMode="External"/><Relationship Id="rId310" Type="http://schemas.openxmlformats.org/officeDocument/2006/relationships/hyperlink" Target="https://stardewvalleywiki.com/Bean_Hotpo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0.38"/>
    <col customWidth="1" min="3" max="3" width="20.38"/>
    <col customWidth="1" min="4" max="4" width="20.5"/>
    <col customWidth="1" min="5" max="5" width="22.0"/>
    <col customWidth="1" min="8" max="8" width="46.13"/>
    <col customWidth="1" min="9" max="9" width="26.63"/>
  </cols>
  <sheetData>
    <row r="1">
      <c r="A1" s="1" t="s">
        <v>0</v>
      </c>
      <c r="B1" s="2" t="s">
        <v>1</v>
      </c>
      <c r="C1" s="3"/>
      <c r="D1" s="4" t="s">
        <v>2</v>
      </c>
      <c r="E1" s="3"/>
      <c r="F1" s="4" t="s">
        <v>3</v>
      </c>
      <c r="G1" s="5"/>
      <c r="H1" s="3"/>
      <c r="I1" s="6" t="s">
        <v>4</v>
      </c>
      <c r="J1" s="7"/>
      <c r="K1" s="7"/>
      <c r="L1" s="7"/>
      <c r="M1" s="7"/>
      <c r="N1" s="7"/>
      <c r="O1" s="7"/>
    </row>
    <row r="2">
      <c r="A2" s="8" t="s">
        <v>5</v>
      </c>
      <c r="B2" s="9" t="s">
        <v>6</v>
      </c>
      <c r="C2" s="10"/>
      <c r="D2" s="11" t="s">
        <v>7</v>
      </c>
      <c r="E2" s="10"/>
      <c r="F2" s="12" t="s">
        <v>12</v>
      </c>
      <c r="G2" s="13"/>
      <c r="H2" s="10"/>
      <c r="I2" s="14"/>
      <c r="J2" s="7"/>
      <c r="K2" s="7"/>
      <c r="L2" s="7"/>
      <c r="M2" s="7"/>
      <c r="N2" s="7">
        <f t="shared" ref="N2:N131" si="1"> IF(ISBLANK(F2), 0, 1)</f>
        <v>1</v>
      </c>
      <c r="O2" s="7"/>
    </row>
    <row r="3" ht="16.5" customHeight="1">
      <c r="A3" s="8" t="s">
        <v>9</v>
      </c>
      <c r="B3" s="9" t="s">
        <v>10</v>
      </c>
      <c r="C3" s="10"/>
      <c r="D3" s="11" t="s">
        <v>11</v>
      </c>
      <c r="E3" s="10"/>
      <c r="F3" s="12" t="s">
        <v>13</v>
      </c>
      <c r="G3" s="13"/>
      <c r="H3" s="10"/>
      <c r="I3" s="14"/>
      <c r="J3" s="7"/>
      <c r="K3" s="7"/>
      <c r="L3" s="7"/>
      <c r="M3" s="7"/>
      <c r="N3" s="7">
        <f t="shared" si="1"/>
        <v>1</v>
      </c>
      <c r="O3" s="7"/>
    </row>
    <row r="4">
      <c r="A4" s="8" t="s">
        <v>14</v>
      </c>
      <c r="B4" s="9" t="s">
        <v>15</v>
      </c>
      <c r="C4" s="10"/>
      <c r="D4" s="15" t="s">
        <v>16</v>
      </c>
      <c r="E4" s="10"/>
      <c r="F4" s="16"/>
      <c r="G4" s="13"/>
      <c r="H4" s="10"/>
      <c r="I4" s="14"/>
      <c r="J4" s="7"/>
      <c r="K4" s="7"/>
      <c r="L4" s="7"/>
      <c r="M4" s="7"/>
      <c r="N4" s="7">
        <f t="shared" si="1"/>
        <v>0</v>
      </c>
      <c r="O4" s="7"/>
    </row>
    <row r="5">
      <c r="A5" s="8" t="s">
        <v>17</v>
      </c>
      <c r="B5" s="9" t="s">
        <v>18</v>
      </c>
      <c r="C5" s="10"/>
      <c r="D5" s="11" t="s">
        <v>7</v>
      </c>
      <c r="E5" s="10"/>
      <c r="F5" s="12" t="s">
        <v>19</v>
      </c>
      <c r="G5" s="13"/>
      <c r="H5" s="10"/>
      <c r="I5" s="17" t="s">
        <v>20</v>
      </c>
      <c r="J5" s="7"/>
      <c r="K5" s="7"/>
      <c r="L5" s="7"/>
      <c r="M5" s="7"/>
      <c r="N5" s="7">
        <f t="shared" si="1"/>
        <v>1</v>
      </c>
      <c r="O5" s="7"/>
    </row>
    <row r="6">
      <c r="A6" s="8" t="s">
        <v>21</v>
      </c>
      <c r="B6" s="9" t="s">
        <v>22</v>
      </c>
      <c r="C6" s="10"/>
      <c r="D6" s="18" t="s">
        <v>23</v>
      </c>
      <c r="E6" s="10"/>
      <c r="F6" s="12" t="s">
        <v>24</v>
      </c>
      <c r="G6" s="13"/>
      <c r="H6" s="10"/>
      <c r="I6" s="14"/>
      <c r="J6" s="7"/>
      <c r="K6" s="7"/>
      <c r="L6" s="7"/>
      <c r="M6" s="7"/>
      <c r="N6" s="7">
        <f t="shared" si="1"/>
        <v>1</v>
      </c>
      <c r="O6" s="7"/>
    </row>
    <row r="7">
      <c r="A7" s="8" t="s">
        <v>25</v>
      </c>
      <c r="B7" s="9" t="s">
        <v>26</v>
      </c>
      <c r="C7" s="10"/>
      <c r="D7" s="11" t="s">
        <v>7</v>
      </c>
      <c r="E7" s="10"/>
      <c r="F7" s="12" t="s">
        <v>41</v>
      </c>
      <c r="G7" s="13"/>
      <c r="H7" s="10"/>
      <c r="I7" s="14"/>
      <c r="J7" s="7"/>
      <c r="K7" s="7"/>
      <c r="L7" s="7"/>
      <c r="M7" s="7"/>
      <c r="N7" s="7">
        <f t="shared" si="1"/>
        <v>1</v>
      </c>
      <c r="O7" s="7"/>
    </row>
    <row r="8">
      <c r="A8" s="8" t="s">
        <v>28</v>
      </c>
      <c r="B8" s="9" t="s">
        <v>29</v>
      </c>
      <c r="C8" s="10"/>
      <c r="D8" s="11" t="s">
        <v>30</v>
      </c>
      <c r="E8" s="10"/>
      <c r="F8" s="12" t="s">
        <v>31</v>
      </c>
      <c r="G8" s="13"/>
      <c r="H8" s="10"/>
      <c r="I8" s="14"/>
      <c r="J8" s="7"/>
      <c r="K8" s="7"/>
      <c r="L8" s="7"/>
      <c r="M8" s="7"/>
      <c r="N8" s="7">
        <f t="shared" si="1"/>
        <v>1</v>
      </c>
      <c r="O8" s="7"/>
    </row>
    <row r="9">
      <c r="A9" s="8" t="s">
        <v>32</v>
      </c>
      <c r="B9" s="9" t="s">
        <v>33</v>
      </c>
      <c r="C9" s="10"/>
      <c r="D9" s="9" t="s">
        <v>34</v>
      </c>
      <c r="E9" s="10"/>
      <c r="F9" s="16"/>
      <c r="G9" s="13"/>
      <c r="H9" s="10"/>
      <c r="I9" s="14"/>
      <c r="J9" s="7"/>
      <c r="K9" s="7"/>
      <c r="L9" s="7"/>
      <c r="M9" s="7"/>
      <c r="N9" s="7">
        <f t="shared" si="1"/>
        <v>0</v>
      </c>
      <c r="O9" s="7"/>
    </row>
    <row r="10">
      <c r="A10" s="8" t="s">
        <v>35</v>
      </c>
      <c r="B10" s="15" t="s">
        <v>36</v>
      </c>
      <c r="C10" s="10"/>
      <c r="D10" s="19" t="s">
        <v>55</v>
      </c>
      <c r="E10" s="10"/>
      <c r="F10" s="12" t="s">
        <v>38</v>
      </c>
      <c r="G10" s="13"/>
      <c r="H10" s="10"/>
      <c r="I10" s="17" t="s">
        <v>39</v>
      </c>
      <c r="J10" s="7"/>
      <c r="K10" s="7"/>
      <c r="L10" s="7"/>
      <c r="M10" s="7"/>
      <c r="N10" s="7">
        <f t="shared" si="1"/>
        <v>1</v>
      </c>
      <c r="O10" s="7"/>
    </row>
    <row r="11">
      <c r="A11" s="8" t="s">
        <v>40</v>
      </c>
      <c r="B11" s="9" t="s">
        <v>42</v>
      </c>
      <c r="C11" s="10"/>
      <c r="D11" s="11" t="s">
        <v>7</v>
      </c>
      <c r="E11" s="10"/>
      <c r="F11" s="12" t="s">
        <v>43</v>
      </c>
      <c r="G11" s="13"/>
      <c r="H11" s="10"/>
      <c r="I11" s="14"/>
      <c r="J11" s="7"/>
      <c r="K11" s="7"/>
      <c r="L11" s="7"/>
      <c r="M11" s="7"/>
      <c r="N11" s="7">
        <f t="shared" si="1"/>
        <v>1</v>
      </c>
      <c r="O11" s="7"/>
    </row>
    <row r="12">
      <c r="A12" s="8" t="s">
        <v>44</v>
      </c>
      <c r="B12" s="9" t="s">
        <v>45</v>
      </c>
      <c r="C12" s="10"/>
      <c r="D12" s="19" t="s">
        <v>66</v>
      </c>
      <c r="E12" s="10"/>
      <c r="F12" s="12" t="s">
        <v>69</v>
      </c>
      <c r="G12" s="13"/>
      <c r="H12" s="10"/>
      <c r="I12" s="14"/>
      <c r="J12" s="7"/>
      <c r="K12" s="7"/>
      <c r="L12" s="7"/>
      <c r="M12" s="7"/>
      <c r="N12" s="7">
        <f t="shared" si="1"/>
        <v>1</v>
      </c>
      <c r="O12" s="7"/>
    </row>
    <row r="13">
      <c r="A13" s="8" t="s">
        <v>48</v>
      </c>
      <c r="B13" s="9" t="s">
        <v>49</v>
      </c>
      <c r="C13" s="10"/>
      <c r="D13" s="18" t="s">
        <v>50</v>
      </c>
      <c r="E13" s="10"/>
      <c r="F13" s="12" t="s">
        <v>51</v>
      </c>
      <c r="G13" s="13"/>
      <c r="H13" s="10"/>
      <c r="I13" s="17" t="s">
        <v>52</v>
      </c>
      <c r="J13" s="7"/>
      <c r="K13" s="7"/>
      <c r="L13" s="7"/>
      <c r="M13" s="7"/>
      <c r="N13" s="7">
        <f t="shared" si="1"/>
        <v>1</v>
      </c>
      <c r="O13" s="7"/>
    </row>
    <row r="14">
      <c r="A14" s="8" t="s">
        <v>53</v>
      </c>
      <c r="B14" s="15" t="s">
        <v>54</v>
      </c>
      <c r="C14" s="10"/>
      <c r="D14" s="19" t="s">
        <v>81</v>
      </c>
      <c r="E14" s="10"/>
      <c r="F14" s="12" t="s">
        <v>84</v>
      </c>
      <c r="G14" s="13"/>
      <c r="H14" s="10"/>
      <c r="I14" s="14"/>
      <c r="J14" s="7"/>
      <c r="K14" s="7"/>
      <c r="L14" s="7"/>
      <c r="M14" s="7"/>
      <c r="N14" s="7">
        <f t="shared" si="1"/>
        <v>1</v>
      </c>
      <c r="O14" s="7"/>
    </row>
    <row r="15">
      <c r="A15" s="8" t="s">
        <v>59</v>
      </c>
      <c r="B15" s="9" t="s">
        <v>60</v>
      </c>
      <c r="C15" s="10"/>
      <c r="D15" s="11" t="s">
        <v>7</v>
      </c>
      <c r="E15" s="10"/>
      <c r="F15" s="12" t="s">
        <v>61</v>
      </c>
      <c r="G15" s="13"/>
      <c r="H15" s="10"/>
      <c r="I15" s="14"/>
      <c r="J15" s="7"/>
      <c r="K15" s="7"/>
      <c r="L15" s="7"/>
      <c r="M15" s="7"/>
      <c r="N15" s="7">
        <f t="shared" si="1"/>
        <v>1</v>
      </c>
      <c r="O15" s="7"/>
    </row>
    <row r="16">
      <c r="A16" s="8" t="s">
        <v>63</v>
      </c>
      <c r="B16" s="9" t="s">
        <v>64</v>
      </c>
      <c r="C16" s="10"/>
      <c r="D16" s="11" t="s">
        <v>7</v>
      </c>
      <c r="E16" s="10"/>
      <c r="F16" s="12" t="s">
        <v>65</v>
      </c>
      <c r="G16" s="13"/>
      <c r="H16" s="10"/>
      <c r="I16" s="14"/>
      <c r="J16" s="7"/>
      <c r="K16" s="7"/>
      <c r="L16" s="7"/>
      <c r="M16" s="7"/>
      <c r="N16" s="7">
        <f t="shared" si="1"/>
        <v>1</v>
      </c>
      <c r="O16" s="7"/>
    </row>
    <row r="17">
      <c r="A17" s="8" t="s">
        <v>67</v>
      </c>
      <c r="B17" s="9" t="s">
        <v>68</v>
      </c>
      <c r="C17" s="10"/>
      <c r="D17" s="18" t="s">
        <v>70</v>
      </c>
      <c r="E17" s="10"/>
      <c r="F17" s="12" t="s">
        <v>72</v>
      </c>
      <c r="G17" s="13"/>
      <c r="H17" s="10"/>
      <c r="I17" s="14"/>
      <c r="J17" s="7"/>
      <c r="K17" s="7"/>
      <c r="L17" s="7"/>
      <c r="M17" s="7"/>
      <c r="N17" s="7">
        <f t="shared" si="1"/>
        <v>1</v>
      </c>
      <c r="O17" s="7"/>
    </row>
    <row r="18">
      <c r="A18" s="8" t="s">
        <v>73</v>
      </c>
      <c r="B18" s="9" t="s">
        <v>75</v>
      </c>
      <c r="C18" s="10"/>
      <c r="D18" s="18" t="s">
        <v>76</v>
      </c>
      <c r="E18" s="10"/>
      <c r="F18" s="12" t="s">
        <v>77</v>
      </c>
      <c r="G18" s="13"/>
      <c r="H18" s="10"/>
      <c r="I18" s="14"/>
      <c r="J18" s="7"/>
      <c r="K18" s="7"/>
      <c r="L18" s="7"/>
      <c r="M18" s="7"/>
      <c r="N18" s="7">
        <f t="shared" si="1"/>
        <v>1</v>
      </c>
      <c r="O18" s="7"/>
    </row>
    <row r="19">
      <c r="A19" s="20" t="s">
        <v>78</v>
      </c>
      <c r="B19" s="9" t="s">
        <v>79</v>
      </c>
      <c r="C19" s="10"/>
      <c r="D19" s="11" t="s">
        <v>7</v>
      </c>
      <c r="E19" s="10"/>
      <c r="F19" s="12" t="s">
        <v>80</v>
      </c>
      <c r="G19" s="13"/>
      <c r="H19" s="10"/>
      <c r="I19" s="17" t="s">
        <v>82</v>
      </c>
      <c r="J19" s="7"/>
      <c r="K19" s="7"/>
      <c r="L19" s="7"/>
      <c r="M19" s="7"/>
      <c r="N19" s="7">
        <f t="shared" si="1"/>
        <v>1</v>
      </c>
      <c r="O19" s="7"/>
    </row>
    <row r="20">
      <c r="A20" s="8" t="s">
        <v>83</v>
      </c>
      <c r="B20" s="15" t="s">
        <v>86</v>
      </c>
      <c r="C20" s="10"/>
      <c r="D20" s="19" t="s">
        <v>108</v>
      </c>
      <c r="E20" s="10"/>
      <c r="F20" s="12" t="s">
        <v>88</v>
      </c>
      <c r="G20" s="13"/>
      <c r="H20" s="10"/>
      <c r="I20" s="14"/>
      <c r="J20" s="7"/>
      <c r="K20" s="7"/>
      <c r="L20" s="7"/>
      <c r="M20" s="7"/>
      <c r="N20" s="7">
        <f t="shared" si="1"/>
        <v>1</v>
      </c>
      <c r="O20" s="7"/>
    </row>
    <row r="21">
      <c r="A21" s="8" t="s">
        <v>89</v>
      </c>
      <c r="B21" s="15" t="s">
        <v>90</v>
      </c>
      <c r="C21" s="10"/>
      <c r="D21" s="18" t="s">
        <v>91</v>
      </c>
      <c r="E21" s="10"/>
      <c r="F21" s="12" t="s">
        <v>116</v>
      </c>
      <c r="G21" s="13"/>
      <c r="H21" s="10"/>
      <c r="I21" s="14"/>
      <c r="J21" s="7"/>
      <c r="K21" s="7"/>
      <c r="L21" s="7"/>
      <c r="M21" s="7"/>
      <c r="N21" s="7">
        <f t="shared" si="1"/>
        <v>1</v>
      </c>
      <c r="O21" s="7"/>
    </row>
    <row r="22">
      <c r="A22" s="8" t="s">
        <v>93</v>
      </c>
      <c r="B22" s="9" t="s">
        <v>94</v>
      </c>
      <c r="C22" s="10"/>
      <c r="D22" s="11" t="s">
        <v>7</v>
      </c>
      <c r="E22" s="10"/>
      <c r="F22" s="16"/>
      <c r="G22" s="13"/>
      <c r="H22" s="10"/>
      <c r="I22" s="14"/>
      <c r="J22" s="7"/>
      <c r="K22" s="7"/>
      <c r="L22" s="7"/>
      <c r="M22" s="7"/>
      <c r="N22" s="7">
        <f t="shared" si="1"/>
        <v>0</v>
      </c>
      <c r="O22" s="7"/>
    </row>
    <row r="23">
      <c r="A23" s="8" t="s">
        <v>95</v>
      </c>
      <c r="B23" s="9" t="s">
        <v>96</v>
      </c>
      <c r="C23" s="10"/>
      <c r="D23" s="19" t="s">
        <v>129</v>
      </c>
      <c r="E23" s="10"/>
      <c r="F23" s="12" t="s">
        <v>99</v>
      </c>
      <c r="G23" s="13"/>
      <c r="H23" s="10"/>
      <c r="I23" s="14"/>
      <c r="J23" s="7"/>
      <c r="K23" s="7"/>
      <c r="L23" s="7"/>
      <c r="M23" s="7"/>
      <c r="N23" s="7">
        <f t="shared" si="1"/>
        <v>1</v>
      </c>
      <c r="O23" s="7"/>
    </row>
    <row r="24">
      <c r="A24" s="8" t="s">
        <v>100</v>
      </c>
      <c r="B24" s="15" t="s">
        <v>101</v>
      </c>
      <c r="C24" s="10"/>
      <c r="D24" s="19" t="s">
        <v>135</v>
      </c>
      <c r="E24" s="10"/>
      <c r="F24" s="12" t="s">
        <v>103</v>
      </c>
      <c r="G24" s="13"/>
      <c r="H24" s="10"/>
      <c r="I24" s="14"/>
      <c r="J24" s="7"/>
      <c r="K24" s="7"/>
      <c r="L24" s="7"/>
      <c r="M24" s="7"/>
      <c r="N24" s="7">
        <f t="shared" si="1"/>
        <v>1</v>
      </c>
      <c r="O24" s="7"/>
    </row>
    <row r="25">
      <c r="A25" s="8" t="s">
        <v>104</v>
      </c>
      <c r="B25" s="9" t="s">
        <v>105</v>
      </c>
      <c r="C25" s="10"/>
      <c r="D25" s="19" t="s">
        <v>142</v>
      </c>
      <c r="E25" s="10"/>
      <c r="F25" s="16"/>
      <c r="G25" s="13"/>
      <c r="H25" s="10"/>
      <c r="I25" s="14"/>
      <c r="J25" s="7"/>
      <c r="K25" s="7"/>
      <c r="L25" s="7"/>
      <c r="M25" s="7"/>
      <c r="N25" s="7">
        <f t="shared" si="1"/>
        <v>0</v>
      </c>
      <c r="O25" s="7"/>
    </row>
    <row r="26">
      <c r="A26" s="8" t="s">
        <v>107</v>
      </c>
      <c r="B26" s="15" t="s">
        <v>109</v>
      </c>
      <c r="C26" s="10"/>
      <c r="D26" s="9" t="s">
        <v>110</v>
      </c>
      <c r="E26" s="10"/>
      <c r="F26" s="12" t="s">
        <v>111</v>
      </c>
      <c r="G26" s="13"/>
      <c r="H26" s="10"/>
      <c r="I26" s="14"/>
      <c r="J26" s="7"/>
      <c r="K26" s="7"/>
      <c r="L26" s="7"/>
      <c r="M26" s="7"/>
      <c r="N26" s="7">
        <f t="shared" si="1"/>
        <v>1</v>
      </c>
      <c r="O26" s="7"/>
    </row>
    <row r="27">
      <c r="A27" s="8" t="s">
        <v>112</v>
      </c>
      <c r="B27" s="9" t="s">
        <v>113</v>
      </c>
      <c r="C27" s="10"/>
      <c r="D27" s="11" t="s">
        <v>114</v>
      </c>
      <c r="E27" s="10"/>
      <c r="F27" s="16"/>
      <c r="G27" s="13"/>
      <c r="H27" s="10"/>
      <c r="I27" s="14"/>
      <c r="J27" s="7"/>
      <c r="K27" s="7"/>
      <c r="L27" s="7"/>
      <c r="M27" s="7"/>
      <c r="N27" s="7">
        <f t="shared" si="1"/>
        <v>0</v>
      </c>
      <c r="O27" s="7"/>
    </row>
    <row r="28">
      <c r="A28" s="8" t="s">
        <v>115</v>
      </c>
      <c r="B28" s="9" t="s">
        <v>117</v>
      </c>
      <c r="C28" s="10"/>
      <c r="D28" s="21" t="s">
        <v>158</v>
      </c>
      <c r="E28" s="10"/>
      <c r="F28" s="12" t="s">
        <v>121</v>
      </c>
      <c r="G28" s="13"/>
      <c r="H28" s="10"/>
      <c r="I28" s="17" t="s">
        <v>122</v>
      </c>
      <c r="J28" s="7"/>
      <c r="K28" s="7"/>
      <c r="L28" s="7"/>
      <c r="M28" s="7"/>
      <c r="N28" s="7">
        <f t="shared" si="1"/>
        <v>1</v>
      </c>
      <c r="O28" s="7"/>
    </row>
    <row r="29">
      <c r="A29" s="20" t="s">
        <v>123</v>
      </c>
      <c r="B29" s="9" t="s">
        <v>124</v>
      </c>
      <c r="C29" s="10"/>
      <c r="D29" s="19" t="s">
        <v>164</v>
      </c>
      <c r="E29" s="10"/>
      <c r="F29" s="12" t="s">
        <v>165</v>
      </c>
      <c r="G29" s="13"/>
      <c r="H29" s="10"/>
      <c r="I29" s="17" t="s">
        <v>127</v>
      </c>
      <c r="J29" s="7"/>
      <c r="K29" s="7"/>
      <c r="L29" s="7"/>
      <c r="M29" s="7"/>
      <c r="N29" s="7">
        <f t="shared" si="1"/>
        <v>1</v>
      </c>
      <c r="O29" s="7"/>
    </row>
    <row r="30">
      <c r="A30" s="8" t="s">
        <v>128</v>
      </c>
      <c r="B30" s="9" t="s">
        <v>130</v>
      </c>
      <c r="C30" s="10"/>
      <c r="D30" s="18" t="s">
        <v>131</v>
      </c>
      <c r="E30" s="10"/>
      <c r="F30" s="12" t="s">
        <v>132</v>
      </c>
      <c r="G30" s="13"/>
      <c r="H30" s="10"/>
      <c r="I30" s="14"/>
      <c r="J30" s="7"/>
      <c r="K30" s="7"/>
      <c r="L30" s="7"/>
      <c r="M30" s="7"/>
      <c r="N30" s="7">
        <f t="shared" si="1"/>
        <v>1</v>
      </c>
      <c r="O30" s="7"/>
    </row>
    <row r="31">
      <c r="A31" s="8" t="s">
        <v>133</v>
      </c>
      <c r="B31" s="15" t="s">
        <v>134</v>
      </c>
      <c r="C31" s="10"/>
      <c r="D31" s="19" t="s">
        <v>177</v>
      </c>
      <c r="E31" s="10"/>
      <c r="F31" s="12"/>
      <c r="G31" s="13"/>
      <c r="H31" s="10"/>
      <c r="I31" s="14"/>
      <c r="J31" s="7"/>
      <c r="K31" s="7"/>
      <c r="L31" s="7"/>
      <c r="M31" s="7"/>
      <c r="N31" s="7">
        <f t="shared" si="1"/>
        <v>0</v>
      </c>
      <c r="O31" s="7"/>
    </row>
    <row r="32">
      <c r="A32" s="8" t="s">
        <v>139</v>
      </c>
      <c r="B32" s="9" t="s">
        <v>140</v>
      </c>
      <c r="C32" s="10"/>
      <c r="D32" s="11" t="s">
        <v>141</v>
      </c>
      <c r="E32" s="10"/>
      <c r="F32" s="12" t="s">
        <v>144</v>
      </c>
      <c r="G32" s="13"/>
      <c r="H32" s="10"/>
      <c r="I32" s="14"/>
      <c r="J32" s="7"/>
      <c r="K32" s="7"/>
      <c r="L32" s="7"/>
      <c r="M32" s="7"/>
      <c r="N32" s="7">
        <f t="shared" si="1"/>
        <v>1</v>
      </c>
      <c r="O32" s="7"/>
    </row>
    <row r="33">
      <c r="A33" s="8" t="s">
        <v>145</v>
      </c>
      <c r="B33" s="15" t="s">
        <v>147</v>
      </c>
      <c r="C33" s="10"/>
      <c r="D33" s="11" t="s">
        <v>7</v>
      </c>
      <c r="E33" s="10"/>
      <c r="F33" s="12" t="s">
        <v>148</v>
      </c>
      <c r="G33" s="13"/>
      <c r="H33" s="10"/>
      <c r="I33" s="14"/>
      <c r="J33" s="7"/>
      <c r="K33" s="7"/>
      <c r="L33" s="7"/>
      <c r="M33" s="7"/>
      <c r="N33" s="7">
        <f t="shared" si="1"/>
        <v>1</v>
      </c>
      <c r="O33" s="7"/>
    </row>
    <row r="34">
      <c r="A34" s="8" t="s">
        <v>150</v>
      </c>
      <c r="B34" s="9" t="s">
        <v>151</v>
      </c>
      <c r="C34" s="10"/>
      <c r="D34" s="18" t="s">
        <v>152</v>
      </c>
      <c r="E34" s="10"/>
      <c r="F34" s="12" t="s">
        <v>191</v>
      </c>
      <c r="G34" s="13"/>
      <c r="H34" s="10"/>
      <c r="I34" s="14"/>
      <c r="J34" s="7"/>
      <c r="K34" s="7"/>
      <c r="L34" s="7"/>
      <c r="M34" s="7"/>
      <c r="N34" s="7">
        <f t="shared" si="1"/>
        <v>1</v>
      </c>
      <c r="O34" s="7"/>
    </row>
    <row r="35">
      <c r="A35" s="8" t="s">
        <v>155</v>
      </c>
      <c r="B35" s="9" t="s">
        <v>156</v>
      </c>
      <c r="C35" s="10"/>
      <c r="D35" s="11" t="s">
        <v>7</v>
      </c>
      <c r="E35" s="10"/>
      <c r="F35" s="16"/>
      <c r="G35" s="13"/>
      <c r="H35" s="10"/>
      <c r="I35" s="14"/>
      <c r="J35" s="7"/>
      <c r="K35" s="7"/>
      <c r="L35" s="7"/>
      <c r="M35" s="7"/>
      <c r="N35" s="7">
        <f t="shared" si="1"/>
        <v>0</v>
      </c>
      <c r="O35" s="7"/>
    </row>
    <row r="36">
      <c r="A36" s="8" t="s">
        <v>157</v>
      </c>
      <c r="B36" s="15" t="s">
        <v>159</v>
      </c>
      <c r="C36" s="10"/>
      <c r="D36" s="11" t="s">
        <v>7</v>
      </c>
      <c r="E36" s="10"/>
      <c r="F36" s="12" t="s">
        <v>161</v>
      </c>
      <c r="G36" s="13"/>
      <c r="H36" s="10"/>
      <c r="I36" s="14"/>
      <c r="J36" s="7"/>
      <c r="K36" s="7"/>
      <c r="L36" s="7"/>
      <c r="M36" s="7"/>
      <c r="N36" s="7">
        <f t="shared" si="1"/>
        <v>1</v>
      </c>
      <c r="O36" s="7"/>
    </row>
    <row r="37">
      <c r="A37" s="8" t="s">
        <v>162</v>
      </c>
      <c r="B37" s="9" t="s">
        <v>163</v>
      </c>
      <c r="C37" s="10"/>
      <c r="D37" s="11" t="s">
        <v>7</v>
      </c>
      <c r="E37" s="10"/>
      <c r="F37" s="16"/>
      <c r="G37" s="13"/>
      <c r="H37" s="10"/>
      <c r="I37" s="14"/>
      <c r="J37" s="7"/>
      <c r="K37" s="7"/>
      <c r="L37" s="7"/>
      <c r="M37" s="22" t="s">
        <v>166</v>
      </c>
      <c r="N37" s="7">
        <f t="shared" si="1"/>
        <v>0</v>
      </c>
      <c r="O37" s="7"/>
    </row>
    <row r="38">
      <c r="A38" s="8" t="s">
        <v>169</v>
      </c>
      <c r="B38" s="9" t="s">
        <v>170</v>
      </c>
      <c r="C38" s="10"/>
      <c r="D38" s="18" t="s">
        <v>171</v>
      </c>
      <c r="E38" s="10"/>
      <c r="F38" s="12" t="s">
        <v>202</v>
      </c>
      <c r="G38" s="13"/>
      <c r="H38" s="10"/>
      <c r="I38" s="14"/>
      <c r="J38" s="7"/>
      <c r="K38" s="7"/>
      <c r="L38" s="7"/>
      <c r="M38" s="7"/>
      <c r="N38" s="7">
        <f t="shared" si="1"/>
        <v>1</v>
      </c>
      <c r="O38" s="7"/>
    </row>
    <row r="39">
      <c r="A39" s="8" t="s">
        <v>174</v>
      </c>
      <c r="B39" s="9" t="s">
        <v>175</v>
      </c>
      <c r="C39" s="10"/>
      <c r="D39" s="18" t="s">
        <v>176</v>
      </c>
      <c r="E39" s="10"/>
      <c r="F39" s="16"/>
      <c r="G39" s="13"/>
      <c r="H39" s="10"/>
      <c r="I39" s="14"/>
      <c r="J39" s="7"/>
      <c r="K39" s="7"/>
      <c r="L39" s="7"/>
      <c r="M39" s="7"/>
      <c r="N39" s="7">
        <f t="shared" si="1"/>
        <v>0</v>
      </c>
      <c r="O39" s="7"/>
    </row>
    <row r="40">
      <c r="A40" s="8" t="s">
        <v>178</v>
      </c>
      <c r="B40" s="9" t="s">
        <v>181</v>
      </c>
      <c r="C40" s="10"/>
      <c r="D40" s="11" t="s">
        <v>7</v>
      </c>
      <c r="E40" s="10"/>
      <c r="F40" s="12" t="s">
        <v>213</v>
      </c>
      <c r="G40" s="13"/>
      <c r="H40" s="10"/>
      <c r="I40" s="14"/>
      <c r="J40" s="7"/>
      <c r="K40" s="7"/>
      <c r="L40" s="7"/>
      <c r="M40" s="7"/>
      <c r="N40" s="7">
        <f t="shared" si="1"/>
        <v>1</v>
      </c>
      <c r="O40" s="7"/>
    </row>
    <row r="41">
      <c r="A41" s="8" t="s">
        <v>183</v>
      </c>
      <c r="B41" s="9" t="s">
        <v>184</v>
      </c>
      <c r="C41" s="10"/>
      <c r="D41" s="18" t="s">
        <v>185</v>
      </c>
      <c r="E41" s="10"/>
      <c r="F41" s="16"/>
      <c r="G41" s="13"/>
      <c r="H41" s="10"/>
      <c r="I41" s="14"/>
      <c r="J41" s="7"/>
      <c r="K41" s="7"/>
      <c r="L41" s="7"/>
      <c r="M41" s="7"/>
      <c r="N41" s="7">
        <f t="shared" si="1"/>
        <v>0</v>
      </c>
      <c r="O41" s="7"/>
    </row>
    <row r="42">
      <c r="A42" s="8" t="s">
        <v>186</v>
      </c>
      <c r="B42" s="9" t="s">
        <v>187</v>
      </c>
      <c r="C42" s="10"/>
      <c r="D42" s="11" t="s">
        <v>7</v>
      </c>
      <c r="E42" s="10"/>
      <c r="F42" s="12" t="s">
        <v>223</v>
      </c>
      <c r="G42" s="13"/>
      <c r="H42" s="10"/>
      <c r="I42" s="14"/>
      <c r="J42" s="7"/>
      <c r="K42" s="7"/>
      <c r="L42" s="7"/>
      <c r="M42" s="7"/>
      <c r="N42" s="7">
        <f t="shared" si="1"/>
        <v>1</v>
      </c>
      <c r="O42" s="7"/>
    </row>
    <row r="43">
      <c r="A43" s="8" t="s">
        <v>186</v>
      </c>
      <c r="B43" s="9" t="s">
        <v>189</v>
      </c>
      <c r="C43" s="10"/>
      <c r="D43" s="11" t="s">
        <v>7</v>
      </c>
      <c r="E43" s="10"/>
      <c r="F43" s="12"/>
      <c r="G43" s="13"/>
      <c r="H43" s="10"/>
      <c r="I43" s="14"/>
      <c r="J43" s="7"/>
      <c r="K43" s="7"/>
      <c r="L43" s="7"/>
      <c r="M43" s="7"/>
      <c r="N43" s="7">
        <f t="shared" si="1"/>
        <v>0</v>
      </c>
      <c r="O43" s="7"/>
    </row>
    <row r="44">
      <c r="A44" s="8" t="s">
        <v>186</v>
      </c>
      <c r="B44" s="9" t="s">
        <v>190</v>
      </c>
      <c r="C44" s="10"/>
      <c r="D44" s="11" t="s">
        <v>7</v>
      </c>
      <c r="E44" s="10"/>
      <c r="F44" s="12"/>
      <c r="G44" s="13"/>
      <c r="H44" s="10"/>
      <c r="I44" s="14"/>
      <c r="J44" s="7"/>
      <c r="K44" s="7"/>
      <c r="L44" s="7"/>
      <c r="M44" s="7"/>
      <c r="N44" s="7">
        <f t="shared" si="1"/>
        <v>0</v>
      </c>
      <c r="O44" s="7"/>
    </row>
    <row r="45">
      <c r="A45" s="8" t="s">
        <v>192</v>
      </c>
      <c r="B45" s="9" t="s">
        <v>193</v>
      </c>
      <c r="C45" s="10"/>
      <c r="D45" s="18" t="s">
        <v>194</v>
      </c>
      <c r="E45" s="10"/>
      <c r="F45" s="16"/>
      <c r="G45" s="13"/>
      <c r="H45" s="10"/>
      <c r="I45" s="14"/>
      <c r="J45" s="7"/>
      <c r="K45" s="7"/>
      <c r="L45" s="7"/>
      <c r="M45" s="7"/>
      <c r="N45" s="7">
        <f t="shared" si="1"/>
        <v>0</v>
      </c>
      <c r="O45" s="7"/>
    </row>
    <row r="46">
      <c r="A46" s="8" t="s">
        <v>195</v>
      </c>
      <c r="B46" s="9" t="s">
        <v>196</v>
      </c>
      <c r="C46" s="10"/>
      <c r="D46" s="23" t="s">
        <v>197</v>
      </c>
      <c r="E46" s="10"/>
      <c r="F46" s="16"/>
      <c r="G46" s="13"/>
      <c r="H46" s="10"/>
      <c r="I46" s="14"/>
      <c r="J46" s="7"/>
      <c r="K46" s="7"/>
      <c r="L46" s="7"/>
      <c r="M46" s="7"/>
      <c r="N46" s="7">
        <f t="shared" si="1"/>
        <v>0</v>
      </c>
      <c r="O46" s="7"/>
    </row>
    <row r="47">
      <c r="A47" s="8" t="s">
        <v>198</v>
      </c>
      <c r="B47" s="15" t="s">
        <v>199</v>
      </c>
      <c r="C47" s="10"/>
      <c r="D47" s="18" t="s">
        <v>200</v>
      </c>
      <c r="E47" s="10"/>
      <c r="F47" s="12" t="s">
        <v>201</v>
      </c>
      <c r="G47" s="13"/>
      <c r="H47" s="10"/>
      <c r="I47" s="14"/>
      <c r="J47" s="7"/>
      <c r="K47" s="7"/>
      <c r="L47" s="7"/>
      <c r="M47" s="7"/>
      <c r="N47" s="7">
        <f t="shared" si="1"/>
        <v>1</v>
      </c>
      <c r="O47" s="7"/>
    </row>
    <row r="48">
      <c r="A48" s="8" t="s">
        <v>203</v>
      </c>
      <c r="B48" s="15" t="s">
        <v>204</v>
      </c>
      <c r="C48" s="10"/>
      <c r="D48" s="18" t="s">
        <v>205</v>
      </c>
      <c r="E48" s="10"/>
      <c r="F48" s="12" t="s">
        <v>251</v>
      </c>
      <c r="G48" s="13"/>
      <c r="H48" s="10"/>
      <c r="I48" s="14"/>
      <c r="J48" s="7"/>
      <c r="K48" s="7"/>
      <c r="L48" s="7"/>
      <c r="M48" s="7"/>
      <c r="N48" s="7">
        <f t="shared" si="1"/>
        <v>1</v>
      </c>
      <c r="O48" s="7"/>
    </row>
    <row r="49">
      <c r="A49" s="8" t="s">
        <v>207</v>
      </c>
      <c r="B49" s="9" t="s">
        <v>208</v>
      </c>
      <c r="C49" s="10"/>
      <c r="D49" s="11" t="s">
        <v>209</v>
      </c>
      <c r="E49" s="10"/>
      <c r="F49" s="16"/>
      <c r="G49" s="13"/>
      <c r="H49" s="10"/>
      <c r="I49" s="17" t="s">
        <v>210</v>
      </c>
      <c r="J49" s="7"/>
      <c r="K49" s="7"/>
      <c r="L49" s="7"/>
      <c r="M49" s="7"/>
      <c r="N49" s="7">
        <f t="shared" si="1"/>
        <v>0</v>
      </c>
      <c r="O49" s="7"/>
    </row>
    <row r="50">
      <c r="A50" s="8" t="s">
        <v>211</v>
      </c>
      <c r="B50" s="9" t="s">
        <v>212</v>
      </c>
      <c r="C50" s="10"/>
      <c r="D50" s="19" t="s">
        <v>264</v>
      </c>
      <c r="E50" s="10"/>
      <c r="F50" s="12" t="s">
        <v>268</v>
      </c>
      <c r="G50" s="13"/>
      <c r="H50" s="10"/>
      <c r="I50" s="14"/>
      <c r="J50" s="7"/>
      <c r="K50" s="7"/>
      <c r="L50" s="7"/>
      <c r="M50" s="7"/>
      <c r="N50" s="7">
        <f t="shared" si="1"/>
        <v>1</v>
      </c>
      <c r="O50" s="7"/>
    </row>
    <row r="51">
      <c r="A51" s="8" t="s">
        <v>216</v>
      </c>
      <c r="B51" s="9" t="s">
        <v>217</v>
      </c>
      <c r="C51" s="10"/>
      <c r="D51" s="19" t="s">
        <v>273</v>
      </c>
      <c r="E51" s="10"/>
      <c r="F51" s="12" t="s">
        <v>219</v>
      </c>
      <c r="G51" s="13"/>
      <c r="H51" s="10"/>
      <c r="I51" s="14"/>
      <c r="J51" s="7"/>
      <c r="K51" s="7"/>
      <c r="L51" s="7"/>
      <c r="M51" s="7"/>
      <c r="N51" s="7">
        <f t="shared" si="1"/>
        <v>1</v>
      </c>
      <c r="O51" s="7"/>
    </row>
    <row r="52">
      <c r="A52" s="8" t="s">
        <v>220</v>
      </c>
      <c r="B52" s="9" t="s">
        <v>221</v>
      </c>
      <c r="C52" s="10"/>
      <c r="D52" s="18" t="s">
        <v>222</v>
      </c>
      <c r="E52" s="10"/>
      <c r="F52" s="16"/>
      <c r="G52" s="13"/>
      <c r="H52" s="10"/>
      <c r="I52" s="14"/>
      <c r="J52" s="7"/>
      <c r="K52" s="7"/>
      <c r="L52" s="7"/>
      <c r="M52" s="7"/>
      <c r="N52" s="7">
        <f t="shared" si="1"/>
        <v>0</v>
      </c>
      <c r="O52" s="7"/>
    </row>
    <row r="53">
      <c r="A53" s="8" t="s">
        <v>224</v>
      </c>
      <c r="B53" s="9" t="s">
        <v>225</v>
      </c>
      <c r="C53" s="10"/>
      <c r="D53" s="18" t="s">
        <v>226</v>
      </c>
      <c r="E53" s="10"/>
      <c r="F53" s="12" t="s">
        <v>227</v>
      </c>
      <c r="G53" s="13"/>
      <c r="H53" s="10"/>
      <c r="I53" s="14"/>
      <c r="J53" s="7"/>
      <c r="K53" s="7"/>
      <c r="L53" s="7"/>
      <c r="M53" s="7"/>
      <c r="N53" s="7">
        <f t="shared" si="1"/>
        <v>1</v>
      </c>
      <c r="O53" s="7"/>
    </row>
    <row r="54">
      <c r="A54" s="8" t="s">
        <v>228</v>
      </c>
      <c r="B54" s="9" t="s">
        <v>229</v>
      </c>
      <c r="C54" s="10"/>
      <c r="D54" s="11" t="s">
        <v>230</v>
      </c>
      <c r="E54" s="10"/>
      <c r="F54" s="12" t="s">
        <v>231</v>
      </c>
      <c r="G54" s="13"/>
      <c r="H54" s="10"/>
      <c r="I54" s="17"/>
      <c r="J54" s="7"/>
      <c r="K54" s="7"/>
      <c r="L54" s="7"/>
      <c r="M54" s="7"/>
      <c r="N54" s="7">
        <f t="shared" si="1"/>
        <v>1</v>
      </c>
      <c r="O54" s="7"/>
    </row>
    <row r="55">
      <c r="A55" s="8" t="s">
        <v>232</v>
      </c>
      <c r="B55" s="9" t="s">
        <v>229</v>
      </c>
      <c r="C55" s="10"/>
      <c r="D55" s="11" t="s">
        <v>233</v>
      </c>
      <c r="E55" s="10"/>
      <c r="F55" s="12" t="s">
        <v>297</v>
      </c>
      <c r="G55" s="13"/>
      <c r="H55" s="10"/>
      <c r="I55" s="17" t="s">
        <v>235</v>
      </c>
      <c r="J55" s="7"/>
      <c r="K55" s="7"/>
      <c r="L55" s="7"/>
      <c r="M55" s="7"/>
      <c r="N55" s="7">
        <f t="shared" si="1"/>
        <v>1</v>
      </c>
      <c r="O55" s="7"/>
    </row>
    <row r="56">
      <c r="A56" s="8" t="s">
        <v>236</v>
      </c>
      <c r="B56" s="9" t="s">
        <v>237</v>
      </c>
      <c r="C56" s="10"/>
      <c r="D56" s="9" t="s">
        <v>238</v>
      </c>
      <c r="E56" s="10"/>
      <c r="F56" s="12" t="s">
        <v>239</v>
      </c>
      <c r="G56" s="13"/>
      <c r="H56" s="10"/>
      <c r="I56" s="14"/>
      <c r="J56" s="7"/>
      <c r="K56" s="7"/>
      <c r="L56" s="7"/>
      <c r="M56" s="7"/>
      <c r="N56" s="7">
        <f t="shared" si="1"/>
        <v>1</v>
      </c>
      <c r="O56" s="7"/>
    </row>
    <row r="57">
      <c r="A57" s="8" t="s">
        <v>240</v>
      </c>
      <c r="B57" s="9" t="s">
        <v>241</v>
      </c>
      <c r="C57" s="10"/>
      <c r="D57" s="11" t="s">
        <v>7</v>
      </c>
      <c r="E57" s="10"/>
      <c r="F57" s="16"/>
      <c r="G57" s="13"/>
      <c r="H57" s="10"/>
      <c r="I57" s="14"/>
      <c r="J57" s="7"/>
      <c r="K57" s="7"/>
      <c r="L57" s="7"/>
      <c r="M57" s="7"/>
      <c r="N57" s="7">
        <f t="shared" si="1"/>
        <v>0</v>
      </c>
      <c r="O57" s="7"/>
    </row>
    <row r="58" ht="15.75" customHeight="1">
      <c r="A58" s="8" t="s">
        <v>242</v>
      </c>
      <c r="B58" s="9" t="s">
        <v>244</v>
      </c>
      <c r="C58" s="10"/>
      <c r="D58" s="19" t="s">
        <v>314</v>
      </c>
      <c r="E58" s="10"/>
      <c r="F58" s="12" t="s">
        <v>246</v>
      </c>
      <c r="G58" s="13"/>
      <c r="H58" s="10"/>
      <c r="I58" s="17" t="s">
        <v>247</v>
      </c>
      <c r="J58" s="7"/>
      <c r="K58" s="7"/>
      <c r="L58" s="7"/>
      <c r="M58" s="7"/>
      <c r="N58" s="7">
        <f t="shared" si="1"/>
        <v>1</v>
      </c>
      <c r="O58" s="7"/>
    </row>
    <row r="59">
      <c r="A59" s="8" t="s">
        <v>248</v>
      </c>
      <c r="B59" s="9" t="s">
        <v>250</v>
      </c>
      <c r="C59" s="10"/>
      <c r="D59" s="19" t="s">
        <v>320</v>
      </c>
      <c r="E59" s="10"/>
      <c r="F59" s="12" t="s">
        <v>253</v>
      </c>
      <c r="G59" s="13"/>
      <c r="H59" s="10"/>
      <c r="I59" s="17" t="s">
        <v>254</v>
      </c>
      <c r="J59" s="7"/>
      <c r="K59" s="7"/>
      <c r="L59" s="7"/>
      <c r="M59" s="7"/>
      <c r="N59" s="7">
        <f t="shared" si="1"/>
        <v>1</v>
      </c>
      <c r="O59" s="7"/>
    </row>
    <row r="60">
      <c r="A60" s="8" t="s">
        <v>255</v>
      </c>
      <c r="B60" s="9" t="s">
        <v>256</v>
      </c>
      <c r="C60" s="10"/>
      <c r="D60" s="18" t="s">
        <v>257</v>
      </c>
      <c r="E60" s="10"/>
      <c r="F60" s="12" t="s">
        <v>258</v>
      </c>
      <c r="G60" s="13"/>
      <c r="H60" s="10"/>
      <c r="I60" s="17" t="s">
        <v>260</v>
      </c>
      <c r="J60" s="7"/>
      <c r="K60" s="7"/>
      <c r="L60" s="7"/>
      <c r="M60" s="7"/>
      <c r="N60" s="7">
        <f t="shared" si="1"/>
        <v>1</v>
      </c>
      <c r="O60" s="7"/>
    </row>
    <row r="61">
      <c r="A61" s="8" t="s">
        <v>261</v>
      </c>
      <c r="B61" s="9" t="s">
        <v>262</v>
      </c>
      <c r="C61" s="10"/>
      <c r="D61" s="21" t="s">
        <v>330</v>
      </c>
      <c r="E61" s="10"/>
      <c r="F61" s="12" t="s">
        <v>265</v>
      </c>
      <c r="G61" s="13"/>
      <c r="H61" s="10"/>
      <c r="I61" s="14"/>
      <c r="J61" s="7"/>
      <c r="K61" s="7"/>
      <c r="L61" s="7"/>
      <c r="M61" s="7"/>
      <c r="N61" s="7">
        <f t="shared" si="1"/>
        <v>1</v>
      </c>
      <c r="O61" s="7"/>
    </row>
    <row r="62">
      <c r="A62" s="8" t="s">
        <v>266</v>
      </c>
      <c r="B62" s="9" t="s">
        <v>269</v>
      </c>
      <c r="C62" s="10"/>
      <c r="D62" s="18" t="s">
        <v>270</v>
      </c>
      <c r="E62" s="10"/>
      <c r="F62" s="12" t="s">
        <v>271</v>
      </c>
      <c r="G62" s="13"/>
      <c r="H62" s="10"/>
      <c r="I62" s="14"/>
      <c r="J62" s="7"/>
      <c r="K62" s="7"/>
      <c r="L62" s="7"/>
      <c r="M62" s="7"/>
      <c r="N62" s="7">
        <f t="shared" si="1"/>
        <v>1</v>
      </c>
      <c r="O62" s="7"/>
    </row>
    <row r="63">
      <c r="A63" s="8" t="s">
        <v>272</v>
      </c>
      <c r="B63" s="9" t="s">
        <v>274</v>
      </c>
      <c r="C63" s="10"/>
      <c r="D63" s="18" t="s">
        <v>257</v>
      </c>
      <c r="E63" s="10"/>
      <c r="F63" s="12" t="s">
        <v>275</v>
      </c>
      <c r="G63" s="13"/>
      <c r="H63" s="10"/>
      <c r="I63" s="14"/>
      <c r="J63" s="7"/>
      <c r="K63" s="7"/>
      <c r="L63" s="7"/>
      <c r="M63" s="7"/>
      <c r="N63" s="7">
        <f t="shared" si="1"/>
        <v>1</v>
      </c>
      <c r="O63" s="7"/>
    </row>
    <row r="64">
      <c r="A64" s="8" t="s">
        <v>276</v>
      </c>
      <c r="B64" s="9" t="s">
        <v>277</v>
      </c>
      <c r="C64" s="10"/>
      <c r="D64" s="18" t="s">
        <v>278</v>
      </c>
      <c r="E64" s="10"/>
      <c r="F64" s="12" t="s">
        <v>350</v>
      </c>
      <c r="G64" s="13"/>
      <c r="H64" s="10"/>
      <c r="I64" s="17" t="s">
        <v>280</v>
      </c>
      <c r="J64" s="7"/>
      <c r="K64" s="7"/>
      <c r="L64" s="7"/>
      <c r="M64" s="7"/>
      <c r="N64" s="7">
        <f t="shared" si="1"/>
        <v>1</v>
      </c>
      <c r="O64" s="7"/>
    </row>
    <row r="65">
      <c r="A65" s="8" t="s">
        <v>281</v>
      </c>
      <c r="B65" s="9" t="s">
        <v>282</v>
      </c>
      <c r="C65" s="10"/>
      <c r="D65" s="18" t="s">
        <v>283</v>
      </c>
      <c r="E65" s="10"/>
      <c r="F65" s="12" t="s">
        <v>284</v>
      </c>
      <c r="G65" s="13"/>
      <c r="H65" s="10"/>
      <c r="I65" s="14"/>
      <c r="J65" s="7"/>
      <c r="K65" s="7"/>
      <c r="L65" s="7"/>
      <c r="M65" s="7"/>
      <c r="N65" s="7">
        <f t="shared" si="1"/>
        <v>1</v>
      </c>
      <c r="O65" s="7"/>
    </row>
    <row r="66">
      <c r="A66" s="8" t="s">
        <v>285</v>
      </c>
      <c r="B66" s="9" t="s">
        <v>287</v>
      </c>
      <c r="C66" s="10"/>
      <c r="D66" s="18" t="s">
        <v>288</v>
      </c>
      <c r="E66" s="10"/>
      <c r="F66" s="12" t="s">
        <v>289</v>
      </c>
      <c r="G66" s="13"/>
      <c r="H66" s="10"/>
      <c r="I66" s="17" t="s">
        <v>290</v>
      </c>
      <c r="J66" s="7"/>
      <c r="K66" s="7"/>
      <c r="L66" s="7"/>
      <c r="M66" s="7"/>
      <c r="N66" s="7">
        <f t="shared" si="1"/>
        <v>1</v>
      </c>
      <c r="O66" s="7"/>
    </row>
    <row r="67">
      <c r="A67" s="8" t="s">
        <v>291</v>
      </c>
      <c r="B67" s="9" t="s">
        <v>293</v>
      </c>
      <c r="C67" s="10"/>
      <c r="D67" s="9" t="s">
        <v>294</v>
      </c>
      <c r="E67" s="10"/>
      <c r="F67" s="12" t="s">
        <v>295</v>
      </c>
      <c r="G67" s="13"/>
      <c r="H67" s="10"/>
      <c r="I67" s="14"/>
      <c r="J67" s="7"/>
      <c r="K67" s="7"/>
      <c r="L67" s="7"/>
      <c r="M67" s="7"/>
      <c r="N67" s="7">
        <f t="shared" si="1"/>
        <v>1</v>
      </c>
      <c r="O67" s="7"/>
    </row>
    <row r="68">
      <c r="A68" s="8" t="s">
        <v>296</v>
      </c>
      <c r="B68" s="9" t="s">
        <v>298</v>
      </c>
      <c r="C68" s="10"/>
      <c r="D68" s="11" t="s">
        <v>299</v>
      </c>
      <c r="E68" s="10"/>
      <c r="F68" s="12" t="s">
        <v>369</v>
      </c>
      <c r="G68" s="13"/>
      <c r="H68" s="10"/>
      <c r="I68" s="14"/>
      <c r="J68" s="7"/>
      <c r="K68" s="7"/>
      <c r="L68" s="7"/>
      <c r="M68" s="7"/>
      <c r="N68" s="7">
        <f t="shared" si="1"/>
        <v>1</v>
      </c>
      <c r="O68" s="7"/>
    </row>
    <row r="69">
      <c r="A69" s="8" t="s">
        <v>301</v>
      </c>
      <c r="B69" s="15" t="s">
        <v>302</v>
      </c>
      <c r="C69" s="10"/>
      <c r="D69" s="11" t="s">
        <v>7</v>
      </c>
      <c r="E69" s="10"/>
      <c r="F69" s="12" t="s">
        <v>305</v>
      </c>
      <c r="G69" s="13"/>
      <c r="H69" s="10"/>
      <c r="I69" s="14"/>
      <c r="J69" s="7"/>
      <c r="K69" s="7"/>
      <c r="L69" s="7"/>
      <c r="M69" s="7"/>
      <c r="N69" s="7">
        <f t="shared" si="1"/>
        <v>1</v>
      </c>
      <c r="O69" s="7"/>
    </row>
    <row r="70">
      <c r="A70" s="8" t="s">
        <v>306</v>
      </c>
      <c r="B70" s="9" t="s">
        <v>307</v>
      </c>
      <c r="C70" s="10"/>
      <c r="D70" s="21" t="s">
        <v>378</v>
      </c>
      <c r="E70" s="10"/>
      <c r="F70" s="12" t="s">
        <v>309</v>
      </c>
      <c r="G70" s="13"/>
      <c r="H70" s="10"/>
      <c r="I70" s="14"/>
      <c r="J70" s="7"/>
      <c r="K70" s="7"/>
      <c r="L70" s="7"/>
      <c r="M70" s="7"/>
      <c r="N70" s="7">
        <f t="shared" si="1"/>
        <v>1</v>
      </c>
      <c r="O70" s="7"/>
    </row>
    <row r="71">
      <c r="A71" s="8" t="s">
        <v>310</v>
      </c>
      <c r="B71" s="9" t="s">
        <v>312</v>
      </c>
      <c r="C71" s="10"/>
      <c r="D71" s="11" t="s">
        <v>313</v>
      </c>
      <c r="E71" s="10"/>
      <c r="F71" s="12" t="s">
        <v>384</v>
      </c>
      <c r="G71" s="13"/>
      <c r="H71" s="10"/>
      <c r="I71" s="14"/>
      <c r="J71" s="7"/>
      <c r="K71" s="7"/>
      <c r="L71" s="7"/>
      <c r="M71" s="7"/>
      <c r="N71" s="7">
        <f t="shared" si="1"/>
        <v>1</v>
      </c>
      <c r="O71" s="7"/>
    </row>
    <row r="72">
      <c r="A72" s="8" t="s">
        <v>316</v>
      </c>
      <c r="B72" s="9" t="s">
        <v>317</v>
      </c>
      <c r="C72" s="10"/>
      <c r="D72" s="9" t="s">
        <v>318</v>
      </c>
      <c r="E72" s="10"/>
      <c r="F72" s="16"/>
      <c r="G72" s="13"/>
      <c r="H72" s="10"/>
      <c r="I72" s="14"/>
      <c r="J72" s="7"/>
      <c r="K72" s="7"/>
      <c r="L72" s="7"/>
      <c r="M72" s="7"/>
      <c r="N72" s="7">
        <f t="shared" si="1"/>
        <v>0</v>
      </c>
      <c r="O72" s="7"/>
    </row>
    <row r="73">
      <c r="A73" s="24" t="s">
        <v>319</v>
      </c>
      <c r="B73" s="15" t="s">
        <v>322</v>
      </c>
      <c r="C73" s="10"/>
      <c r="D73" s="11" t="s">
        <v>7</v>
      </c>
      <c r="E73" s="10"/>
      <c r="F73" s="12" t="s">
        <v>323</v>
      </c>
      <c r="G73" s="13"/>
      <c r="H73" s="10"/>
      <c r="I73" s="17" t="s">
        <v>324</v>
      </c>
      <c r="J73" s="7"/>
      <c r="K73" s="7"/>
      <c r="L73" s="7"/>
      <c r="M73" s="7"/>
      <c r="N73" s="7">
        <f t="shared" si="1"/>
        <v>1</v>
      </c>
      <c r="O73" s="7"/>
    </row>
    <row r="74">
      <c r="A74" s="8" t="s">
        <v>325</v>
      </c>
      <c r="B74" s="15" t="s">
        <v>326</v>
      </c>
      <c r="C74" s="10"/>
      <c r="D74" s="11" t="s">
        <v>327</v>
      </c>
      <c r="E74" s="10"/>
      <c r="F74" s="12" t="s">
        <v>328</v>
      </c>
      <c r="G74" s="13"/>
      <c r="H74" s="10"/>
      <c r="I74" s="14"/>
      <c r="J74" s="7"/>
      <c r="K74" s="7"/>
      <c r="L74" s="7"/>
      <c r="M74" s="7"/>
      <c r="N74" s="7">
        <f t="shared" si="1"/>
        <v>1</v>
      </c>
      <c r="O74" s="7"/>
    </row>
    <row r="75">
      <c r="A75" s="8" t="s">
        <v>329</v>
      </c>
      <c r="B75" s="9" t="s">
        <v>331</v>
      </c>
      <c r="C75" s="10"/>
      <c r="D75" s="18" t="s">
        <v>332</v>
      </c>
      <c r="E75" s="10"/>
      <c r="F75" s="12" t="s">
        <v>333</v>
      </c>
      <c r="G75" s="13"/>
      <c r="H75" s="10"/>
      <c r="I75" s="14"/>
      <c r="J75" s="7"/>
      <c r="K75" s="7"/>
      <c r="L75" s="7"/>
      <c r="M75" s="7"/>
      <c r="N75" s="7">
        <f t="shared" si="1"/>
        <v>1</v>
      </c>
      <c r="O75" s="7"/>
    </row>
    <row r="76">
      <c r="A76" s="8" t="s">
        <v>334</v>
      </c>
      <c r="B76" s="9" t="s">
        <v>335</v>
      </c>
      <c r="C76" s="10"/>
      <c r="D76" s="11" t="s">
        <v>7</v>
      </c>
      <c r="E76" s="10"/>
      <c r="F76" s="12"/>
      <c r="G76" s="13"/>
      <c r="H76" s="10"/>
      <c r="I76" s="14"/>
      <c r="J76" s="7"/>
      <c r="K76" s="7"/>
      <c r="L76" s="7"/>
      <c r="M76" s="7"/>
      <c r="N76" s="7">
        <f t="shared" si="1"/>
        <v>0</v>
      </c>
      <c r="O76" s="7"/>
    </row>
    <row r="77">
      <c r="A77" s="8" t="s">
        <v>336</v>
      </c>
      <c r="B77" s="9" t="s">
        <v>337</v>
      </c>
      <c r="C77" s="10"/>
      <c r="D77" s="11" t="s">
        <v>338</v>
      </c>
      <c r="E77" s="10"/>
      <c r="F77" s="12" t="s">
        <v>416</v>
      </c>
      <c r="G77" s="13"/>
      <c r="H77" s="10"/>
      <c r="I77" s="14"/>
      <c r="J77" s="7"/>
      <c r="K77" s="7"/>
      <c r="L77" s="7"/>
      <c r="M77" s="7"/>
      <c r="N77" s="7">
        <f t="shared" si="1"/>
        <v>1</v>
      </c>
      <c r="O77" s="7"/>
    </row>
    <row r="78">
      <c r="A78" s="8" t="s">
        <v>340</v>
      </c>
      <c r="B78" s="9" t="s">
        <v>341</v>
      </c>
      <c r="C78" s="10"/>
      <c r="D78" s="11" t="s">
        <v>342</v>
      </c>
      <c r="E78" s="10"/>
      <c r="F78" s="12" t="s">
        <v>343</v>
      </c>
      <c r="G78" s="13"/>
      <c r="H78" s="10"/>
      <c r="I78" s="17" t="s">
        <v>344</v>
      </c>
      <c r="J78" s="7"/>
      <c r="K78" s="7"/>
      <c r="L78" s="7"/>
      <c r="M78" s="7"/>
      <c r="N78" s="7">
        <f t="shared" si="1"/>
        <v>1</v>
      </c>
      <c r="O78" s="7"/>
    </row>
    <row r="79">
      <c r="A79" s="8" t="s">
        <v>345</v>
      </c>
      <c r="B79" s="9" t="s">
        <v>347</v>
      </c>
      <c r="C79" s="10"/>
      <c r="D79" s="19" t="s">
        <v>426</v>
      </c>
      <c r="E79" s="10"/>
      <c r="F79" s="12" t="s">
        <v>428</v>
      </c>
      <c r="G79" s="13"/>
      <c r="H79" s="10"/>
      <c r="I79" s="17" t="s">
        <v>351</v>
      </c>
      <c r="J79" s="7"/>
      <c r="K79" s="7"/>
      <c r="L79" s="7"/>
      <c r="M79" s="7"/>
      <c r="N79" s="7">
        <f t="shared" si="1"/>
        <v>1</v>
      </c>
      <c r="O79" s="7"/>
    </row>
    <row r="80">
      <c r="A80" s="8" t="s">
        <v>352</v>
      </c>
      <c r="B80" s="9" t="s">
        <v>353</v>
      </c>
      <c r="C80" s="10"/>
      <c r="D80" s="18" t="s">
        <v>354</v>
      </c>
      <c r="E80" s="10"/>
      <c r="F80" s="12" t="s">
        <v>355</v>
      </c>
      <c r="G80" s="13"/>
      <c r="H80" s="10"/>
      <c r="I80" s="17" t="s">
        <v>356</v>
      </c>
      <c r="J80" s="7"/>
      <c r="K80" s="7"/>
      <c r="L80" s="7"/>
      <c r="M80" s="7"/>
      <c r="N80" s="7">
        <f t="shared" si="1"/>
        <v>1</v>
      </c>
      <c r="O80" s="7"/>
    </row>
    <row r="81">
      <c r="A81" s="8" t="s">
        <v>357</v>
      </c>
      <c r="B81" s="9" t="s">
        <v>358</v>
      </c>
      <c r="C81" s="10"/>
      <c r="D81" s="11" t="s">
        <v>359</v>
      </c>
      <c r="E81" s="10"/>
      <c r="F81" s="12" t="s">
        <v>441</v>
      </c>
      <c r="G81" s="13"/>
      <c r="H81" s="10"/>
      <c r="I81" s="14"/>
      <c r="J81" s="7"/>
      <c r="K81" s="7"/>
      <c r="L81" s="7"/>
      <c r="M81" s="7"/>
      <c r="N81" s="7">
        <f t="shared" si="1"/>
        <v>1</v>
      </c>
      <c r="O81" s="7"/>
    </row>
    <row r="82">
      <c r="A82" s="8" t="s">
        <v>361</v>
      </c>
      <c r="B82" s="9" t="s">
        <v>362</v>
      </c>
      <c r="C82" s="10"/>
      <c r="D82" s="11" t="s">
        <v>7</v>
      </c>
      <c r="E82" s="10"/>
      <c r="F82" s="12" t="s">
        <v>363</v>
      </c>
      <c r="G82" s="13"/>
      <c r="H82" s="10"/>
      <c r="I82" s="14"/>
      <c r="J82" s="7"/>
      <c r="K82" s="7"/>
      <c r="L82" s="7"/>
      <c r="M82" s="7"/>
      <c r="N82" s="7">
        <f t="shared" si="1"/>
        <v>1</v>
      </c>
      <c r="O82" s="7"/>
    </row>
    <row r="83">
      <c r="A83" s="8" t="s">
        <v>364</v>
      </c>
      <c r="B83" s="9" t="s">
        <v>366</v>
      </c>
      <c r="C83" s="10"/>
      <c r="D83" s="11" t="s">
        <v>7</v>
      </c>
      <c r="E83" s="10"/>
      <c r="F83" s="12" t="s">
        <v>367</v>
      </c>
      <c r="G83" s="13"/>
      <c r="H83" s="10"/>
      <c r="I83" s="14"/>
      <c r="J83" s="7"/>
      <c r="K83" s="7"/>
      <c r="L83" s="7"/>
      <c r="M83" s="7"/>
      <c r="N83" s="7">
        <f t="shared" si="1"/>
        <v>1</v>
      </c>
      <c r="O83" s="7"/>
    </row>
    <row r="84">
      <c r="A84" s="8" t="s">
        <v>368</v>
      </c>
      <c r="B84" s="9" t="s">
        <v>370</v>
      </c>
      <c r="C84" s="10"/>
      <c r="D84" s="11" t="s">
        <v>7</v>
      </c>
      <c r="E84" s="10"/>
      <c r="F84" s="16"/>
      <c r="G84" s="13"/>
      <c r="H84" s="10"/>
      <c r="I84" s="14"/>
      <c r="J84" s="7"/>
      <c r="K84" s="7"/>
      <c r="L84" s="7"/>
      <c r="M84" s="7"/>
      <c r="N84" s="7">
        <f t="shared" si="1"/>
        <v>0</v>
      </c>
      <c r="O84" s="7"/>
    </row>
    <row r="85">
      <c r="A85" s="8" t="s">
        <v>371</v>
      </c>
      <c r="B85" s="9" t="s">
        <v>372</v>
      </c>
      <c r="C85" s="10"/>
      <c r="D85" s="11" t="s">
        <v>7</v>
      </c>
      <c r="E85" s="10"/>
      <c r="F85" s="12" t="s">
        <v>373</v>
      </c>
      <c r="G85" s="13"/>
      <c r="H85" s="10"/>
      <c r="I85" s="17" t="s">
        <v>374</v>
      </c>
      <c r="J85" s="7"/>
      <c r="K85" s="7"/>
      <c r="L85" s="7"/>
      <c r="M85" s="7"/>
      <c r="N85" s="7">
        <f t="shared" si="1"/>
        <v>1</v>
      </c>
      <c r="O85" s="7"/>
    </row>
    <row r="86">
      <c r="A86" s="8" t="s">
        <v>375</v>
      </c>
      <c r="B86" s="9" t="s">
        <v>376</v>
      </c>
      <c r="C86" s="10"/>
      <c r="D86" s="18" t="s">
        <v>377</v>
      </c>
      <c r="E86" s="10"/>
      <c r="F86" s="16"/>
      <c r="G86" s="13"/>
      <c r="H86" s="10"/>
      <c r="I86" s="14"/>
      <c r="J86" s="7"/>
      <c r="K86" s="7"/>
      <c r="L86" s="7"/>
      <c r="M86" s="7"/>
      <c r="N86" s="7">
        <f t="shared" si="1"/>
        <v>0</v>
      </c>
      <c r="O86" s="7"/>
    </row>
    <row r="87">
      <c r="A87" s="8" t="s">
        <v>379</v>
      </c>
      <c r="B87" s="9" t="s">
        <v>381</v>
      </c>
      <c r="C87" s="10"/>
      <c r="D87" s="11" t="s">
        <v>7</v>
      </c>
      <c r="E87" s="10"/>
      <c r="F87" s="16"/>
      <c r="G87" s="13"/>
      <c r="H87" s="10"/>
      <c r="I87" s="14"/>
      <c r="J87" s="7"/>
      <c r="K87" s="7"/>
      <c r="L87" s="7"/>
      <c r="M87" s="7"/>
      <c r="N87" s="7">
        <f t="shared" si="1"/>
        <v>0</v>
      </c>
      <c r="O87" s="7"/>
    </row>
    <row r="88">
      <c r="A88" s="8" t="s">
        <v>382</v>
      </c>
      <c r="B88" s="9" t="s">
        <v>383</v>
      </c>
      <c r="C88" s="10"/>
      <c r="D88" s="18" t="s">
        <v>385</v>
      </c>
      <c r="E88" s="10"/>
      <c r="F88" s="12" t="s">
        <v>477</v>
      </c>
      <c r="G88" s="13"/>
      <c r="H88" s="10"/>
      <c r="I88" s="17"/>
      <c r="J88" s="7"/>
      <c r="K88" s="7"/>
      <c r="L88" s="7"/>
      <c r="M88" s="7"/>
      <c r="N88" s="7">
        <f t="shared" si="1"/>
        <v>1</v>
      </c>
      <c r="O88" s="7"/>
    </row>
    <row r="89">
      <c r="A89" s="24" t="s">
        <v>387</v>
      </c>
      <c r="B89" s="9" t="s">
        <v>388</v>
      </c>
      <c r="C89" s="10"/>
      <c r="D89" s="18" t="s">
        <v>389</v>
      </c>
      <c r="E89" s="10"/>
      <c r="F89" s="12" t="s">
        <v>481</v>
      </c>
      <c r="G89" s="13"/>
      <c r="H89" s="10"/>
      <c r="I89" s="17" t="s">
        <v>391</v>
      </c>
      <c r="J89" s="7"/>
      <c r="K89" s="7"/>
      <c r="L89" s="7"/>
      <c r="M89" s="7"/>
      <c r="N89" s="7">
        <f t="shared" si="1"/>
        <v>1</v>
      </c>
      <c r="O89" s="7"/>
    </row>
    <row r="90">
      <c r="A90" s="8" t="s">
        <v>392</v>
      </c>
      <c r="B90" s="9" t="s">
        <v>393</v>
      </c>
      <c r="C90" s="10"/>
      <c r="D90" s="18" t="s">
        <v>394</v>
      </c>
      <c r="E90" s="10"/>
      <c r="F90" s="12" t="s">
        <v>486</v>
      </c>
      <c r="G90" s="13"/>
      <c r="H90" s="10"/>
      <c r="I90" s="14"/>
      <c r="J90" s="7"/>
      <c r="K90" s="7"/>
      <c r="L90" s="7"/>
      <c r="M90" s="7"/>
      <c r="N90" s="7">
        <f t="shared" si="1"/>
        <v>1</v>
      </c>
      <c r="O90" s="7"/>
    </row>
    <row r="91">
      <c r="A91" s="8" t="s">
        <v>396</v>
      </c>
      <c r="B91" s="9" t="s">
        <v>397</v>
      </c>
      <c r="C91" s="10"/>
      <c r="D91" s="19" t="s">
        <v>492</v>
      </c>
      <c r="E91" s="10"/>
      <c r="F91" s="12" t="s">
        <v>399</v>
      </c>
      <c r="G91" s="13"/>
      <c r="H91" s="10"/>
      <c r="I91" s="14"/>
      <c r="J91" s="7"/>
      <c r="K91" s="7"/>
      <c r="L91" s="7"/>
      <c r="M91" s="7"/>
      <c r="N91" s="7">
        <f t="shared" si="1"/>
        <v>1</v>
      </c>
      <c r="O91" s="7"/>
    </row>
    <row r="92">
      <c r="A92" s="8" t="s">
        <v>400</v>
      </c>
      <c r="B92" s="9" t="s">
        <v>401</v>
      </c>
      <c r="C92" s="10"/>
      <c r="D92" s="11" t="s">
        <v>7</v>
      </c>
      <c r="E92" s="10"/>
      <c r="F92" s="12" t="s">
        <v>402</v>
      </c>
      <c r="G92" s="13"/>
      <c r="H92" s="10"/>
      <c r="I92" s="17" t="s">
        <v>403</v>
      </c>
      <c r="J92" s="7"/>
      <c r="K92" s="7"/>
      <c r="L92" s="7"/>
      <c r="M92" s="7"/>
      <c r="N92" s="7">
        <f t="shared" si="1"/>
        <v>1</v>
      </c>
      <c r="O92" s="7"/>
    </row>
    <row r="93">
      <c r="A93" s="8" t="s">
        <v>404</v>
      </c>
      <c r="B93" s="9" t="s">
        <v>405</v>
      </c>
      <c r="C93" s="10"/>
      <c r="D93" s="11" t="s">
        <v>406</v>
      </c>
      <c r="E93" s="10"/>
      <c r="F93" s="12" t="s">
        <v>407</v>
      </c>
      <c r="G93" s="13"/>
      <c r="H93" s="10"/>
      <c r="I93" s="14"/>
      <c r="J93" s="7"/>
      <c r="K93" s="7"/>
      <c r="L93" s="7"/>
      <c r="M93" s="7"/>
      <c r="N93" s="7">
        <f t="shared" si="1"/>
        <v>1</v>
      </c>
      <c r="O93" s="7"/>
    </row>
    <row r="94">
      <c r="A94" s="8" t="s">
        <v>408</v>
      </c>
      <c r="B94" s="9" t="s">
        <v>410</v>
      </c>
      <c r="C94" s="10"/>
      <c r="D94" s="11" t="s">
        <v>411</v>
      </c>
      <c r="E94" s="10"/>
      <c r="F94" s="12" t="s">
        <v>144</v>
      </c>
      <c r="G94" s="13"/>
      <c r="H94" s="10"/>
      <c r="I94" s="14"/>
      <c r="J94" s="7"/>
      <c r="K94" s="7"/>
      <c r="L94" s="7"/>
      <c r="M94" s="7"/>
      <c r="N94" s="7">
        <f t="shared" si="1"/>
        <v>1</v>
      </c>
      <c r="O94" s="7"/>
    </row>
    <row r="95">
      <c r="A95" s="8" t="s">
        <v>412</v>
      </c>
      <c r="B95" s="9" t="s">
        <v>413</v>
      </c>
      <c r="C95" s="10"/>
      <c r="D95" s="18" t="s">
        <v>414</v>
      </c>
      <c r="E95" s="10"/>
      <c r="F95" s="16"/>
      <c r="G95" s="13"/>
      <c r="H95" s="10"/>
      <c r="I95" s="14"/>
      <c r="J95" s="7"/>
      <c r="K95" s="7"/>
      <c r="L95" s="7"/>
      <c r="M95" s="7"/>
      <c r="N95" s="7">
        <f t="shared" si="1"/>
        <v>0</v>
      </c>
      <c r="O95" s="7"/>
    </row>
    <row r="96">
      <c r="A96" s="8" t="s">
        <v>415</v>
      </c>
      <c r="B96" s="9" t="s">
        <v>417</v>
      </c>
      <c r="C96" s="10"/>
      <c r="D96" s="18" t="s">
        <v>418</v>
      </c>
      <c r="E96" s="10"/>
      <c r="F96" s="12" t="s">
        <v>509</v>
      </c>
      <c r="G96" s="13"/>
      <c r="H96" s="10"/>
      <c r="I96" s="17" t="s">
        <v>420</v>
      </c>
      <c r="J96" s="7"/>
      <c r="K96" s="7"/>
      <c r="L96" s="7"/>
      <c r="M96" s="7"/>
      <c r="N96" s="7">
        <f t="shared" si="1"/>
        <v>1</v>
      </c>
      <c r="O96" s="7"/>
    </row>
    <row r="97">
      <c r="A97" s="8" t="s">
        <v>421</v>
      </c>
      <c r="B97" s="9" t="s">
        <v>422</v>
      </c>
      <c r="C97" s="10"/>
      <c r="D97" s="11" t="s">
        <v>141</v>
      </c>
      <c r="E97" s="10"/>
      <c r="F97" s="12" t="s">
        <v>144</v>
      </c>
      <c r="G97" s="13"/>
      <c r="H97" s="10"/>
      <c r="I97" s="14"/>
      <c r="J97" s="7"/>
      <c r="K97" s="7"/>
      <c r="L97" s="7"/>
      <c r="M97" s="7"/>
      <c r="N97" s="7">
        <f t="shared" si="1"/>
        <v>1</v>
      </c>
      <c r="O97" s="7"/>
    </row>
    <row r="98">
      <c r="A98" s="8" t="s">
        <v>423</v>
      </c>
      <c r="B98" s="9" t="s">
        <v>424</v>
      </c>
      <c r="C98" s="10"/>
      <c r="D98" s="18" t="s">
        <v>257</v>
      </c>
      <c r="E98" s="10"/>
      <c r="F98" s="12" t="s">
        <v>425</v>
      </c>
      <c r="G98" s="13"/>
      <c r="H98" s="10"/>
      <c r="I98" s="17" t="s">
        <v>427</v>
      </c>
      <c r="J98" s="7"/>
      <c r="K98" s="7"/>
      <c r="L98" s="7"/>
      <c r="M98" s="7"/>
      <c r="N98" s="7">
        <f t="shared" si="1"/>
        <v>1</v>
      </c>
      <c r="O98" s="7"/>
    </row>
    <row r="99">
      <c r="A99" s="8" t="s">
        <v>429</v>
      </c>
      <c r="B99" s="9" t="s">
        <v>430</v>
      </c>
      <c r="C99" s="10"/>
      <c r="D99" s="11" t="s">
        <v>431</v>
      </c>
      <c r="E99" s="10"/>
      <c r="F99" s="16"/>
      <c r="G99" s="13"/>
      <c r="H99" s="10"/>
      <c r="I99" s="14"/>
      <c r="J99" s="7"/>
      <c r="K99" s="7"/>
      <c r="L99" s="7"/>
      <c r="M99" s="7"/>
      <c r="N99" s="7">
        <f t="shared" si="1"/>
        <v>0</v>
      </c>
      <c r="O99" s="7"/>
    </row>
    <row r="100">
      <c r="A100" s="8" t="s">
        <v>432</v>
      </c>
      <c r="B100" s="9" t="s">
        <v>433</v>
      </c>
      <c r="C100" s="10"/>
      <c r="D100" s="11" t="s">
        <v>434</v>
      </c>
      <c r="E100" s="10"/>
      <c r="F100" s="12" t="s">
        <v>534</v>
      </c>
      <c r="G100" s="13"/>
      <c r="H100" s="10"/>
      <c r="I100" s="14"/>
      <c r="J100" s="7"/>
      <c r="K100" s="7"/>
      <c r="L100" s="7"/>
      <c r="M100" s="7"/>
      <c r="N100" s="7">
        <f t="shared" si="1"/>
        <v>1</v>
      </c>
      <c r="O100" s="7"/>
    </row>
    <row r="101">
      <c r="A101" s="8" t="s">
        <v>436</v>
      </c>
      <c r="B101" s="9" t="s">
        <v>437</v>
      </c>
      <c r="C101" s="10"/>
      <c r="D101" s="11" t="s">
        <v>438</v>
      </c>
      <c r="E101" s="10"/>
      <c r="F101" s="12" t="s">
        <v>144</v>
      </c>
      <c r="G101" s="13"/>
      <c r="H101" s="10"/>
      <c r="I101" s="17" t="s">
        <v>439</v>
      </c>
      <c r="J101" s="7"/>
      <c r="K101" s="7"/>
      <c r="L101" s="7"/>
      <c r="M101" s="7"/>
      <c r="N101" s="7">
        <f t="shared" si="1"/>
        <v>1</v>
      </c>
      <c r="O101" s="7"/>
    </row>
    <row r="102">
      <c r="A102" s="8" t="s">
        <v>440</v>
      </c>
      <c r="B102" s="9" t="s">
        <v>442</v>
      </c>
      <c r="C102" s="10"/>
      <c r="D102" s="18" t="s">
        <v>443</v>
      </c>
      <c r="E102" s="10"/>
      <c r="F102" s="12" t="s">
        <v>556</v>
      </c>
      <c r="G102" s="13"/>
      <c r="H102" s="10"/>
      <c r="I102" s="17" t="s">
        <v>445</v>
      </c>
      <c r="J102" s="7"/>
      <c r="K102" s="7"/>
      <c r="L102" s="7"/>
      <c r="M102" s="7"/>
      <c r="N102" s="7">
        <f t="shared" si="1"/>
        <v>1</v>
      </c>
      <c r="O102" s="7"/>
    </row>
    <row r="103">
      <c r="A103" s="8" t="s">
        <v>446</v>
      </c>
      <c r="B103" s="9" t="s">
        <v>447</v>
      </c>
      <c r="C103" s="10"/>
      <c r="D103" s="18" t="s">
        <v>448</v>
      </c>
      <c r="E103" s="10"/>
      <c r="F103" s="12" t="s">
        <v>77</v>
      </c>
      <c r="G103" s="13"/>
      <c r="H103" s="10"/>
      <c r="I103" s="14"/>
      <c r="J103" s="7"/>
      <c r="K103" s="7"/>
      <c r="L103" s="7"/>
      <c r="M103" s="7"/>
      <c r="N103" s="7">
        <f t="shared" si="1"/>
        <v>1</v>
      </c>
      <c r="O103" s="7"/>
    </row>
    <row r="104">
      <c r="A104" s="8" t="s">
        <v>449</v>
      </c>
      <c r="B104" s="9" t="s">
        <v>451</v>
      </c>
      <c r="C104" s="10"/>
      <c r="D104" s="9" t="s">
        <v>452</v>
      </c>
      <c r="E104" s="10"/>
      <c r="F104" s="16"/>
      <c r="G104" s="13"/>
      <c r="H104" s="10"/>
      <c r="I104" s="14"/>
      <c r="J104" s="7"/>
      <c r="K104" s="7"/>
      <c r="L104" s="7"/>
      <c r="M104" s="7"/>
      <c r="N104" s="7">
        <f t="shared" si="1"/>
        <v>0</v>
      </c>
      <c r="O104" s="7"/>
    </row>
    <row r="105">
      <c r="A105" s="8" t="s">
        <v>453</v>
      </c>
      <c r="B105" s="9" t="s">
        <v>454</v>
      </c>
      <c r="C105" s="10"/>
      <c r="D105" s="19" t="s">
        <v>574</v>
      </c>
      <c r="E105" s="10"/>
      <c r="F105" s="12" t="s">
        <v>456</v>
      </c>
      <c r="G105" s="13"/>
      <c r="H105" s="10"/>
      <c r="I105" s="14"/>
      <c r="J105" s="7"/>
      <c r="K105" s="7"/>
      <c r="L105" s="7"/>
      <c r="M105" s="7"/>
      <c r="N105" s="7">
        <f t="shared" si="1"/>
        <v>1</v>
      </c>
      <c r="O105" s="7"/>
    </row>
    <row r="106">
      <c r="A106" s="20" t="s">
        <v>457</v>
      </c>
      <c r="B106" s="9" t="s">
        <v>458</v>
      </c>
      <c r="C106" s="10"/>
      <c r="D106" s="18" t="s">
        <v>459</v>
      </c>
      <c r="E106" s="10"/>
      <c r="F106" s="12" t="s">
        <v>460</v>
      </c>
      <c r="G106" s="13"/>
      <c r="H106" s="10"/>
      <c r="I106" s="17" t="s">
        <v>461</v>
      </c>
      <c r="J106" s="7"/>
      <c r="K106" s="7"/>
      <c r="L106" s="7"/>
      <c r="M106" s="7"/>
      <c r="N106" s="7">
        <f t="shared" si="1"/>
        <v>1</v>
      </c>
      <c r="O106" s="7"/>
    </row>
    <row r="107">
      <c r="A107" s="8" t="s">
        <v>462</v>
      </c>
      <c r="B107" s="9" t="s">
        <v>463</v>
      </c>
      <c r="C107" s="10"/>
      <c r="D107" s="18" t="s">
        <v>464</v>
      </c>
      <c r="E107" s="10"/>
      <c r="F107" s="12" t="s">
        <v>586</v>
      </c>
      <c r="G107" s="13"/>
      <c r="H107" s="10"/>
      <c r="I107" s="17" t="s">
        <v>466</v>
      </c>
      <c r="J107" s="7"/>
      <c r="K107" s="7"/>
      <c r="L107" s="7"/>
      <c r="M107" s="7"/>
      <c r="N107" s="7">
        <f t="shared" si="1"/>
        <v>1</v>
      </c>
      <c r="O107" s="7"/>
    </row>
    <row r="108">
      <c r="A108" s="8" t="s">
        <v>467</v>
      </c>
      <c r="B108" s="9" t="s">
        <v>468</v>
      </c>
      <c r="C108" s="10"/>
      <c r="D108" s="19" t="s">
        <v>590</v>
      </c>
      <c r="E108" s="10"/>
      <c r="F108" s="12" t="s">
        <v>470</v>
      </c>
      <c r="G108" s="13"/>
      <c r="H108" s="10"/>
      <c r="I108" s="14"/>
      <c r="J108" s="7"/>
      <c r="K108" s="7"/>
      <c r="L108" s="7"/>
      <c r="M108" s="7"/>
      <c r="N108" s="7">
        <f t="shared" si="1"/>
        <v>1</v>
      </c>
      <c r="O108" s="7"/>
    </row>
    <row r="109">
      <c r="A109" s="8" t="s">
        <v>471</v>
      </c>
      <c r="B109" s="9" t="s">
        <v>472</v>
      </c>
      <c r="C109" s="10"/>
      <c r="D109" s="18" t="s">
        <v>473</v>
      </c>
      <c r="E109" s="10"/>
      <c r="F109" s="12" t="s">
        <v>474</v>
      </c>
      <c r="G109" s="13"/>
      <c r="H109" s="10"/>
      <c r="I109" s="14"/>
      <c r="J109" s="7"/>
      <c r="K109" s="7"/>
      <c r="L109" s="7"/>
      <c r="M109" s="7"/>
      <c r="N109" s="7">
        <f t="shared" si="1"/>
        <v>1</v>
      </c>
      <c r="O109" s="7"/>
    </row>
    <row r="110">
      <c r="A110" s="8" t="s">
        <v>476</v>
      </c>
      <c r="B110" s="9" t="s">
        <v>478</v>
      </c>
      <c r="C110" s="10"/>
      <c r="D110" s="19" t="s">
        <v>601</v>
      </c>
      <c r="E110" s="10"/>
      <c r="F110" s="12" t="s">
        <v>480</v>
      </c>
      <c r="G110" s="13"/>
      <c r="H110" s="10"/>
      <c r="I110" s="14"/>
      <c r="J110" s="7"/>
      <c r="K110" s="7"/>
      <c r="L110" s="7"/>
      <c r="M110" s="7"/>
      <c r="N110" s="7">
        <f t="shared" si="1"/>
        <v>1</v>
      </c>
      <c r="O110" s="7"/>
    </row>
    <row r="111">
      <c r="A111" s="8" t="s">
        <v>482</v>
      </c>
      <c r="B111" s="9" t="s">
        <v>483</v>
      </c>
      <c r="C111" s="10"/>
      <c r="D111" s="11" t="s">
        <v>7</v>
      </c>
      <c r="E111" s="10"/>
      <c r="F111" s="12" t="s">
        <v>484</v>
      </c>
      <c r="G111" s="13"/>
      <c r="H111" s="10"/>
      <c r="I111" s="14"/>
      <c r="J111" s="7"/>
      <c r="K111" s="7"/>
      <c r="L111" s="7"/>
      <c r="M111" s="7"/>
      <c r="N111" s="7">
        <f t="shared" si="1"/>
        <v>1</v>
      </c>
      <c r="O111" s="7"/>
    </row>
    <row r="112">
      <c r="A112" s="8" t="s">
        <v>485</v>
      </c>
      <c r="B112" s="9" t="s">
        <v>487</v>
      </c>
      <c r="C112" s="10"/>
      <c r="D112" s="9" t="s">
        <v>488</v>
      </c>
      <c r="E112" s="10"/>
      <c r="F112" s="16"/>
      <c r="G112" s="13"/>
      <c r="H112" s="10"/>
      <c r="I112" s="14"/>
      <c r="J112" s="7"/>
      <c r="K112" s="7"/>
      <c r="L112" s="7"/>
      <c r="M112" s="7"/>
      <c r="N112" s="7">
        <f t="shared" si="1"/>
        <v>0</v>
      </c>
      <c r="O112" s="7"/>
    </row>
    <row r="113">
      <c r="A113" s="8" t="s">
        <v>489</v>
      </c>
      <c r="B113" s="15" t="s">
        <v>490</v>
      </c>
      <c r="C113" s="10"/>
      <c r="D113" s="11" t="s">
        <v>491</v>
      </c>
      <c r="E113" s="10"/>
      <c r="F113" s="12" t="s">
        <v>493</v>
      </c>
      <c r="G113" s="13"/>
      <c r="H113" s="10"/>
      <c r="I113" s="14"/>
      <c r="J113" s="7"/>
      <c r="K113" s="7"/>
      <c r="L113" s="7"/>
      <c r="M113" s="7"/>
      <c r="N113" s="7">
        <f t="shared" si="1"/>
        <v>1</v>
      </c>
      <c r="O113" s="7"/>
    </row>
    <row r="114">
      <c r="A114" s="8" t="s">
        <v>494</v>
      </c>
      <c r="B114" s="9" t="s">
        <v>495</v>
      </c>
      <c r="C114" s="10"/>
      <c r="D114" s="18" t="s">
        <v>496</v>
      </c>
      <c r="E114" s="10"/>
      <c r="F114" s="16"/>
      <c r="G114" s="13"/>
      <c r="H114" s="10"/>
      <c r="I114" s="14"/>
      <c r="J114" s="7"/>
      <c r="K114" s="7"/>
      <c r="L114" s="7"/>
      <c r="M114" s="7"/>
      <c r="N114" s="7">
        <f t="shared" si="1"/>
        <v>0</v>
      </c>
      <c r="O114" s="7"/>
    </row>
    <row r="115">
      <c r="A115" s="8" t="s">
        <v>497</v>
      </c>
      <c r="B115" s="9" t="s">
        <v>498</v>
      </c>
      <c r="C115" s="10"/>
      <c r="D115" s="11" t="s">
        <v>141</v>
      </c>
      <c r="E115" s="10"/>
      <c r="F115" s="12" t="s">
        <v>144</v>
      </c>
      <c r="G115" s="13"/>
      <c r="H115" s="10"/>
      <c r="I115" s="14"/>
      <c r="J115" s="7"/>
      <c r="K115" s="7"/>
      <c r="L115" s="7"/>
      <c r="M115" s="7"/>
      <c r="N115" s="7">
        <f t="shared" si="1"/>
        <v>1</v>
      </c>
      <c r="O115" s="7"/>
    </row>
    <row r="116">
      <c r="A116" s="8" t="s">
        <v>499</v>
      </c>
      <c r="B116" s="9" t="s">
        <v>184</v>
      </c>
      <c r="C116" s="10"/>
      <c r="D116" s="18" t="s">
        <v>500</v>
      </c>
      <c r="E116" s="10"/>
      <c r="F116" s="16"/>
      <c r="G116" s="13"/>
      <c r="H116" s="10"/>
      <c r="I116" s="14"/>
      <c r="J116" s="7"/>
      <c r="K116" s="7"/>
      <c r="L116" s="7"/>
      <c r="M116" s="7"/>
      <c r="N116" s="7">
        <f t="shared" si="1"/>
        <v>0</v>
      </c>
      <c r="O116" s="7"/>
    </row>
    <row r="117">
      <c r="A117" s="8" t="s">
        <v>501</v>
      </c>
      <c r="B117" s="9" t="s">
        <v>502</v>
      </c>
      <c r="C117" s="10"/>
      <c r="D117" s="19" t="s">
        <v>653</v>
      </c>
      <c r="E117" s="10"/>
      <c r="F117" s="12" t="s">
        <v>504</v>
      </c>
      <c r="G117" s="13"/>
      <c r="H117" s="10"/>
      <c r="I117" s="14"/>
      <c r="J117" s="7"/>
      <c r="K117" s="7"/>
      <c r="L117" s="7"/>
      <c r="M117" s="7"/>
      <c r="N117" s="7">
        <f t="shared" si="1"/>
        <v>1</v>
      </c>
      <c r="O117" s="7"/>
    </row>
    <row r="118">
      <c r="A118" s="8" t="s">
        <v>505</v>
      </c>
      <c r="B118" s="9" t="s">
        <v>506</v>
      </c>
      <c r="C118" s="10"/>
      <c r="D118" s="11" t="s">
        <v>7</v>
      </c>
      <c r="E118" s="10"/>
      <c r="F118" s="12" t="s">
        <v>507</v>
      </c>
      <c r="G118" s="13"/>
      <c r="H118" s="10"/>
      <c r="I118" s="14"/>
      <c r="J118" s="7"/>
      <c r="K118" s="7"/>
      <c r="L118" s="7"/>
      <c r="M118" s="7"/>
      <c r="N118" s="7">
        <f t="shared" si="1"/>
        <v>1</v>
      </c>
      <c r="O118" s="7"/>
    </row>
    <row r="119">
      <c r="A119" s="8" t="s">
        <v>508</v>
      </c>
      <c r="B119" s="9" t="s">
        <v>510</v>
      </c>
      <c r="C119" s="10"/>
      <c r="D119" s="11" t="s">
        <v>7</v>
      </c>
      <c r="E119" s="10"/>
      <c r="F119" s="12" t="s">
        <v>512</v>
      </c>
      <c r="G119" s="13"/>
      <c r="H119" s="10"/>
      <c r="I119" s="14"/>
      <c r="J119" s="7"/>
      <c r="K119" s="7"/>
      <c r="L119" s="7"/>
      <c r="M119" s="7"/>
      <c r="N119" s="7">
        <f t="shared" si="1"/>
        <v>1</v>
      </c>
      <c r="O119" s="7"/>
    </row>
    <row r="120">
      <c r="A120" s="8" t="s">
        <v>513</v>
      </c>
      <c r="B120" s="9" t="s">
        <v>514</v>
      </c>
      <c r="C120" s="10"/>
      <c r="D120" s="18" t="s">
        <v>464</v>
      </c>
      <c r="E120" s="10"/>
      <c r="F120" s="12" t="s">
        <v>515</v>
      </c>
      <c r="G120" s="13"/>
      <c r="H120" s="10"/>
      <c r="I120" s="14"/>
      <c r="J120" s="7"/>
      <c r="K120" s="7"/>
      <c r="L120" s="7"/>
      <c r="M120" s="7"/>
      <c r="N120" s="7">
        <f t="shared" si="1"/>
        <v>1</v>
      </c>
      <c r="O120" s="7"/>
    </row>
    <row r="121">
      <c r="A121" s="8" t="s">
        <v>516</v>
      </c>
      <c r="B121" s="9" t="s">
        <v>517</v>
      </c>
      <c r="C121" s="10"/>
      <c r="D121" s="21" t="s">
        <v>675</v>
      </c>
      <c r="E121" s="10"/>
      <c r="F121" s="12" t="s">
        <v>679</v>
      </c>
      <c r="G121" s="13"/>
      <c r="H121" s="10"/>
      <c r="I121" s="17" t="s">
        <v>520</v>
      </c>
      <c r="J121" s="7"/>
      <c r="K121" s="7"/>
      <c r="L121" s="7"/>
      <c r="M121" s="7"/>
      <c r="N121" s="7">
        <f t="shared" si="1"/>
        <v>1</v>
      </c>
      <c r="O121" s="7"/>
    </row>
    <row r="122">
      <c r="A122" s="8" t="s">
        <v>521</v>
      </c>
      <c r="B122" s="9" t="s">
        <v>522</v>
      </c>
      <c r="C122" s="10"/>
      <c r="D122" s="18" t="s">
        <v>523</v>
      </c>
      <c r="E122" s="10"/>
      <c r="F122" s="12" t="s">
        <v>524</v>
      </c>
      <c r="G122" s="13"/>
      <c r="H122" s="10"/>
      <c r="I122" s="14"/>
      <c r="J122" s="7"/>
      <c r="K122" s="7"/>
      <c r="L122" s="7"/>
      <c r="M122" s="7"/>
      <c r="N122" s="7">
        <f t="shared" si="1"/>
        <v>1</v>
      </c>
      <c r="O122" s="7"/>
    </row>
    <row r="123">
      <c r="A123" s="20" t="s">
        <v>525</v>
      </c>
      <c r="B123" s="15" t="s">
        <v>526</v>
      </c>
      <c r="C123" s="10"/>
      <c r="D123" s="15" t="s">
        <v>527</v>
      </c>
      <c r="E123" s="10"/>
      <c r="F123" s="12" t="s">
        <v>528</v>
      </c>
      <c r="G123" s="13"/>
      <c r="H123" s="10"/>
      <c r="I123" s="14"/>
      <c r="J123" s="7"/>
      <c r="K123" s="7"/>
      <c r="L123" s="7"/>
      <c r="M123" s="7"/>
      <c r="N123" s="7">
        <f t="shared" si="1"/>
        <v>1</v>
      </c>
      <c r="O123" s="7"/>
    </row>
    <row r="124">
      <c r="A124" s="20" t="s">
        <v>530</v>
      </c>
      <c r="B124" s="9"/>
      <c r="C124" s="10"/>
      <c r="D124" s="15" t="s">
        <v>531</v>
      </c>
      <c r="E124" s="10"/>
      <c r="F124" s="12" t="s">
        <v>532</v>
      </c>
      <c r="G124" s="13"/>
      <c r="H124" s="10"/>
      <c r="I124" s="14"/>
      <c r="J124" s="7"/>
      <c r="K124" s="7"/>
      <c r="L124" s="7"/>
      <c r="M124" s="7"/>
      <c r="N124" s="7">
        <f t="shared" si="1"/>
        <v>1</v>
      </c>
      <c r="O124" s="7"/>
    </row>
    <row r="125">
      <c r="A125" s="20" t="s">
        <v>533</v>
      </c>
      <c r="B125" s="9"/>
      <c r="C125" s="10"/>
      <c r="D125" s="15" t="s">
        <v>535</v>
      </c>
      <c r="E125" s="10"/>
      <c r="F125" s="12" t="s">
        <v>536</v>
      </c>
      <c r="G125" s="13"/>
      <c r="H125" s="10"/>
      <c r="I125" s="14"/>
      <c r="J125" s="7"/>
      <c r="K125" s="7"/>
      <c r="L125" s="7"/>
      <c r="M125" s="7"/>
      <c r="N125" s="7">
        <f t="shared" si="1"/>
        <v>1</v>
      </c>
      <c r="O125" s="7"/>
    </row>
    <row r="126">
      <c r="A126" s="20" t="s">
        <v>537</v>
      </c>
      <c r="B126" s="9"/>
      <c r="C126" s="10"/>
      <c r="D126" s="15" t="s">
        <v>538</v>
      </c>
      <c r="E126" s="10"/>
      <c r="F126" s="12" t="s">
        <v>539</v>
      </c>
      <c r="G126" s="13"/>
      <c r="H126" s="10"/>
      <c r="I126" s="14"/>
      <c r="J126" s="7"/>
      <c r="K126" s="7"/>
      <c r="L126" s="7"/>
      <c r="M126" s="7"/>
      <c r="N126" s="7">
        <f t="shared" si="1"/>
        <v>1</v>
      </c>
      <c r="O126" s="7"/>
    </row>
    <row r="127">
      <c r="A127" s="20" t="s">
        <v>540</v>
      </c>
      <c r="B127" s="9"/>
      <c r="C127" s="10"/>
      <c r="D127" s="15" t="s">
        <v>542</v>
      </c>
      <c r="E127" s="10"/>
      <c r="F127" s="12" t="s">
        <v>543</v>
      </c>
      <c r="G127" s="13"/>
      <c r="H127" s="10"/>
      <c r="I127" s="14"/>
      <c r="J127" s="7"/>
      <c r="K127" s="7"/>
      <c r="L127" s="7"/>
      <c r="M127" s="7"/>
      <c r="N127" s="7">
        <f t="shared" si="1"/>
        <v>1</v>
      </c>
      <c r="O127" s="7"/>
    </row>
    <row r="128">
      <c r="A128" s="20" t="s">
        <v>544</v>
      </c>
      <c r="B128" s="9"/>
      <c r="C128" s="10"/>
      <c r="D128" s="15" t="s">
        <v>542</v>
      </c>
      <c r="E128" s="10"/>
      <c r="F128" s="12" t="s">
        <v>545</v>
      </c>
      <c r="G128" s="13"/>
      <c r="H128" s="10"/>
      <c r="I128" s="14"/>
      <c r="J128" s="7"/>
      <c r="K128" s="7"/>
      <c r="L128" s="7"/>
      <c r="M128" s="7"/>
      <c r="N128" s="7">
        <f t="shared" si="1"/>
        <v>1</v>
      </c>
      <c r="O128" s="7"/>
    </row>
    <row r="129">
      <c r="A129" s="20" t="s">
        <v>546</v>
      </c>
      <c r="B129" s="9"/>
      <c r="C129" s="10"/>
      <c r="D129" s="15" t="s">
        <v>547</v>
      </c>
      <c r="E129" s="10"/>
      <c r="F129" s="12" t="s">
        <v>548</v>
      </c>
      <c r="G129" s="13"/>
      <c r="H129" s="10"/>
      <c r="I129" s="14"/>
      <c r="J129" s="7"/>
      <c r="K129" s="7"/>
      <c r="L129" s="7"/>
      <c r="M129" s="7"/>
      <c r="N129" s="7">
        <f t="shared" si="1"/>
        <v>1</v>
      </c>
      <c r="O129" s="7"/>
    </row>
    <row r="130">
      <c r="A130" s="20" t="s">
        <v>550</v>
      </c>
      <c r="B130" s="9"/>
      <c r="C130" s="10"/>
      <c r="D130" s="15" t="s">
        <v>551</v>
      </c>
      <c r="E130" s="10"/>
      <c r="F130" s="12" t="s">
        <v>552</v>
      </c>
      <c r="G130" s="13"/>
      <c r="H130" s="10"/>
      <c r="I130" s="17" t="s">
        <v>20</v>
      </c>
      <c r="J130" s="7"/>
      <c r="K130" s="7"/>
      <c r="L130" s="7"/>
      <c r="M130" s="7"/>
      <c r="N130" s="7">
        <f t="shared" si="1"/>
        <v>1</v>
      </c>
      <c r="O130" s="7"/>
    </row>
    <row r="131">
      <c r="A131" s="20" t="s">
        <v>553</v>
      </c>
      <c r="B131" s="9"/>
      <c r="C131" s="10"/>
      <c r="D131" s="15" t="s">
        <v>554</v>
      </c>
      <c r="E131" s="10"/>
      <c r="F131" s="12" t="s">
        <v>555</v>
      </c>
      <c r="G131" s="13"/>
      <c r="H131" s="10"/>
      <c r="I131" s="17" t="s">
        <v>260</v>
      </c>
      <c r="J131" s="7"/>
      <c r="K131" s="7"/>
      <c r="L131" s="7"/>
      <c r="M131" s="7"/>
      <c r="N131" s="7">
        <f t="shared" si="1"/>
        <v>1</v>
      </c>
      <c r="O131" s="7"/>
    </row>
    <row r="132">
      <c r="A132" s="20" t="s">
        <v>557</v>
      </c>
      <c r="B132" s="15" t="s">
        <v>558</v>
      </c>
      <c r="C132" s="10"/>
      <c r="D132" s="9"/>
      <c r="E132" s="10"/>
      <c r="F132" s="12" t="s">
        <v>559</v>
      </c>
      <c r="G132" s="13"/>
      <c r="H132" s="10"/>
      <c r="I132" s="14"/>
      <c r="J132" s="7"/>
      <c r="K132" s="7"/>
      <c r="L132" s="7"/>
      <c r="M132" s="7"/>
      <c r="N132" s="7"/>
      <c r="O132" s="7"/>
    </row>
    <row r="133">
      <c r="A133" s="20" t="s">
        <v>560</v>
      </c>
      <c r="B133" s="15" t="s">
        <v>558</v>
      </c>
      <c r="C133" s="10"/>
      <c r="D133" s="9"/>
      <c r="E133" s="10"/>
      <c r="F133" s="12" t="s">
        <v>561</v>
      </c>
      <c r="G133" s="13"/>
      <c r="H133" s="10"/>
      <c r="I133" s="14"/>
      <c r="J133" s="7"/>
      <c r="K133" s="7"/>
      <c r="L133" s="7"/>
      <c r="M133" s="7"/>
      <c r="N133" s="7"/>
      <c r="O133" s="7"/>
    </row>
    <row r="134">
      <c r="A134" s="20" t="s">
        <v>562</v>
      </c>
      <c r="B134" s="15" t="s">
        <v>558</v>
      </c>
      <c r="C134" s="10"/>
      <c r="D134" s="9"/>
      <c r="E134" s="10"/>
      <c r="F134" s="12" t="s">
        <v>563</v>
      </c>
      <c r="G134" s="13"/>
      <c r="H134" s="10"/>
      <c r="I134" s="14"/>
      <c r="J134" s="7"/>
      <c r="K134" s="7"/>
      <c r="L134" s="7"/>
      <c r="M134" s="7"/>
      <c r="N134" s="7"/>
      <c r="O134" s="7"/>
    </row>
    <row r="135">
      <c r="A135" s="20" t="s">
        <v>564</v>
      </c>
      <c r="B135" s="15" t="s">
        <v>558</v>
      </c>
      <c r="C135" s="10"/>
      <c r="D135" s="9"/>
      <c r="E135" s="10"/>
      <c r="F135" s="12" t="s">
        <v>565</v>
      </c>
      <c r="G135" s="13"/>
      <c r="H135" s="10"/>
      <c r="I135" s="14"/>
      <c r="J135" s="7"/>
      <c r="K135" s="7"/>
      <c r="L135" s="7"/>
      <c r="M135" s="7"/>
      <c r="N135" s="7"/>
      <c r="O135" s="7"/>
    </row>
    <row r="136">
      <c r="A136" s="20" t="s">
        <v>567</v>
      </c>
      <c r="B136" s="15" t="s">
        <v>568</v>
      </c>
      <c r="C136" s="10"/>
      <c r="D136" s="9"/>
      <c r="E136" s="10"/>
      <c r="F136" s="12" t="s">
        <v>569</v>
      </c>
      <c r="G136" s="13"/>
      <c r="H136" s="10"/>
      <c r="I136" s="14"/>
      <c r="J136" s="7"/>
      <c r="K136" s="7"/>
      <c r="L136" s="7"/>
      <c r="M136" s="7"/>
      <c r="N136" s="7"/>
      <c r="O136" s="7"/>
    </row>
    <row r="137">
      <c r="A137" s="20" t="s">
        <v>570</v>
      </c>
      <c r="B137" s="15" t="s">
        <v>571</v>
      </c>
      <c r="C137" s="10"/>
      <c r="D137" s="9"/>
      <c r="E137" s="10"/>
      <c r="F137" s="12" t="s">
        <v>572</v>
      </c>
      <c r="G137" s="13"/>
      <c r="H137" s="10"/>
      <c r="I137" s="14"/>
      <c r="J137" s="7"/>
      <c r="K137" s="7"/>
      <c r="L137" s="7"/>
      <c r="M137" s="7"/>
      <c r="N137" s="7"/>
      <c r="O137" s="7"/>
    </row>
    <row r="138">
      <c r="A138" s="8" t="s">
        <v>156</v>
      </c>
      <c r="B138" s="9" t="s">
        <v>156</v>
      </c>
      <c r="C138" s="10"/>
      <c r="D138" s="18" t="s">
        <v>573</v>
      </c>
      <c r="E138" s="10"/>
      <c r="F138" s="16"/>
      <c r="G138" s="13"/>
      <c r="H138" s="10"/>
      <c r="I138" s="14"/>
      <c r="J138" s="7"/>
      <c r="K138" s="7"/>
      <c r="L138" s="7"/>
      <c r="M138" s="7"/>
      <c r="N138" s="7">
        <f> IF(ISBLANK(F138), 0, 1)</f>
        <v>0</v>
      </c>
      <c r="O138" s="7"/>
    </row>
    <row r="139">
      <c r="A139" s="7"/>
      <c r="B139" s="7"/>
      <c r="C139" s="7"/>
      <c r="D139" s="7"/>
      <c r="E139" s="7"/>
      <c r="F139" s="7"/>
      <c r="G139" s="7"/>
      <c r="H139" s="7"/>
      <c r="I139" s="7"/>
      <c r="J139" s="7"/>
      <c r="K139" s="7"/>
      <c r="L139" s="7"/>
      <c r="M139" s="7"/>
      <c r="N139" s="7"/>
      <c r="O139" s="7">
        <f>SUM(N3:N139)</f>
        <v>101</v>
      </c>
      <c r="P139" s="7"/>
      <c r="Q139" s="7"/>
      <c r="R139" s="7"/>
      <c r="S139" s="7"/>
      <c r="T139" s="7"/>
      <c r="U139" s="7"/>
      <c r="V139" s="7"/>
      <c r="W139" s="7"/>
      <c r="X139" s="7"/>
      <c r="Y139" s="7"/>
      <c r="Z139" s="7"/>
    </row>
    <row r="140">
      <c r="A140" s="25" t="s">
        <v>576</v>
      </c>
      <c r="B140" s="25" t="s">
        <v>577</v>
      </c>
      <c r="C140" s="25" t="s">
        <v>578</v>
      </c>
      <c r="D140" s="25" t="s">
        <v>579</v>
      </c>
      <c r="E140" s="25" t="s">
        <v>580</v>
      </c>
      <c r="F140" s="25" t="s">
        <v>581</v>
      </c>
      <c r="G140" s="25"/>
      <c r="H140" s="25"/>
      <c r="I140" s="25" t="s">
        <v>4</v>
      </c>
      <c r="J140" s="7"/>
      <c r="K140" s="7"/>
      <c r="L140" s="7"/>
      <c r="M140" s="7"/>
      <c r="N140" s="7"/>
      <c r="O140" s="7"/>
    </row>
    <row r="141">
      <c r="A141" s="26" t="s">
        <v>582</v>
      </c>
      <c r="B141" s="26" t="s">
        <v>583</v>
      </c>
      <c r="C141" s="26" t="s">
        <v>584</v>
      </c>
      <c r="D141" s="27"/>
      <c r="E141" s="28" t="s">
        <v>585</v>
      </c>
      <c r="F141" s="29"/>
      <c r="G141" s="13"/>
      <c r="H141" s="10"/>
      <c r="I141" s="29"/>
      <c r="J141" s="7"/>
      <c r="K141" s="7"/>
      <c r="L141" s="7"/>
      <c r="M141" s="7"/>
      <c r="N141" s="7">
        <f t="shared" ref="N141:N142" si="2"> IF(ISBLANK(F141), 0, 1)</f>
        <v>0</v>
      </c>
      <c r="O141" s="7"/>
    </row>
    <row r="142">
      <c r="A142" s="26" t="s">
        <v>587</v>
      </c>
      <c r="B142" s="26" t="s">
        <v>588</v>
      </c>
      <c r="C142" s="26" t="s">
        <v>589</v>
      </c>
      <c r="D142" s="27"/>
      <c r="E142" s="28" t="s">
        <v>591</v>
      </c>
      <c r="F142" s="30" t="s">
        <v>592</v>
      </c>
      <c r="G142" s="13"/>
      <c r="H142" s="10"/>
      <c r="I142" s="29"/>
      <c r="J142" s="7"/>
      <c r="K142" s="7"/>
      <c r="L142" s="7"/>
      <c r="M142" s="7"/>
      <c r="N142" s="7">
        <f t="shared" si="2"/>
        <v>1</v>
      </c>
      <c r="O142" s="7"/>
    </row>
    <row r="143">
      <c r="A143" s="31" t="s">
        <v>593</v>
      </c>
      <c r="B143" s="31" t="s">
        <v>208</v>
      </c>
      <c r="C143" s="31" t="s">
        <v>589</v>
      </c>
      <c r="D143" s="31" t="s">
        <v>594</v>
      </c>
      <c r="E143" s="31" t="s">
        <v>595</v>
      </c>
      <c r="F143" s="29"/>
      <c r="G143" s="13"/>
      <c r="H143" s="10"/>
      <c r="I143" s="30" t="s">
        <v>210</v>
      </c>
      <c r="J143" s="7"/>
      <c r="K143" s="7"/>
      <c r="L143" s="7"/>
      <c r="M143" s="7"/>
      <c r="N143" s="7"/>
      <c r="O143" s="7"/>
    </row>
    <row r="144">
      <c r="A144" s="26" t="s">
        <v>596</v>
      </c>
      <c r="B144" s="26" t="s">
        <v>597</v>
      </c>
      <c r="C144" s="26" t="s">
        <v>589</v>
      </c>
      <c r="D144" s="26" t="s">
        <v>598</v>
      </c>
      <c r="E144" s="28" t="s">
        <v>599</v>
      </c>
      <c r="F144" s="29"/>
      <c r="G144" s="13"/>
      <c r="H144" s="10"/>
      <c r="I144" s="29"/>
      <c r="J144" s="7"/>
      <c r="K144" s="7"/>
      <c r="L144" s="7"/>
      <c r="M144" s="7"/>
      <c r="N144" s="7">
        <f t="shared" ref="N144:N336" si="3"> IF(ISBLANK(F144), 0, 1)</f>
        <v>0</v>
      </c>
      <c r="O144" s="7"/>
    </row>
    <row r="145">
      <c r="A145" s="26" t="s">
        <v>602</v>
      </c>
      <c r="B145" s="31" t="s">
        <v>603</v>
      </c>
      <c r="C145" s="26" t="s">
        <v>589</v>
      </c>
      <c r="D145" s="27"/>
      <c r="E145" s="32" t="s">
        <v>604</v>
      </c>
      <c r="F145" s="30" t="s">
        <v>605</v>
      </c>
      <c r="G145" s="13"/>
      <c r="H145" s="10"/>
      <c r="I145" s="30" t="s">
        <v>520</v>
      </c>
      <c r="J145" s="7"/>
      <c r="K145" s="7"/>
      <c r="L145" s="7"/>
      <c r="M145" s="7"/>
      <c r="N145" s="7">
        <f t="shared" si="3"/>
        <v>1</v>
      </c>
      <c r="O145" s="7"/>
    </row>
    <row r="146">
      <c r="A146" s="26" t="s">
        <v>606</v>
      </c>
      <c r="B146" s="26" t="s">
        <v>607</v>
      </c>
      <c r="C146" s="26" t="s">
        <v>584</v>
      </c>
      <c r="D146" s="27"/>
      <c r="E146" s="32" t="s">
        <v>608</v>
      </c>
      <c r="F146" s="30" t="s">
        <v>769</v>
      </c>
      <c r="G146" s="13"/>
      <c r="H146" s="10"/>
      <c r="I146" s="29"/>
      <c r="J146" s="7"/>
      <c r="K146" s="7"/>
      <c r="L146" s="7"/>
      <c r="M146" s="7"/>
      <c r="N146" s="7">
        <f t="shared" si="3"/>
        <v>1</v>
      </c>
      <c r="O146" s="7"/>
    </row>
    <row r="147">
      <c r="A147" s="26" t="s">
        <v>610</v>
      </c>
      <c r="B147" s="31" t="s">
        <v>611</v>
      </c>
      <c r="C147" s="26" t="s">
        <v>589</v>
      </c>
      <c r="D147" s="27"/>
      <c r="E147" s="28" t="s">
        <v>612</v>
      </c>
      <c r="F147" s="30" t="s">
        <v>778</v>
      </c>
      <c r="G147" s="13"/>
      <c r="H147" s="10"/>
      <c r="I147" s="29"/>
      <c r="J147" s="7"/>
      <c r="K147" s="7"/>
      <c r="L147" s="7"/>
      <c r="M147" s="7"/>
      <c r="N147" s="7">
        <f t="shared" si="3"/>
        <v>1</v>
      </c>
      <c r="O147" s="7"/>
    </row>
    <row r="148">
      <c r="A148" s="26" t="s">
        <v>614</v>
      </c>
      <c r="B148" s="31" t="s">
        <v>615</v>
      </c>
      <c r="C148" s="26" t="s">
        <v>589</v>
      </c>
      <c r="D148" s="27"/>
      <c r="E148" s="28" t="s">
        <v>616</v>
      </c>
      <c r="F148" s="30" t="s">
        <v>617</v>
      </c>
      <c r="G148" s="13"/>
      <c r="H148" s="10"/>
      <c r="I148" s="29"/>
      <c r="J148" s="7"/>
      <c r="K148" s="7"/>
      <c r="L148" s="7"/>
      <c r="M148" s="7"/>
      <c r="N148" s="7">
        <f t="shared" si="3"/>
        <v>1</v>
      </c>
      <c r="O148" s="7"/>
    </row>
    <row r="149">
      <c r="A149" s="31" t="s">
        <v>614</v>
      </c>
      <c r="B149" s="26" t="s">
        <v>618</v>
      </c>
      <c r="C149" s="26" t="s">
        <v>589</v>
      </c>
      <c r="D149" s="27"/>
      <c r="E149" s="28" t="s">
        <v>619</v>
      </c>
      <c r="F149" s="30" t="s">
        <v>617</v>
      </c>
      <c r="G149" s="13"/>
      <c r="H149" s="10"/>
      <c r="I149" s="29"/>
      <c r="J149" s="7"/>
      <c r="K149" s="7"/>
      <c r="L149" s="7"/>
      <c r="M149" s="7"/>
      <c r="N149" s="7">
        <f t="shared" si="3"/>
        <v>1</v>
      </c>
      <c r="O149" s="7"/>
    </row>
    <row r="150">
      <c r="A150" s="31" t="s">
        <v>614</v>
      </c>
      <c r="B150" s="26" t="s">
        <v>615</v>
      </c>
      <c r="C150" s="26" t="s">
        <v>589</v>
      </c>
      <c r="D150" s="27"/>
      <c r="E150" s="28" t="s">
        <v>620</v>
      </c>
      <c r="F150" s="30" t="s">
        <v>617</v>
      </c>
      <c r="G150" s="13"/>
      <c r="H150" s="10"/>
      <c r="I150" s="29"/>
      <c r="J150" s="7"/>
      <c r="K150" s="7"/>
      <c r="L150" s="7"/>
      <c r="M150" s="7"/>
      <c r="N150" s="7">
        <f t="shared" si="3"/>
        <v>1</v>
      </c>
      <c r="O150" s="7"/>
    </row>
    <row r="151">
      <c r="A151" s="26" t="s">
        <v>623</v>
      </c>
      <c r="B151" s="26" t="s">
        <v>624</v>
      </c>
      <c r="C151" s="26" t="s">
        <v>584</v>
      </c>
      <c r="D151" s="33" t="s">
        <v>798</v>
      </c>
      <c r="E151" s="28" t="s">
        <v>626</v>
      </c>
      <c r="F151" s="30" t="s">
        <v>627</v>
      </c>
      <c r="G151" s="13"/>
      <c r="H151" s="10"/>
      <c r="I151" s="29"/>
      <c r="J151" s="7"/>
      <c r="K151" s="7"/>
      <c r="L151" s="7"/>
      <c r="M151" s="7"/>
      <c r="N151" s="7">
        <f t="shared" si="3"/>
        <v>1</v>
      </c>
      <c r="O151" s="7"/>
    </row>
    <row r="152">
      <c r="A152" s="26" t="s">
        <v>628</v>
      </c>
      <c r="B152" s="26" t="s">
        <v>629</v>
      </c>
      <c r="C152" s="26" t="s">
        <v>589</v>
      </c>
      <c r="D152" s="27"/>
      <c r="E152" s="28" t="s">
        <v>630</v>
      </c>
      <c r="F152" s="30" t="s">
        <v>805</v>
      </c>
      <c r="G152" s="13"/>
      <c r="H152" s="10"/>
      <c r="I152" s="29"/>
      <c r="J152" s="7"/>
      <c r="K152" s="7"/>
      <c r="L152" s="7"/>
      <c r="M152" s="7"/>
      <c r="N152" s="7">
        <f t="shared" si="3"/>
        <v>1</v>
      </c>
      <c r="O152" s="7"/>
    </row>
    <row r="153">
      <c r="A153" s="26" t="s">
        <v>633</v>
      </c>
      <c r="B153" s="26" t="s">
        <v>634</v>
      </c>
      <c r="C153" s="26" t="s">
        <v>584</v>
      </c>
      <c r="D153" s="26" t="s">
        <v>635</v>
      </c>
      <c r="E153" s="28" t="s">
        <v>636</v>
      </c>
      <c r="F153" s="29"/>
      <c r="G153" s="13"/>
      <c r="H153" s="10"/>
      <c r="I153" s="29"/>
      <c r="J153" s="7"/>
      <c r="K153" s="7"/>
      <c r="L153" s="7"/>
      <c r="M153" s="7"/>
      <c r="N153" s="7">
        <f t="shared" si="3"/>
        <v>0</v>
      </c>
      <c r="O153" s="7"/>
    </row>
    <row r="154">
      <c r="A154" s="31" t="s">
        <v>637</v>
      </c>
      <c r="B154" s="26" t="s">
        <v>638</v>
      </c>
      <c r="C154" s="26" t="s">
        <v>589</v>
      </c>
      <c r="D154" s="27"/>
      <c r="E154" s="33" t="s">
        <v>811</v>
      </c>
      <c r="F154" s="30" t="s">
        <v>640</v>
      </c>
      <c r="G154" s="13"/>
      <c r="H154" s="10"/>
      <c r="I154" s="29"/>
      <c r="J154" s="7"/>
      <c r="K154" s="7"/>
      <c r="L154" s="7"/>
      <c r="M154" s="7"/>
      <c r="N154" s="7">
        <f t="shared" si="3"/>
        <v>1</v>
      </c>
      <c r="O154" s="7"/>
    </row>
    <row r="155">
      <c r="A155" s="26" t="s">
        <v>641</v>
      </c>
      <c r="B155" s="26" t="s">
        <v>642</v>
      </c>
      <c r="C155" s="26" t="s">
        <v>589</v>
      </c>
      <c r="D155" s="27"/>
      <c r="E155" s="28" t="s">
        <v>643</v>
      </c>
      <c r="F155" s="30" t="s">
        <v>645</v>
      </c>
      <c r="G155" s="13"/>
      <c r="H155" s="10"/>
      <c r="I155" s="29"/>
      <c r="J155" s="7"/>
      <c r="K155" s="7"/>
      <c r="L155" s="7"/>
      <c r="M155" s="7"/>
      <c r="N155" s="7">
        <f t="shared" si="3"/>
        <v>1</v>
      </c>
      <c r="O155" s="7"/>
    </row>
    <row r="156">
      <c r="A156" s="26" t="s">
        <v>646</v>
      </c>
      <c r="B156" s="26" t="s">
        <v>647</v>
      </c>
      <c r="C156" s="26" t="s">
        <v>648</v>
      </c>
      <c r="D156" s="27"/>
      <c r="E156" s="28" t="s">
        <v>649</v>
      </c>
      <c r="F156" s="29"/>
      <c r="G156" s="13"/>
      <c r="H156" s="10"/>
      <c r="I156" s="29"/>
      <c r="J156" s="7"/>
      <c r="K156" s="7"/>
      <c r="L156" s="7"/>
      <c r="M156" s="7"/>
      <c r="N156" s="7">
        <f t="shared" si="3"/>
        <v>0</v>
      </c>
      <c r="O156" s="7"/>
    </row>
    <row r="157">
      <c r="A157" s="26" t="s">
        <v>650</v>
      </c>
      <c r="B157" s="26" t="s">
        <v>651</v>
      </c>
      <c r="C157" s="26" t="s">
        <v>589</v>
      </c>
      <c r="D157" s="27"/>
      <c r="E157" s="28" t="s">
        <v>652</v>
      </c>
      <c r="F157" s="29"/>
      <c r="G157" s="13"/>
      <c r="H157" s="10"/>
      <c r="I157" s="29"/>
      <c r="J157" s="7"/>
      <c r="K157" s="7"/>
      <c r="L157" s="7"/>
      <c r="M157" s="7"/>
      <c r="N157" s="7">
        <f t="shared" si="3"/>
        <v>0</v>
      </c>
      <c r="O157" s="7"/>
    </row>
    <row r="158">
      <c r="A158" s="26" t="s">
        <v>654</v>
      </c>
      <c r="B158" s="26" t="s">
        <v>655</v>
      </c>
      <c r="C158" s="26" t="s">
        <v>589</v>
      </c>
      <c r="D158" s="26" t="s">
        <v>635</v>
      </c>
      <c r="E158" s="28" t="s">
        <v>656</v>
      </c>
      <c r="F158" s="29"/>
      <c r="G158" s="13"/>
      <c r="H158" s="10"/>
      <c r="I158" s="29"/>
      <c r="J158" s="7"/>
      <c r="K158" s="7"/>
      <c r="L158" s="7"/>
      <c r="M158" s="7"/>
      <c r="N158" s="7">
        <f t="shared" si="3"/>
        <v>0</v>
      </c>
      <c r="O158" s="7"/>
    </row>
    <row r="159">
      <c r="A159" s="26" t="s">
        <v>657</v>
      </c>
      <c r="B159" s="26" t="s">
        <v>658</v>
      </c>
      <c r="C159" s="26" t="s">
        <v>589</v>
      </c>
      <c r="D159" s="27"/>
      <c r="E159" s="28" t="s">
        <v>659</v>
      </c>
      <c r="F159" s="29"/>
      <c r="G159" s="13"/>
      <c r="H159" s="10"/>
      <c r="I159" s="29"/>
      <c r="J159" s="7"/>
      <c r="K159" s="7"/>
      <c r="L159" s="7"/>
      <c r="M159" s="7"/>
      <c r="N159" s="7">
        <f t="shared" si="3"/>
        <v>0</v>
      </c>
      <c r="O159" s="7"/>
    </row>
    <row r="160">
      <c r="A160" s="26" t="s">
        <v>660</v>
      </c>
      <c r="B160" s="26" t="s">
        <v>661</v>
      </c>
      <c r="C160" s="26" t="s">
        <v>589</v>
      </c>
      <c r="D160" s="27"/>
      <c r="E160" s="33" t="s">
        <v>847</v>
      </c>
      <c r="F160" s="30" t="s">
        <v>663</v>
      </c>
      <c r="G160" s="13"/>
      <c r="H160" s="10"/>
      <c r="I160" s="29"/>
      <c r="J160" s="7"/>
      <c r="K160" s="7"/>
      <c r="L160" s="7"/>
      <c r="M160" s="7"/>
      <c r="N160" s="7">
        <f t="shared" si="3"/>
        <v>1</v>
      </c>
      <c r="O160" s="7"/>
    </row>
    <row r="161">
      <c r="A161" s="26" t="s">
        <v>664</v>
      </c>
      <c r="B161" s="26" t="s">
        <v>665</v>
      </c>
      <c r="C161" s="26" t="s">
        <v>589</v>
      </c>
      <c r="D161" s="27"/>
      <c r="E161" s="28" t="s">
        <v>666</v>
      </c>
      <c r="F161" s="30" t="s">
        <v>667</v>
      </c>
      <c r="G161" s="13"/>
      <c r="H161" s="10"/>
      <c r="I161" s="29"/>
      <c r="J161" s="7"/>
      <c r="K161" s="7"/>
      <c r="L161" s="7"/>
      <c r="M161" s="7"/>
      <c r="N161" s="7">
        <f t="shared" si="3"/>
        <v>1</v>
      </c>
      <c r="O161" s="7"/>
    </row>
    <row r="162">
      <c r="A162" s="26" t="s">
        <v>668</v>
      </c>
      <c r="B162" s="26" t="s">
        <v>669</v>
      </c>
      <c r="C162" s="26" t="s">
        <v>589</v>
      </c>
      <c r="D162" s="26" t="s">
        <v>598</v>
      </c>
      <c r="E162" s="28" t="s">
        <v>670</v>
      </c>
      <c r="F162" s="30" t="s">
        <v>671</v>
      </c>
      <c r="G162" s="13"/>
      <c r="H162" s="10"/>
      <c r="I162" s="29"/>
      <c r="J162" s="7"/>
      <c r="K162" s="7"/>
      <c r="L162" s="7"/>
      <c r="M162" s="7"/>
      <c r="N162" s="7">
        <f t="shared" si="3"/>
        <v>1</v>
      </c>
      <c r="O162" s="7"/>
    </row>
    <row r="163">
      <c r="A163" s="26" t="s">
        <v>672</v>
      </c>
      <c r="B163" s="26" t="s">
        <v>673</v>
      </c>
      <c r="C163" s="26" t="s">
        <v>589</v>
      </c>
      <c r="D163" s="27"/>
      <c r="E163" s="28" t="s">
        <v>674</v>
      </c>
      <c r="F163" s="29"/>
      <c r="G163" s="13"/>
      <c r="H163" s="10"/>
      <c r="I163" s="29"/>
      <c r="J163" s="7"/>
      <c r="K163" s="7"/>
      <c r="L163" s="7"/>
      <c r="M163" s="7"/>
      <c r="N163" s="7">
        <f t="shared" si="3"/>
        <v>0</v>
      </c>
      <c r="O163" s="7"/>
    </row>
    <row r="164">
      <c r="A164" s="26" t="s">
        <v>676</v>
      </c>
      <c r="B164" s="26" t="s">
        <v>677</v>
      </c>
      <c r="C164" s="26" t="s">
        <v>589</v>
      </c>
      <c r="D164" s="27"/>
      <c r="E164" s="28" t="s">
        <v>678</v>
      </c>
      <c r="F164" s="30" t="s">
        <v>680</v>
      </c>
      <c r="G164" s="13"/>
      <c r="H164" s="10"/>
      <c r="I164" s="29"/>
      <c r="J164" s="7"/>
      <c r="K164" s="7"/>
      <c r="L164" s="7"/>
      <c r="M164" s="7"/>
      <c r="N164" s="7">
        <f t="shared" si="3"/>
        <v>1</v>
      </c>
      <c r="O164" s="7"/>
    </row>
    <row r="165">
      <c r="A165" s="26" t="s">
        <v>681</v>
      </c>
      <c r="B165" s="26" t="s">
        <v>682</v>
      </c>
      <c r="C165" s="26" t="s">
        <v>589</v>
      </c>
      <c r="D165" s="27"/>
      <c r="E165" s="28" t="s">
        <v>683</v>
      </c>
      <c r="F165" s="29"/>
      <c r="G165" s="13"/>
      <c r="H165" s="10"/>
      <c r="I165" s="29"/>
      <c r="J165" s="7"/>
      <c r="K165" s="7"/>
      <c r="L165" s="7"/>
      <c r="M165" s="7"/>
      <c r="N165" s="7">
        <f t="shared" si="3"/>
        <v>0</v>
      </c>
      <c r="O165" s="7"/>
    </row>
    <row r="166">
      <c r="A166" s="31" t="s">
        <v>684</v>
      </c>
      <c r="B166" s="26" t="s">
        <v>685</v>
      </c>
      <c r="C166" s="26" t="s">
        <v>584</v>
      </c>
      <c r="D166" s="27"/>
      <c r="E166" s="31" t="s">
        <v>686</v>
      </c>
      <c r="F166" s="30" t="s">
        <v>687</v>
      </c>
      <c r="G166" s="13"/>
      <c r="H166" s="10"/>
      <c r="I166" s="29"/>
      <c r="J166" s="7"/>
      <c r="K166" s="7"/>
      <c r="L166" s="7"/>
      <c r="M166" s="7"/>
      <c r="N166" s="7">
        <f t="shared" si="3"/>
        <v>1</v>
      </c>
      <c r="O166" s="7"/>
    </row>
    <row r="167">
      <c r="A167" s="26" t="s">
        <v>688</v>
      </c>
      <c r="B167" s="31" t="s">
        <v>689</v>
      </c>
      <c r="C167" s="26" t="s">
        <v>589</v>
      </c>
      <c r="D167" s="27"/>
      <c r="E167" s="28" t="s">
        <v>690</v>
      </c>
      <c r="F167" s="30" t="s">
        <v>883</v>
      </c>
      <c r="G167" s="13"/>
      <c r="H167" s="10"/>
      <c r="I167" s="29"/>
      <c r="J167" s="7"/>
      <c r="K167" s="7"/>
      <c r="L167" s="7"/>
      <c r="M167" s="7"/>
      <c r="N167" s="7">
        <f t="shared" si="3"/>
        <v>1</v>
      </c>
      <c r="O167" s="7"/>
    </row>
    <row r="168">
      <c r="A168" s="31" t="s">
        <v>692</v>
      </c>
      <c r="B168" s="26" t="s">
        <v>693</v>
      </c>
      <c r="C168" s="26" t="s">
        <v>589</v>
      </c>
      <c r="D168" s="27"/>
      <c r="E168" s="28" t="s">
        <v>694</v>
      </c>
      <c r="F168" s="30" t="s">
        <v>695</v>
      </c>
      <c r="G168" s="13"/>
      <c r="H168" s="10"/>
      <c r="I168" s="29"/>
      <c r="J168" s="7"/>
      <c r="K168" s="7"/>
      <c r="L168" s="7"/>
      <c r="M168" s="7"/>
      <c r="N168" s="7">
        <f t="shared" si="3"/>
        <v>1</v>
      </c>
      <c r="O168" s="7"/>
    </row>
    <row r="169">
      <c r="A169" s="31" t="s">
        <v>696</v>
      </c>
      <c r="B169" s="31" t="s">
        <v>697</v>
      </c>
      <c r="C169" s="26" t="s">
        <v>589</v>
      </c>
      <c r="D169" s="27"/>
      <c r="E169" s="28" t="s">
        <v>698</v>
      </c>
      <c r="F169" s="30" t="s">
        <v>890</v>
      </c>
      <c r="G169" s="13"/>
      <c r="H169" s="10"/>
      <c r="I169" s="29"/>
      <c r="J169" s="7"/>
      <c r="K169" s="7"/>
      <c r="L169" s="7"/>
      <c r="M169" s="7"/>
      <c r="N169" s="7">
        <f t="shared" si="3"/>
        <v>1</v>
      </c>
      <c r="O169" s="7"/>
    </row>
    <row r="170">
      <c r="A170" s="26" t="s">
        <v>700</v>
      </c>
      <c r="B170" s="26" t="s">
        <v>701</v>
      </c>
      <c r="C170" s="26" t="s">
        <v>584</v>
      </c>
      <c r="D170" s="27"/>
      <c r="E170" s="28" t="s">
        <v>702</v>
      </c>
      <c r="F170" s="29"/>
      <c r="G170" s="13"/>
      <c r="H170" s="10"/>
      <c r="I170" s="29"/>
      <c r="J170" s="7"/>
      <c r="K170" s="7"/>
      <c r="L170" s="7"/>
      <c r="M170" s="7"/>
      <c r="N170" s="7">
        <f t="shared" si="3"/>
        <v>0</v>
      </c>
      <c r="O170" s="7"/>
    </row>
    <row r="171">
      <c r="A171" s="26" t="s">
        <v>703</v>
      </c>
      <c r="B171" s="26" t="s">
        <v>704</v>
      </c>
      <c r="C171" s="26" t="s">
        <v>589</v>
      </c>
      <c r="D171" s="27"/>
      <c r="E171" s="28" t="s">
        <v>705</v>
      </c>
      <c r="F171" s="30" t="s">
        <v>706</v>
      </c>
      <c r="G171" s="13"/>
      <c r="H171" s="10"/>
      <c r="I171" s="29"/>
      <c r="J171" s="7"/>
      <c r="K171" s="7"/>
      <c r="L171" s="7"/>
      <c r="M171" s="7"/>
      <c r="N171" s="7">
        <f t="shared" si="3"/>
        <v>1</v>
      </c>
      <c r="O171" s="7"/>
    </row>
    <row r="172">
      <c r="A172" s="26" t="s">
        <v>707</v>
      </c>
      <c r="B172" s="26" t="s">
        <v>708</v>
      </c>
      <c r="C172" s="26" t="s">
        <v>589</v>
      </c>
      <c r="D172" s="26" t="s">
        <v>635</v>
      </c>
      <c r="E172" s="28" t="s">
        <v>709</v>
      </c>
      <c r="F172" s="30" t="s">
        <v>710</v>
      </c>
      <c r="G172" s="13"/>
      <c r="H172" s="10"/>
      <c r="I172" s="30"/>
      <c r="J172" s="7"/>
      <c r="K172" s="7"/>
      <c r="L172" s="7"/>
      <c r="M172" s="7"/>
      <c r="N172" s="7">
        <f t="shared" si="3"/>
        <v>1</v>
      </c>
      <c r="O172" s="7"/>
    </row>
    <row r="173">
      <c r="A173" s="26" t="s">
        <v>711</v>
      </c>
      <c r="B173" s="26" t="s">
        <v>712</v>
      </c>
      <c r="C173" s="26" t="s">
        <v>589</v>
      </c>
      <c r="D173" s="27"/>
      <c r="E173" s="28" t="s">
        <v>713</v>
      </c>
      <c r="F173" s="29"/>
      <c r="G173" s="13"/>
      <c r="H173" s="10"/>
      <c r="I173" s="30" t="s">
        <v>466</v>
      </c>
      <c r="J173" s="7"/>
      <c r="K173" s="7"/>
      <c r="L173" s="7"/>
      <c r="M173" s="7"/>
      <c r="N173" s="7">
        <f t="shared" si="3"/>
        <v>0</v>
      </c>
      <c r="O173" s="7"/>
    </row>
    <row r="174">
      <c r="A174" s="31" t="s">
        <v>714</v>
      </c>
      <c r="B174" s="26" t="s">
        <v>715</v>
      </c>
      <c r="C174" s="26" t="s">
        <v>589</v>
      </c>
      <c r="D174" s="27"/>
      <c r="E174" s="28" t="s">
        <v>716</v>
      </c>
      <c r="F174" s="30" t="s">
        <v>718</v>
      </c>
      <c r="G174" s="13"/>
      <c r="H174" s="10"/>
      <c r="I174" s="29"/>
      <c r="J174" s="7"/>
      <c r="K174" s="7"/>
      <c r="L174" s="7"/>
      <c r="M174" s="7"/>
      <c r="N174" s="7">
        <f t="shared" si="3"/>
        <v>1</v>
      </c>
      <c r="O174" s="7"/>
    </row>
    <row r="175">
      <c r="A175" s="26" t="s">
        <v>719</v>
      </c>
      <c r="B175" s="26" t="s">
        <v>720</v>
      </c>
      <c r="C175" s="26" t="s">
        <v>589</v>
      </c>
      <c r="D175" s="26" t="s">
        <v>598</v>
      </c>
      <c r="E175" s="28" t="s">
        <v>721</v>
      </c>
      <c r="F175" s="30" t="s">
        <v>722</v>
      </c>
      <c r="G175" s="13"/>
      <c r="H175" s="10"/>
      <c r="I175" s="29"/>
      <c r="J175" s="7"/>
      <c r="K175" s="7"/>
      <c r="L175" s="7"/>
      <c r="M175" s="7"/>
      <c r="N175" s="7">
        <f t="shared" si="3"/>
        <v>1</v>
      </c>
      <c r="O175" s="7"/>
    </row>
    <row r="176">
      <c r="A176" s="26" t="s">
        <v>723</v>
      </c>
      <c r="B176" s="26" t="s">
        <v>724</v>
      </c>
      <c r="C176" s="26" t="s">
        <v>589</v>
      </c>
      <c r="D176" s="27"/>
      <c r="E176" s="28" t="s">
        <v>725</v>
      </c>
      <c r="F176" s="29"/>
      <c r="G176" s="13"/>
      <c r="H176" s="10"/>
      <c r="I176" s="29"/>
      <c r="J176" s="7"/>
      <c r="K176" s="7"/>
      <c r="L176" s="7"/>
      <c r="M176" s="7"/>
      <c r="N176" s="7">
        <f t="shared" si="3"/>
        <v>0</v>
      </c>
      <c r="O176" s="7"/>
    </row>
    <row r="177">
      <c r="A177" s="26" t="s">
        <v>726</v>
      </c>
      <c r="B177" s="26" t="s">
        <v>727</v>
      </c>
      <c r="C177" s="26" t="s">
        <v>584</v>
      </c>
      <c r="D177" s="27"/>
      <c r="E177" s="28" t="s">
        <v>728</v>
      </c>
      <c r="F177" s="29"/>
      <c r="G177" s="13"/>
      <c r="H177" s="10"/>
      <c r="I177" s="29"/>
      <c r="J177" s="7"/>
      <c r="K177" s="7"/>
      <c r="L177" s="7"/>
      <c r="M177" s="7"/>
      <c r="N177" s="7">
        <f t="shared" si="3"/>
        <v>0</v>
      </c>
      <c r="O177" s="7"/>
    </row>
    <row r="178">
      <c r="A178" s="26" t="s">
        <v>729</v>
      </c>
      <c r="B178" s="26" t="s">
        <v>730</v>
      </c>
      <c r="C178" s="26" t="s">
        <v>589</v>
      </c>
      <c r="D178" s="27"/>
      <c r="E178" s="28" t="s">
        <v>731</v>
      </c>
      <c r="F178" s="30" t="s">
        <v>733</v>
      </c>
      <c r="G178" s="13"/>
      <c r="H178" s="10"/>
      <c r="I178" s="29"/>
      <c r="J178" s="7"/>
      <c r="K178" s="7"/>
      <c r="L178" s="7"/>
      <c r="M178" s="7"/>
      <c r="N178" s="7">
        <f t="shared" si="3"/>
        <v>1</v>
      </c>
      <c r="O178" s="7"/>
    </row>
    <row r="179">
      <c r="A179" s="26" t="s">
        <v>734</v>
      </c>
      <c r="B179" s="26" t="s">
        <v>735</v>
      </c>
      <c r="C179" s="26" t="s">
        <v>736</v>
      </c>
      <c r="D179" s="27"/>
      <c r="E179" s="32" t="s">
        <v>737</v>
      </c>
      <c r="F179" s="30" t="s">
        <v>944</v>
      </c>
      <c r="G179" s="13"/>
      <c r="H179" s="10"/>
      <c r="I179" s="17" t="s">
        <v>445</v>
      </c>
      <c r="J179" s="7"/>
      <c r="K179" s="7"/>
      <c r="L179" s="7"/>
      <c r="M179" s="7"/>
      <c r="N179" s="7">
        <f t="shared" si="3"/>
        <v>1</v>
      </c>
      <c r="O179" s="7"/>
    </row>
    <row r="180">
      <c r="A180" s="26" t="s">
        <v>739</v>
      </c>
      <c r="B180" s="26" t="s">
        <v>740</v>
      </c>
      <c r="C180" s="26" t="s">
        <v>589</v>
      </c>
      <c r="D180" s="27"/>
      <c r="E180" s="28" t="s">
        <v>741</v>
      </c>
      <c r="F180" s="30" t="s">
        <v>742</v>
      </c>
      <c r="G180" s="13"/>
      <c r="H180" s="10"/>
      <c r="I180" s="29"/>
      <c r="J180" s="7"/>
      <c r="K180" s="7"/>
      <c r="L180" s="7"/>
      <c r="M180" s="7"/>
      <c r="N180" s="7">
        <f t="shared" si="3"/>
        <v>1</v>
      </c>
      <c r="O180" s="7"/>
    </row>
    <row r="181">
      <c r="A181" s="26" t="s">
        <v>743</v>
      </c>
      <c r="B181" s="26" t="s">
        <v>744</v>
      </c>
      <c r="C181" s="26" t="s">
        <v>584</v>
      </c>
      <c r="D181" s="26" t="s">
        <v>635</v>
      </c>
      <c r="E181" s="28" t="s">
        <v>745</v>
      </c>
      <c r="F181" s="29"/>
      <c r="G181" s="13"/>
      <c r="H181" s="10"/>
      <c r="I181" s="29"/>
      <c r="J181" s="7"/>
      <c r="K181" s="7"/>
      <c r="L181" s="7"/>
      <c r="M181" s="7"/>
      <c r="N181" s="7">
        <f t="shared" si="3"/>
        <v>0</v>
      </c>
      <c r="O181" s="7"/>
    </row>
    <row r="182">
      <c r="A182" s="26" t="s">
        <v>747</v>
      </c>
      <c r="B182" s="26" t="s">
        <v>748</v>
      </c>
      <c r="C182" s="26" t="s">
        <v>584</v>
      </c>
      <c r="D182" s="27"/>
      <c r="E182" s="28" t="s">
        <v>749</v>
      </c>
      <c r="F182" s="29"/>
      <c r="G182" s="13"/>
      <c r="H182" s="10"/>
      <c r="I182" s="29"/>
      <c r="J182" s="7"/>
      <c r="K182" s="7"/>
      <c r="L182" s="7"/>
      <c r="M182" s="7"/>
      <c r="N182" s="7">
        <f t="shared" si="3"/>
        <v>0</v>
      </c>
      <c r="O182" s="7"/>
    </row>
    <row r="183">
      <c r="A183" s="26" t="s">
        <v>750</v>
      </c>
      <c r="B183" s="26" t="s">
        <v>751</v>
      </c>
      <c r="C183" s="26" t="s">
        <v>752</v>
      </c>
      <c r="D183" s="28" t="s">
        <v>753</v>
      </c>
      <c r="E183" s="33" t="s">
        <v>967</v>
      </c>
      <c r="F183" s="30" t="s">
        <v>755</v>
      </c>
      <c r="G183" s="13"/>
      <c r="H183" s="10"/>
      <c r="I183" s="29"/>
      <c r="J183" s="7"/>
      <c r="K183" s="7"/>
      <c r="L183" s="7"/>
      <c r="M183" s="7"/>
      <c r="N183" s="7">
        <f t="shared" si="3"/>
        <v>1</v>
      </c>
      <c r="O183" s="7"/>
    </row>
    <row r="184">
      <c r="A184" s="26" t="s">
        <v>756</v>
      </c>
      <c r="B184" s="26" t="s">
        <v>757</v>
      </c>
      <c r="C184" s="26" t="s">
        <v>758</v>
      </c>
      <c r="D184" s="28" t="s">
        <v>753</v>
      </c>
      <c r="E184" s="33" t="s">
        <v>975</v>
      </c>
      <c r="F184" s="30" t="s">
        <v>761</v>
      </c>
      <c r="G184" s="13"/>
      <c r="H184" s="10"/>
      <c r="I184" s="29"/>
      <c r="J184" s="7"/>
      <c r="K184" s="7"/>
      <c r="L184" s="7"/>
      <c r="M184" s="7"/>
      <c r="N184" s="7">
        <f t="shared" si="3"/>
        <v>1</v>
      </c>
      <c r="O184" s="7"/>
    </row>
    <row r="185">
      <c r="A185" s="26" t="s">
        <v>762</v>
      </c>
      <c r="B185" s="26" t="s">
        <v>763</v>
      </c>
      <c r="C185" s="26" t="s">
        <v>589</v>
      </c>
      <c r="D185" s="27"/>
      <c r="E185" s="28" t="s">
        <v>764</v>
      </c>
      <c r="F185" s="29"/>
      <c r="G185" s="13"/>
      <c r="H185" s="10"/>
      <c r="I185" s="29"/>
      <c r="J185" s="7"/>
      <c r="K185" s="7"/>
      <c r="L185" s="7"/>
      <c r="M185" s="7"/>
      <c r="N185" s="7">
        <f t="shared" si="3"/>
        <v>0</v>
      </c>
      <c r="O185" s="7"/>
    </row>
    <row r="186">
      <c r="A186" s="26" t="s">
        <v>766</v>
      </c>
      <c r="B186" s="26" t="s">
        <v>767</v>
      </c>
      <c r="C186" s="26" t="s">
        <v>589</v>
      </c>
      <c r="D186" s="26" t="s">
        <v>598</v>
      </c>
      <c r="E186" s="28" t="s">
        <v>768</v>
      </c>
      <c r="F186" s="29"/>
      <c r="G186" s="13"/>
      <c r="H186" s="10"/>
      <c r="I186" s="29"/>
      <c r="J186" s="7"/>
      <c r="K186" s="7"/>
      <c r="L186" s="7"/>
      <c r="M186" s="7"/>
      <c r="N186" s="7">
        <f t="shared" si="3"/>
        <v>0</v>
      </c>
      <c r="O186" s="7"/>
    </row>
    <row r="187">
      <c r="A187" s="26" t="s">
        <v>770</v>
      </c>
      <c r="B187" s="26" t="s">
        <v>771</v>
      </c>
      <c r="C187" s="26" t="s">
        <v>772</v>
      </c>
      <c r="D187" s="27"/>
      <c r="E187" s="28" t="s">
        <v>773</v>
      </c>
      <c r="F187" s="30" t="s">
        <v>774</v>
      </c>
      <c r="G187" s="13"/>
      <c r="H187" s="10"/>
      <c r="I187" s="29"/>
      <c r="J187" s="7"/>
      <c r="K187" s="7"/>
      <c r="L187" s="7"/>
      <c r="M187" s="7"/>
      <c r="N187" s="7">
        <f t="shared" si="3"/>
        <v>1</v>
      </c>
      <c r="O187" s="7"/>
    </row>
    <row r="188">
      <c r="A188" s="26" t="s">
        <v>775</v>
      </c>
      <c r="B188" s="26" t="s">
        <v>776</v>
      </c>
      <c r="C188" s="26" t="s">
        <v>589</v>
      </c>
      <c r="D188" s="27"/>
      <c r="E188" s="28" t="s">
        <v>777</v>
      </c>
      <c r="F188" s="30" t="s">
        <v>779</v>
      </c>
      <c r="G188" s="13"/>
      <c r="H188" s="10"/>
      <c r="I188" s="30" t="s">
        <v>420</v>
      </c>
      <c r="J188" s="7"/>
      <c r="K188" s="7"/>
      <c r="L188" s="7"/>
      <c r="M188" s="7"/>
      <c r="N188" s="7">
        <f t="shared" si="3"/>
        <v>1</v>
      </c>
      <c r="O188" s="7"/>
    </row>
    <row r="189">
      <c r="A189" s="26" t="s">
        <v>780</v>
      </c>
      <c r="B189" s="26" t="s">
        <v>781</v>
      </c>
      <c r="C189" s="26" t="s">
        <v>589</v>
      </c>
      <c r="D189" s="27"/>
      <c r="E189" s="28" t="s">
        <v>782</v>
      </c>
      <c r="F189" s="29"/>
      <c r="G189" s="13"/>
      <c r="H189" s="10"/>
      <c r="I189" s="29"/>
      <c r="J189" s="7"/>
      <c r="K189" s="7"/>
      <c r="L189" s="7"/>
      <c r="M189" s="7"/>
      <c r="N189" s="7">
        <f t="shared" si="3"/>
        <v>0</v>
      </c>
      <c r="O189" s="7"/>
    </row>
    <row r="190">
      <c r="A190" s="26" t="s">
        <v>783</v>
      </c>
      <c r="B190" s="26" t="s">
        <v>784</v>
      </c>
      <c r="C190" s="26" t="s">
        <v>589</v>
      </c>
      <c r="D190" s="27"/>
      <c r="E190" s="28" t="s">
        <v>785</v>
      </c>
      <c r="F190" s="30" t="s">
        <v>786</v>
      </c>
      <c r="G190" s="13"/>
      <c r="H190" s="10"/>
      <c r="I190" s="29"/>
      <c r="J190" s="7"/>
      <c r="K190" s="7"/>
      <c r="L190" s="7"/>
      <c r="M190" s="7"/>
      <c r="N190" s="7">
        <f t="shared" si="3"/>
        <v>1</v>
      </c>
      <c r="O190" s="7"/>
    </row>
    <row r="191">
      <c r="A191" s="26" t="s">
        <v>787</v>
      </c>
      <c r="B191" s="26" t="s">
        <v>788</v>
      </c>
      <c r="C191" s="26" t="s">
        <v>589</v>
      </c>
      <c r="D191" s="27"/>
      <c r="E191" s="28" t="s">
        <v>790</v>
      </c>
      <c r="F191" s="29"/>
      <c r="G191" s="13"/>
      <c r="H191" s="10"/>
      <c r="I191" s="29"/>
      <c r="J191" s="7"/>
      <c r="K191" s="7"/>
      <c r="L191" s="7"/>
      <c r="M191" s="7"/>
      <c r="N191" s="7">
        <f t="shared" si="3"/>
        <v>0</v>
      </c>
      <c r="O191" s="7"/>
    </row>
    <row r="192">
      <c r="A192" s="26" t="s">
        <v>791</v>
      </c>
      <c r="B192" s="26" t="s">
        <v>792</v>
      </c>
      <c r="C192" s="26" t="s">
        <v>589</v>
      </c>
      <c r="D192" s="27"/>
      <c r="E192" s="31" t="s">
        <v>793</v>
      </c>
      <c r="F192" s="30" t="s">
        <v>1012</v>
      </c>
      <c r="G192" s="13"/>
      <c r="H192" s="10"/>
      <c r="I192" s="29"/>
      <c r="J192" s="7"/>
      <c r="K192" s="7"/>
      <c r="L192" s="7"/>
      <c r="M192" s="7"/>
      <c r="N192" s="7">
        <f t="shared" si="3"/>
        <v>1</v>
      </c>
      <c r="O192" s="7"/>
    </row>
    <row r="193">
      <c r="A193" s="26" t="s">
        <v>795</v>
      </c>
      <c r="B193" s="26" t="s">
        <v>796</v>
      </c>
      <c r="C193" s="26" t="s">
        <v>589</v>
      </c>
      <c r="D193" s="27"/>
      <c r="E193" s="28" t="s">
        <v>797</v>
      </c>
      <c r="F193" s="29"/>
      <c r="G193" s="13"/>
      <c r="H193" s="10"/>
      <c r="I193" s="29"/>
      <c r="J193" s="7"/>
      <c r="K193" s="7"/>
      <c r="L193" s="7"/>
      <c r="M193" s="7"/>
      <c r="N193" s="7">
        <f t="shared" si="3"/>
        <v>0</v>
      </c>
      <c r="O193" s="7"/>
    </row>
    <row r="194">
      <c r="A194" s="26" t="s">
        <v>799</v>
      </c>
      <c r="B194" s="31" t="s">
        <v>800</v>
      </c>
      <c r="C194" s="26" t="s">
        <v>584</v>
      </c>
      <c r="D194" s="27"/>
      <c r="E194" s="34" t="s">
        <v>801</v>
      </c>
      <c r="F194" s="30" t="s">
        <v>802</v>
      </c>
      <c r="G194" s="13"/>
      <c r="H194" s="10"/>
      <c r="I194" s="29"/>
      <c r="J194" s="7"/>
      <c r="K194" s="7"/>
      <c r="L194" s="7"/>
      <c r="M194" s="7"/>
      <c r="N194" s="7">
        <f t="shared" si="3"/>
        <v>1</v>
      </c>
      <c r="O194" s="7"/>
    </row>
    <row r="195">
      <c r="A195" s="26" t="s">
        <v>803</v>
      </c>
      <c r="B195" s="26" t="s">
        <v>804</v>
      </c>
      <c r="C195" s="26" t="s">
        <v>589</v>
      </c>
      <c r="D195" s="26" t="s">
        <v>598</v>
      </c>
      <c r="E195" s="28" t="s">
        <v>806</v>
      </c>
      <c r="F195" s="29"/>
      <c r="G195" s="13"/>
      <c r="H195" s="10"/>
      <c r="I195" s="29"/>
      <c r="J195" s="7"/>
      <c r="K195" s="7"/>
      <c r="L195" s="7"/>
      <c r="M195" s="7"/>
      <c r="N195" s="7">
        <f t="shared" si="3"/>
        <v>0</v>
      </c>
      <c r="O195" s="7"/>
    </row>
    <row r="196">
      <c r="A196" s="26" t="s">
        <v>807</v>
      </c>
      <c r="B196" s="26" t="s">
        <v>808</v>
      </c>
      <c r="C196" s="26" t="s">
        <v>809</v>
      </c>
      <c r="D196" s="27"/>
      <c r="E196" s="33" t="s">
        <v>1034</v>
      </c>
      <c r="F196" s="30" t="s">
        <v>812</v>
      </c>
      <c r="G196" s="13"/>
      <c r="H196" s="10"/>
      <c r="I196" s="29"/>
      <c r="J196" s="7"/>
      <c r="K196" s="7"/>
      <c r="L196" s="7"/>
      <c r="M196" s="7"/>
      <c r="N196" s="7">
        <f t="shared" si="3"/>
        <v>1</v>
      </c>
      <c r="O196" s="7"/>
    </row>
    <row r="197">
      <c r="A197" s="26" t="s">
        <v>813</v>
      </c>
      <c r="B197" s="26" t="s">
        <v>814</v>
      </c>
      <c r="C197" s="26" t="s">
        <v>589</v>
      </c>
      <c r="D197" s="27"/>
      <c r="E197" s="31" t="s">
        <v>815</v>
      </c>
      <c r="F197" s="30" t="s">
        <v>816</v>
      </c>
      <c r="G197" s="13"/>
      <c r="H197" s="10"/>
      <c r="I197" s="30" t="s">
        <v>374</v>
      </c>
      <c r="J197" s="7"/>
      <c r="K197" s="7"/>
      <c r="L197" s="7"/>
      <c r="M197" s="7"/>
      <c r="N197" s="7">
        <f t="shared" si="3"/>
        <v>1</v>
      </c>
      <c r="O197" s="7"/>
    </row>
    <row r="198">
      <c r="A198" s="26" t="s">
        <v>817</v>
      </c>
      <c r="B198" s="26" t="s">
        <v>818</v>
      </c>
      <c r="C198" s="26" t="s">
        <v>589</v>
      </c>
      <c r="D198" s="27"/>
      <c r="E198" s="28" t="s">
        <v>819</v>
      </c>
      <c r="F198" s="30" t="s">
        <v>1046</v>
      </c>
      <c r="G198" s="13"/>
      <c r="H198" s="10"/>
      <c r="I198" s="29"/>
      <c r="J198" s="7"/>
      <c r="K198" s="7"/>
      <c r="L198" s="7"/>
      <c r="M198" s="7"/>
      <c r="N198" s="7">
        <f t="shared" si="3"/>
        <v>1</v>
      </c>
      <c r="O198" s="7"/>
    </row>
    <row r="199">
      <c r="A199" s="26" t="s">
        <v>821</v>
      </c>
      <c r="B199" s="26" t="s">
        <v>822</v>
      </c>
      <c r="C199" s="26" t="s">
        <v>584</v>
      </c>
      <c r="D199" s="27"/>
      <c r="E199" s="28" t="s">
        <v>823</v>
      </c>
      <c r="F199" s="29"/>
      <c r="G199" s="13"/>
      <c r="H199" s="10"/>
      <c r="I199" s="29"/>
      <c r="J199" s="7"/>
      <c r="K199" s="7"/>
      <c r="L199" s="7"/>
      <c r="M199" s="7"/>
      <c r="N199" s="7">
        <f t="shared" si="3"/>
        <v>0</v>
      </c>
      <c r="O199" s="7"/>
    </row>
    <row r="200">
      <c r="A200" s="26" t="s">
        <v>824</v>
      </c>
      <c r="B200" s="26" t="s">
        <v>825</v>
      </c>
      <c r="C200" s="26" t="s">
        <v>589</v>
      </c>
      <c r="D200" s="27"/>
      <c r="E200" s="28" t="s">
        <v>826</v>
      </c>
      <c r="F200" s="30" t="s">
        <v>827</v>
      </c>
      <c r="G200" s="13"/>
      <c r="H200" s="10"/>
      <c r="I200" s="30" t="s">
        <v>828</v>
      </c>
      <c r="J200" s="7"/>
      <c r="K200" s="7"/>
      <c r="L200" s="7"/>
      <c r="M200" s="7"/>
      <c r="N200" s="7">
        <f t="shared" si="3"/>
        <v>1</v>
      </c>
      <c r="O200" s="7"/>
    </row>
    <row r="201">
      <c r="A201" s="26" t="s">
        <v>829</v>
      </c>
      <c r="B201" s="26" t="s">
        <v>830</v>
      </c>
      <c r="C201" s="26" t="s">
        <v>589</v>
      </c>
      <c r="D201" s="27"/>
      <c r="E201" s="28" t="s">
        <v>831</v>
      </c>
      <c r="F201" s="30" t="s">
        <v>832</v>
      </c>
      <c r="G201" s="13"/>
      <c r="H201" s="10"/>
      <c r="I201" s="29"/>
      <c r="J201" s="7"/>
      <c r="K201" s="7"/>
      <c r="L201" s="7"/>
      <c r="M201" s="7"/>
      <c r="N201" s="7">
        <f t="shared" si="3"/>
        <v>1</v>
      </c>
      <c r="O201" s="7"/>
    </row>
    <row r="202">
      <c r="A202" s="26" t="s">
        <v>833</v>
      </c>
      <c r="B202" s="26" t="s">
        <v>834</v>
      </c>
      <c r="C202" s="26" t="s">
        <v>835</v>
      </c>
      <c r="D202" s="26" t="s">
        <v>635</v>
      </c>
      <c r="E202" s="28" t="s">
        <v>836</v>
      </c>
      <c r="F202" s="30" t="s">
        <v>837</v>
      </c>
      <c r="G202" s="13"/>
      <c r="H202" s="10"/>
      <c r="I202" s="29"/>
      <c r="J202" s="7"/>
      <c r="K202" s="7"/>
      <c r="L202" s="7"/>
      <c r="M202" s="7"/>
      <c r="N202" s="7">
        <f t="shared" si="3"/>
        <v>1</v>
      </c>
      <c r="O202" s="7"/>
    </row>
    <row r="203">
      <c r="A203" s="26" t="s">
        <v>838</v>
      </c>
      <c r="B203" s="26" t="s">
        <v>839</v>
      </c>
      <c r="C203" s="26" t="s">
        <v>589</v>
      </c>
      <c r="D203" s="27"/>
      <c r="E203" s="32" t="s">
        <v>840</v>
      </c>
      <c r="F203" s="30" t="s">
        <v>1069</v>
      </c>
      <c r="G203" s="13"/>
      <c r="H203" s="10"/>
      <c r="I203" s="29"/>
      <c r="J203" s="7"/>
      <c r="K203" s="7"/>
      <c r="L203" s="7"/>
      <c r="M203" s="7"/>
      <c r="N203" s="7">
        <f t="shared" si="3"/>
        <v>1</v>
      </c>
      <c r="O203" s="7"/>
    </row>
    <row r="204">
      <c r="A204" s="26" t="s">
        <v>842</v>
      </c>
      <c r="B204" s="26" t="s">
        <v>843</v>
      </c>
      <c r="C204" s="26" t="s">
        <v>589</v>
      </c>
      <c r="D204" s="27"/>
      <c r="E204" s="28" t="s">
        <v>844</v>
      </c>
      <c r="F204" s="30" t="s">
        <v>845</v>
      </c>
      <c r="G204" s="13"/>
      <c r="H204" s="10"/>
      <c r="I204" s="29"/>
      <c r="J204" s="7"/>
      <c r="K204" s="7"/>
      <c r="L204" s="7"/>
      <c r="M204" s="7"/>
      <c r="N204" s="7">
        <f t="shared" si="3"/>
        <v>1</v>
      </c>
      <c r="O204" s="7"/>
    </row>
    <row r="205">
      <c r="A205" s="26" t="s">
        <v>846</v>
      </c>
      <c r="B205" s="31" t="s">
        <v>848</v>
      </c>
      <c r="C205" s="26" t="s">
        <v>584</v>
      </c>
      <c r="D205" s="27"/>
      <c r="E205" s="28" t="s">
        <v>849</v>
      </c>
      <c r="F205" s="30" t="s">
        <v>850</v>
      </c>
      <c r="G205" s="13"/>
      <c r="H205" s="10"/>
      <c r="I205" s="29"/>
      <c r="J205" s="7"/>
      <c r="K205" s="7"/>
      <c r="L205" s="7"/>
      <c r="M205" s="7"/>
      <c r="N205" s="7">
        <f t="shared" si="3"/>
        <v>1</v>
      </c>
      <c r="O205" s="7"/>
    </row>
    <row r="206">
      <c r="A206" s="26" t="s">
        <v>851</v>
      </c>
      <c r="B206" s="26" t="s">
        <v>852</v>
      </c>
      <c r="C206" s="26" t="s">
        <v>589</v>
      </c>
      <c r="D206" s="27"/>
      <c r="E206" s="28" t="s">
        <v>853</v>
      </c>
      <c r="F206" s="30" t="s">
        <v>854</v>
      </c>
      <c r="G206" s="13"/>
      <c r="H206" s="10"/>
      <c r="I206" s="29"/>
      <c r="J206" s="7"/>
      <c r="K206" s="7"/>
      <c r="L206" s="7"/>
      <c r="M206" s="7"/>
      <c r="N206" s="7">
        <f t="shared" si="3"/>
        <v>1</v>
      </c>
      <c r="O206" s="7"/>
    </row>
    <row r="207">
      <c r="A207" s="26" t="s">
        <v>855</v>
      </c>
      <c r="B207" s="26" t="s">
        <v>856</v>
      </c>
      <c r="C207" s="26" t="s">
        <v>584</v>
      </c>
      <c r="D207" s="27"/>
      <c r="E207" s="31" t="s">
        <v>857</v>
      </c>
      <c r="F207" s="30" t="s">
        <v>858</v>
      </c>
      <c r="G207" s="13"/>
      <c r="H207" s="10"/>
      <c r="I207" s="29"/>
      <c r="J207" s="7"/>
      <c r="K207" s="7"/>
      <c r="L207" s="7"/>
      <c r="M207" s="7"/>
      <c r="N207" s="7">
        <f t="shared" si="3"/>
        <v>1</v>
      </c>
      <c r="O207" s="7"/>
    </row>
    <row r="208">
      <c r="A208" s="26" t="s">
        <v>859</v>
      </c>
      <c r="B208" s="26" t="s">
        <v>860</v>
      </c>
      <c r="C208" s="26" t="s">
        <v>589</v>
      </c>
      <c r="D208" s="27"/>
      <c r="E208" s="28" t="s">
        <v>861</v>
      </c>
      <c r="F208" s="30" t="s">
        <v>862</v>
      </c>
      <c r="G208" s="13"/>
      <c r="H208" s="10"/>
      <c r="I208" s="29"/>
      <c r="J208" s="7"/>
      <c r="K208" s="7"/>
      <c r="L208" s="7"/>
      <c r="M208" s="7"/>
      <c r="N208" s="7">
        <f t="shared" si="3"/>
        <v>1</v>
      </c>
      <c r="O208" s="7"/>
    </row>
    <row r="209">
      <c r="A209" s="26" t="s">
        <v>863</v>
      </c>
      <c r="B209" s="26" t="s">
        <v>864</v>
      </c>
      <c r="C209" s="26" t="s">
        <v>589</v>
      </c>
      <c r="D209" s="28" t="s">
        <v>865</v>
      </c>
      <c r="E209" s="28" t="s">
        <v>866</v>
      </c>
      <c r="F209" s="30" t="s">
        <v>867</v>
      </c>
      <c r="G209" s="13"/>
      <c r="H209" s="10"/>
      <c r="I209" s="30" t="s">
        <v>82</v>
      </c>
      <c r="J209" s="7"/>
      <c r="K209" s="7"/>
      <c r="L209" s="7"/>
      <c r="M209" s="7"/>
      <c r="N209" s="7">
        <f t="shared" si="3"/>
        <v>1</v>
      </c>
      <c r="O209" s="7"/>
    </row>
    <row r="210">
      <c r="A210" s="26" t="s">
        <v>868</v>
      </c>
      <c r="B210" s="26" t="s">
        <v>869</v>
      </c>
      <c r="C210" s="26" t="s">
        <v>589</v>
      </c>
      <c r="D210" s="27"/>
      <c r="E210" s="28" t="s">
        <v>870</v>
      </c>
      <c r="F210" s="29"/>
      <c r="G210" s="13"/>
      <c r="H210" s="10"/>
      <c r="I210" s="29"/>
      <c r="J210" s="7"/>
      <c r="K210" s="7"/>
      <c r="L210" s="7"/>
      <c r="M210" s="7"/>
      <c r="N210" s="7">
        <f t="shared" si="3"/>
        <v>0</v>
      </c>
      <c r="O210" s="7"/>
    </row>
    <row r="211">
      <c r="A211" s="26" t="s">
        <v>871</v>
      </c>
      <c r="B211" s="26" t="s">
        <v>872</v>
      </c>
      <c r="C211" s="26" t="s">
        <v>589</v>
      </c>
      <c r="D211" s="27"/>
      <c r="E211" s="28" t="s">
        <v>874</v>
      </c>
      <c r="F211" s="30" t="s">
        <v>875</v>
      </c>
      <c r="G211" s="13"/>
      <c r="H211" s="10"/>
      <c r="I211" s="29"/>
      <c r="J211" s="7"/>
      <c r="K211" s="7"/>
      <c r="L211" s="7"/>
      <c r="M211" s="7"/>
      <c r="N211" s="7">
        <f t="shared" si="3"/>
        <v>1</v>
      </c>
      <c r="O211" s="7"/>
    </row>
    <row r="212">
      <c r="A212" s="26" t="s">
        <v>876</v>
      </c>
      <c r="B212" s="26" t="s">
        <v>877</v>
      </c>
      <c r="C212" s="26" t="s">
        <v>589</v>
      </c>
      <c r="D212" s="27"/>
      <c r="E212" s="28" t="s">
        <v>878</v>
      </c>
      <c r="F212" s="29"/>
      <c r="G212" s="13"/>
      <c r="H212" s="10"/>
      <c r="I212" s="29"/>
      <c r="J212" s="7"/>
      <c r="K212" s="7"/>
      <c r="L212" s="7"/>
      <c r="M212" s="7"/>
      <c r="N212" s="7">
        <f t="shared" si="3"/>
        <v>0</v>
      </c>
      <c r="O212" s="7"/>
    </row>
    <row r="213">
      <c r="A213" s="26" t="s">
        <v>880</v>
      </c>
      <c r="B213" s="26" t="s">
        <v>881</v>
      </c>
      <c r="C213" s="26" t="s">
        <v>589</v>
      </c>
      <c r="D213" s="26" t="s">
        <v>598</v>
      </c>
      <c r="E213" s="28" t="s">
        <v>882</v>
      </c>
      <c r="F213" s="30" t="s">
        <v>884</v>
      </c>
      <c r="G213" s="13"/>
      <c r="H213" s="10"/>
      <c r="I213" s="30"/>
      <c r="J213" s="7"/>
      <c r="K213" s="7"/>
      <c r="L213" s="7"/>
      <c r="M213" s="7"/>
      <c r="N213" s="7">
        <f t="shared" si="3"/>
        <v>1</v>
      </c>
      <c r="O213" s="7"/>
    </row>
    <row r="214">
      <c r="A214" s="26" t="s">
        <v>880</v>
      </c>
      <c r="B214" s="26" t="s">
        <v>885</v>
      </c>
      <c r="C214" s="26" t="s">
        <v>589</v>
      </c>
      <c r="D214" s="27"/>
      <c r="E214" s="28" t="s">
        <v>886</v>
      </c>
      <c r="F214" s="29"/>
      <c r="G214" s="13"/>
      <c r="H214" s="10"/>
      <c r="I214" s="30" t="s">
        <v>254</v>
      </c>
      <c r="J214" s="7"/>
      <c r="K214" s="7"/>
      <c r="L214" s="7"/>
      <c r="M214" s="7"/>
      <c r="N214" s="7">
        <f t="shared" si="3"/>
        <v>0</v>
      </c>
      <c r="O214" s="7"/>
    </row>
    <row r="215">
      <c r="A215" s="26" t="s">
        <v>887</v>
      </c>
      <c r="B215" s="26" t="s">
        <v>888</v>
      </c>
      <c r="C215" s="26" t="s">
        <v>648</v>
      </c>
      <c r="D215" s="27"/>
      <c r="E215" s="28" t="s">
        <v>889</v>
      </c>
      <c r="F215" s="29"/>
      <c r="G215" s="13"/>
      <c r="H215" s="10"/>
      <c r="I215" s="29"/>
      <c r="J215" s="7"/>
      <c r="K215" s="7"/>
      <c r="L215" s="7"/>
      <c r="M215" s="7"/>
      <c r="N215" s="7">
        <f t="shared" si="3"/>
        <v>0</v>
      </c>
      <c r="O215" s="7"/>
    </row>
    <row r="216">
      <c r="A216" s="26" t="s">
        <v>891</v>
      </c>
      <c r="B216" s="26" t="s">
        <v>892</v>
      </c>
      <c r="C216" s="26" t="s">
        <v>589</v>
      </c>
      <c r="D216" s="27"/>
      <c r="E216" s="28" t="s">
        <v>893</v>
      </c>
      <c r="F216" s="30"/>
      <c r="G216" s="13"/>
      <c r="H216" s="10"/>
      <c r="I216" s="29"/>
      <c r="J216" s="7"/>
      <c r="K216" s="7"/>
      <c r="L216" s="7"/>
      <c r="M216" s="7"/>
      <c r="N216" s="7">
        <f t="shared" si="3"/>
        <v>0</v>
      </c>
      <c r="O216" s="7"/>
    </row>
    <row r="217">
      <c r="A217" s="31" t="s">
        <v>894</v>
      </c>
      <c r="B217" s="31" t="s">
        <v>895</v>
      </c>
      <c r="C217" s="26" t="s">
        <v>835</v>
      </c>
      <c r="D217" s="27"/>
      <c r="E217" s="32" t="s">
        <v>896</v>
      </c>
      <c r="F217" s="30" t="s">
        <v>1137</v>
      </c>
      <c r="G217" s="13"/>
      <c r="H217" s="10"/>
      <c r="I217" s="29"/>
      <c r="J217" s="7"/>
      <c r="K217" s="7"/>
      <c r="L217" s="7"/>
      <c r="M217" s="7"/>
      <c r="N217" s="7">
        <f t="shared" si="3"/>
        <v>1</v>
      </c>
      <c r="O217" s="7"/>
    </row>
    <row r="218">
      <c r="A218" s="26" t="s">
        <v>898</v>
      </c>
      <c r="B218" s="26" t="s">
        <v>899</v>
      </c>
      <c r="C218" s="26" t="s">
        <v>589</v>
      </c>
      <c r="D218" s="26" t="s">
        <v>598</v>
      </c>
      <c r="E218" s="28" t="s">
        <v>900</v>
      </c>
      <c r="F218" s="30" t="s">
        <v>154</v>
      </c>
      <c r="G218" s="13"/>
      <c r="H218" s="10"/>
      <c r="I218" s="29"/>
      <c r="J218" s="7"/>
      <c r="K218" s="7"/>
      <c r="L218" s="7"/>
      <c r="M218" s="7"/>
      <c r="N218" s="7">
        <f t="shared" si="3"/>
        <v>1</v>
      </c>
      <c r="O218" s="7"/>
    </row>
    <row r="219">
      <c r="A219" s="26" t="s">
        <v>901</v>
      </c>
      <c r="B219" s="26" t="s">
        <v>902</v>
      </c>
      <c r="C219" s="26" t="s">
        <v>589</v>
      </c>
      <c r="D219" s="27"/>
      <c r="E219" s="28" t="s">
        <v>903</v>
      </c>
      <c r="F219" s="30" t="s">
        <v>904</v>
      </c>
      <c r="G219" s="13"/>
      <c r="H219" s="10"/>
      <c r="I219" s="29"/>
      <c r="J219" s="7"/>
      <c r="K219" s="7"/>
      <c r="L219" s="7"/>
      <c r="M219" s="7"/>
      <c r="N219" s="7">
        <f t="shared" si="3"/>
        <v>1</v>
      </c>
      <c r="O219" s="7"/>
    </row>
    <row r="220">
      <c r="A220" s="26" t="s">
        <v>905</v>
      </c>
      <c r="B220" s="26" t="s">
        <v>906</v>
      </c>
      <c r="C220" s="26" t="s">
        <v>589</v>
      </c>
      <c r="D220" s="26" t="s">
        <v>598</v>
      </c>
      <c r="E220" s="28" t="s">
        <v>907</v>
      </c>
      <c r="F220" s="30" t="s">
        <v>908</v>
      </c>
      <c r="G220" s="13"/>
      <c r="H220" s="10"/>
      <c r="I220" s="30" t="s">
        <v>344</v>
      </c>
      <c r="J220" s="7"/>
      <c r="K220" s="7"/>
      <c r="L220" s="7"/>
      <c r="M220" s="7"/>
      <c r="N220" s="7">
        <f t="shared" si="3"/>
        <v>1</v>
      </c>
      <c r="O220" s="7"/>
    </row>
    <row r="221">
      <c r="A221" s="26" t="s">
        <v>909</v>
      </c>
      <c r="B221" s="26" t="s">
        <v>910</v>
      </c>
      <c r="C221" s="26" t="s">
        <v>589</v>
      </c>
      <c r="D221" s="26" t="s">
        <v>598</v>
      </c>
      <c r="E221" s="28" t="s">
        <v>911</v>
      </c>
      <c r="F221" s="30" t="s">
        <v>912</v>
      </c>
      <c r="G221" s="13"/>
      <c r="H221" s="10"/>
      <c r="I221" s="29"/>
      <c r="J221" s="7"/>
      <c r="K221" s="7"/>
      <c r="L221" s="7"/>
      <c r="M221" s="7"/>
      <c r="N221" s="7">
        <f t="shared" si="3"/>
        <v>1</v>
      </c>
      <c r="O221" s="7"/>
    </row>
    <row r="222">
      <c r="A222" s="26" t="s">
        <v>913</v>
      </c>
      <c r="B222" s="26" t="s">
        <v>914</v>
      </c>
      <c r="C222" s="26" t="s">
        <v>589</v>
      </c>
      <c r="D222" s="27"/>
      <c r="E222" s="28" t="s">
        <v>915</v>
      </c>
      <c r="F222" s="30" t="s">
        <v>223</v>
      </c>
      <c r="G222" s="13"/>
      <c r="H222" s="10"/>
      <c r="I222" s="29"/>
      <c r="J222" s="7"/>
      <c r="K222" s="7"/>
      <c r="L222" s="7"/>
      <c r="M222" s="7"/>
      <c r="N222" s="7">
        <f t="shared" si="3"/>
        <v>1</v>
      </c>
      <c r="O222" s="7"/>
    </row>
    <row r="223" ht="18.0" customHeight="1">
      <c r="A223" s="26" t="s">
        <v>916</v>
      </c>
      <c r="B223" s="26" t="s">
        <v>917</v>
      </c>
      <c r="C223" s="26" t="s">
        <v>589</v>
      </c>
      <c r="D223" s="28" t="s">
        <v>918</v>
      </c>
      <c r="E223" s="27"/>
      <c r="F223" s="29"/>
      <c r="G223" s="13"/>
      <c r="H223" s="10"/>
      <c r="I223" s="29"/>
      <c r="J223" s="7"/>
      <c r="K223" s="7"/>
      <c r="L223" s="7"/>
      <c r="M223" s="7"/>
      <c r="N223" s="7">
        <f t="shared" si="3"/>
        <v>0</v>
      </c>
      <c r="O223" s="7"/>
    </row>
    <row r="224">
      <c r="A224" s="26" t="s">
        <v>916</v>
      </c>
      <c r="B224" s="26" t="s">
        <v>917</v>
      </c>
      <c r="C224" s="26" t="s">
        <v>919</v>
      </c>
      <c r="D224" s="31" t="s">
        <v>920</v>
      </c>
      <c r="E224" s="28" t="s">
        <v>921</v>
      </c>
      <c r="F224" s="30" t="s">
        <v>923</v>
      </c>
      <c r="G224" s="13"/>
      <c r="H224" s="10"/>
      <c r="I224" s="29"/>
      <c r="J224" s="7"/>
      <c r="K224" s="7"/>
      <c r="L224" s="7"/>
      <c r="M224" s="7"/>
      <c r="N224" s="7">
        <f t="shared" si="3"/>
        <v>1</v>
      </c>
      <c r="O224" s="7"/>
    </row>
    <row r="225">
      <c r="A225" s="26" t="s">
        <v>925</v>
      </c>
      <c r="B225" s="26" t="s">
        <v>926</v>
      </c>
      <c r="C225" s="26" t="s">
        <v>589</v>
      </c>
      <c r="D225" s="27"/>
      <c r="E225" s="28" t="s">
        <v>927</v>
      </c>
      <c r="F225" s="30" t="s">
        <v>928</v>
      </c>
      <c r="G225" s="13"/>
      <c r="H225" s="10"/>
      <c r="I225" s="29"/>
      <c r="J225" s="7"/>
      <c r="K225" s="7"/>
      <c r="L225" s="7"/>
      <c r="M225" s="7"/>
      <c r="N225" s="7">
        <f t="shared" si="3"/>
        <v>1</v>
      </c>
      <c r="O225" s="7"/>
    </row>
    <row r="226">
      <c r="A226" s="26" t="s">
        <v>929</v>
      </c>
      <c r="B226" s="26" t="s">
        <v>930</v>
      </c>
      <c r="C226" s="26" t="s">
        <v>931</v>
      </c>
      <c r="D226" s="27"/>
      <c r="E226" s="28" t="s">
        <v>932</v>
      </c>
      <c r="F226" s="29"/>
      <c r="G226" s="13"/>
      <c r="H226" s="10"/>
      <c r="I226" s="29"/>
      <c r="J226" s="7"/>
      <c r="K226" s="7"/>
      <c r="L226" s="7"/>
      <c r="M226" s="7"/>
      <c r="N226" s="7">
        <f t="shared" si="3"/>
        <v>0</v>
      </c>
      <c r="O226" s="7"/>
    </row>
    <row r="227">
      <c r="A227" s="26" t="s">
        <v>929</v>
      </c>
      <c r="B227" s="26" t="s">
        <v>934</v>
      </c>
      <c r="C227" s="26" t="s">
        <v>935</v>
      </c>
      <c r="D227" s="27"/>
      <c r="E227" s="28" t="s">
        <v>936</v>
      </c>
      <c r="F227" s="29"/>
      <c r="G227" s="13"/>
      <c r="H227" s="10"/>
      <c r="I227" s="29"/>
      <c r="J227" s="7"/>
      <c r="K227" s="7"/>
      <c r="L227" s="7"/>
      <c r="M227" s="7"/>
      <c r="N227" s="7">
        <f t="shared" si="3"/>
        <v>0</v>
      </c>
      <c r="O227" s="7"/>
    </row>
    <row r="228">
      <c r="A228" s="26" t="s">
        <v>937</v>
      </c>
      <c r="B228" s="31" t="s">
        <v>938</v>
      </c>
      <c r="C228" s="26" t="s">
        <v>589</v>
      </c>
      <c r="D228" s="27"/>
      <c r="E228" s="28" t="s">
        <v>939</v>
      </c>
      <c r="F228" s="30" t="s">
        <v>940</v>
      </c>
      <c r="G228" s="13"/>
      <c r="H228" s="10"/>
      <c r="I228" s="30" t="s">
        <v>127</v>
      </c>
      <c r="J228" s="7"/>
      <c r="K228" s="7"/>
      <c r="L228" s="7"/>
      <c r="M228" s="7"/>
      <c r="N228" s="7">
        <f t="shared" si="3"/>
        <v>1</v>
      </c>
      <c r="O228" s="7"/>
    </row>
    <row r="229">
      <c r="A229" s="26" t="s">
        <v>941</v>
      </c>
      <c r="B229" s="26" t="s">
        <v>942</v>
      </c>
      <c r="C229" s="26" t="s">
        <v>589</v>
      </c>
      <c r="D229" s="27"/>
      <c r="E229" s="28" t="s">
        <v>943</v>
      </c>
      <c r="F229" s="29"/>
      <c r="G229" s="13"/>
      <c r="H229" s="10"/>
      <c r="I229" s="30" t="s">
        <v>439</v>
      </c>
      <c r="J229" s="7"/>
      <c r="K229" s="7"/>
      <c r="L229" s="7"/>
      <c r="M229" s="7"/>
      <c r="N229" s="7">
        <f t="shared" si="3"/>
        <v>0</v>
      </c>
      <c r="O229" s="7"/>
    </row>
    <row r="230">
      <c r="A230" s="26" t="s">
        <v>945</v>
      </c>
      <c r="B230" s="26" t="s">
        <v>946</v>
      </c>
      <c r="C230" s="26" t="s">
        <v>589</v>
      </c>
      <c r="D230" s="27"/>
      <c r="E230" s="28" t="s">
        <v>947</v>
      </c>
      <c r="F230" s="30" t="s">
        <v>948</v>
      </c>
      <c r="G230" s="13"/>
      <c r="H230" s="10"/>
      <c r="I230" s="30" t="s">
        <v>290</v>
      </c>
      <c r="J230" s="7"/>
      <c r="K230" s="7"/>
      <c r="L230" s="7"/>
      <c r="M230" s="7"/>
      <c r="N230" s="7">
        <f t="shared" si="3"/>
        <v>1</v>
      </c>
      <c r="O230" s="7"/>
    </row>
    <row r="231">
      <c r="A231" s="26" t="s">
        <v>949</v>
      </c>
      <c r="B231" s="26" t="s">
        <v>950</v>
      </c>
      <c r="C231" s="26" t="s">
        <v>589</v>
      </c>
      <c r="D231" s="27"/>
      <c r="E231" s="28" t="s">
        <v>951</v>
      </c>
      <c r="F231" s="30" t="s">
        <v>952</v>
      </c>
      <c r="G231" s="13"/>
      <c r="H231" s="10"/>
      <c r="I231" s="29"/>
      <c r="J231" s="7"/>
      <c r="K231" s="7"/>
      <c r="L231" s="7"/>
      <c r="M231" s="7"/>
      <c r="N231" s="7">
        <f t="shared" si="3"/>
        <v>1</v>
      </c>
      <c r="O231" s="7"/>
    </row>
    <row r="232">
      <c r="A232" s="26" t="s">
        <v>953</v>
      </c>
      <c r="B232" s="26" t="s">
        <v>954</v>
      </c>
      <c r="C232" s="26" t="s">
        <v>584</v>
      </c>
      <c r="D232" s="26" t="s">
        <v>955</v>
      </c>
      <c r="E232" s="34" t="s">
        <v>956</v>
      </c>
      <c r="F232" s="30" t="s">
        <v>1211</v>
      </c>
      <c r="G232" s="13"/>
      <c r="H232" s="10"/>
      <c r="I232" s="29"/>
      <c r="J232" s="7"/>
      <c r="K232" s="7"/>
      <c r="L232" s="7"/>
      <c r="M232" s="7"/>
      <c r="N232" s="7">
        <f t="shared" si="3"/>
        <v>1</v>
      </c>
      <c r="O232" s="7"/>
    </row>
    <row r="233">
      <c r="A233" s="26" t="s">
        <v>958</v>
      </c>
      <c r="B233" s="26" t="s">
        <v>277</v>
      </c>
      <c r="C233" s="26" t="s">
        <v>589</v>
      </c>
      <c r="D233" s="27"/>
      <c r="E233" s="28" t="s">
        <v>959</v>
      </c>
      <c r="F233" s="30" t="s">
        <v>223</v>
      </c>
      <c r="G233" s="13"/>
      <c r="H233" s="10"/>
      <c r="I233" s="30" t="s">
        <v>280</v>
      </c>
      <c r="J233" s="7"/>
      <c r="K233" s="7"/>
      <c r="L233" s="7"/>
      <c r="M233" s="7"/>
      <c r="N233" s="7">
        <f t="shared" si="3"/>
        <v>1</v>
      </c>
      <c r="O233" s="7"/>
    </row>
    <row r="234">
      <c r="A234" s="26" t="s">
        <v>960</v>
      </c>
      <c r="B234" s="26" t="s">
        <v>961</v>
      </c>
      <c r="C234" s="26" t="s">
        <v>589</v>
      </c>
      <c r="D234" s="27"/>
      <c r="E234" s="28" t="s">
        <v>962</v>
      </c>
      <c r="F234" s="30" t="s">
        <v>1222</v>
      </c>
      <c r="G234" s="13"/>
      <c r="H234" s="10"/>
      <c r="I234" s="30" t="s">
        <v>20</v>
      </c>
      <c r="J234" s="7"/>
      <c r="K234" s="7"/>
      <c r="L234" s="7"/>
      <c r="M234" s="7"/>
      <c r="N234" s="7">
        <f t="shared" si="3"/>
        <v>1</v>
      </c>
      <c r="O234" s="7"/>
    </row>
    <row r="235">
      <c r="A235" s="26" t="s">
        <v>964</v>
      </c>
      <c r="B235" s="26" t="s">
        <v>965</v>
      </c>
      <c r="C235" s="26" t="s">
        <v>589</v>
      </c>
      <c r="D235" s="26" t="s">
        <v>635</v>
      </c>
      <c r="E235" s="28" t="s">
        <v>966</v>
      </c>
      <c r="F235" s="30"/>
      <c r="G235" s="13"/>
      <c r="H235" s="10"/>
      <c r="I235" s="29"/>
      <c r="J235" s="7"/>
      <c r="K235" s="7"/>
      <c r="L235" s="7"/>
      <c r="M235" s="7"/>
      <c r="N235" s="7">
        <f t="shared" si="3"/>
        <v>0</v>
      </c>
      <c r="O235" s="7"/>
    </row>
    <row r="236">
      <c r="A236" s="26" t="s">
        <v>968</v>
      </c>
      <c r="B236" s="31" t="s">
        <v>969</v>
      </c>
      <c r="C236" s="26" t="s">
        <v>589</v>
      </c>
      <c r="D236" s="27"/>
      <c r="E236" s="34" t="s">
        <v>970</v>
      </c>
      <c r="F236" s="30" t="s">
        <v>971</v>
      </c>
      <c r="G236" s="13"/>
      <c r="H236" s="10"/>
      <c r="I236" s="30" t="s">
        <v>247</v>
      </c>
      <c r="J236" s="7"/>
      <c r="K236" s="7"/>
      <c r="L236" s="7"/>
      <c r="M236" s="7"/>
      <c r="N236" s="7">
        <f t="shared" si="3"/>
        <v>1</v>
      </c>
      <c r="O236" s="7"/>
    </row>
    <row r="237">
      <c r="A237" s="26" t="s">
        <v>972</v>
      </c>
      <c r="B237" s="26" t="s">
        <v>973</v>
      </c>
      <c r="C237" s="26" t="s">
        <v>974</v>
      </c>
      <c r="D237" s="27"/>
      <c r="E237" s="28" t="s">
        <v>976</v>
      </c>
      <c r="F237" s="30" t="s">
        <v>977</v>
      </c>
      <c r="G237" s="13"/>
      <c r="H237" s="10"/>
      <c r="I237" s="29"/>
      <c r="J237" s="7"/>
      <c r="K237" s="7"/>
      <c r="L237" s="7"/>
      <c r="M237" s="7"/>
      <c r="N237" s="7">
        <f t="shared" si="3"/>
        <v>1</v>
      </c>
      <c r="O237" s="7"/>
    </row>
    <row r="238">
      <c r="A238" s="26" t="s">
        <v>978</v>
      </c>
      <c r="B238" s="26" t="s">
        <v>979</v>
      </c>
      <c r="C238" s="26" t="s">
        <v>589</v>
      </c>
      <c r="D238" s="26" t="s">
        <v>598</v>
      </c>
      <c r="E238" s="28" t="s">
        <v>980</v>
      </c>
      <c r="F238" s="29"/>
      <c r="G238" s="13"/>
      <c r="H238" s="10"/>
      <c r="I238" s="29"/>
      <c r="J238" s="7"/>
      <c r="K238" s="7"/>
      <c r="L238" s="7"/>
      <c r="M238" s="7"/>
      <c r="N238" s="7">
        <f t="shared" si="3"/>
        <v>0</v>
      </c>
      <c r="O238" s="7"/>
    </row>
    <row r="239">
      <c r="A239" s="26" t="s">
        <v>981</v>
      </c>
      <c r="B239" s="26" t="s">
        <v>982</v>
      </c>
      <c r="C239" s="26" t="s">
        <v>589</v>
      </c>
      <c r="D239" s="26" t="s">
        <v>598</v>
      </c>
      <c r="E239" s="28" t="s">
        <v>983</v>
      </c>
      <c r="F239" s="30" t="s">
        <v>984</v>
      </c>
      <c r="G239" s="13"/>
      <c r="H239" s="10"/>
      <c r="I239" s="29"/>
      <c r="J239" s="7"/>
      <c r="K239" s="7"/>
      <c r="L239" s="7"/>
      <c r="M239" s="7"/>
      <c r="N239" s="7">
        <f t="shared" si="3"/>
        <v>1</v>
      </c>
      <c r="O239" s="7"/>
    </row>
    <row r="240">
      <c r="A240" s="26" t="s">
        <v>985</v>
      </c>
      <c r="B240" s="26" t="s">
        <v>986</v>
      </c>
      <c r="C240" s="26" t="s">
        <v>589</v>
      </c>
      <c r="D240" s="26" t="s">
        <v>598</v>
      </c>
      <c r="E240" s="28" t="s">
        <v>987</v>
      </c>
      <c r="F240" s="29"/>
      <c r="G240" s="13"/>
      <c r="H240" s="10"/>
      <c r="I240" s="29"/>
      <c r="J240" s="7"/>
      <c r="K240" s="7"/>
      <c r="L240" s="7"/>
      <c r="M240" s="7"/>
      <c r="N240" s="7">
        <f t="shared" si="3"/>
        <v>0</v>
      </c>
      <c r="O240" s="7"/>
    </row>
    <row r="241">
      <c r="A241" s="26" t="s">
        <v>988</v>
      </c>
      <c r="B241" s="26" t="s">
        <v>989</v>
      </c>
      <c r="C241" s="26" t="s">
        <v>589</v>
      </c>
      <c r="D241" s="26" t="s">
        <v>598</v>
      </c>
      <c r="E241" s="28" t="s">
        <v>990</v>
      </c>
      <c r="F241" s="30" t="s">
        <v>991</v>
      </c>
      <c r="G241" s="13"/>
      <c r="H241" s="10"/>
      <c r="I241" s="30" t="s">
        <v>344</v>
      </c>
      <c r="J241" s="7"/>
      <c r="K241" s="7"/>
      <c r="L241" s="7"/>
      <c r="M241" s="7"/>
      <c r="N241" s="7">
        <f t="shared" si="3"/>
        <v>1</v>
      </c>
      <c r="O241" s="7"/>
    </row>
    <row r="242">
      <c r="A242" s="26" t="s">
        <v>992</v>
      </c>
      <c r="B242" s="26" t="s">
        <v>993</v>
      </c>
      <c r="C242" s="26" t="s">
        <v>589</v>
      </c>
      <c r="D242" s="27"/>
      <c r="E242" s="28" t="s">
        <v>994</v>
      </c>
      <c r="F242" s="29"/>
      <c r="G242" s="13"/>
      <c r="H242" s="10"/>
      <c r="I242" s="29"/>
      <c r="J242" s="7"/>
      <c r="K242" s="7"/>
      <c r="L242" s="7"/>
      <c r="M242" s="7"/>
      <c r="N242" s="7">
        <f t="shared" si="3"/>
        <v>0</v>
      </c>
      <c r="O242" s="7"/>
    </row>
    <row r="243">
      <c r="A243" s="26" t="s">
        <v>995</v>
      </c>
      <c r="B243" s="26" t="s">
        <v>996</v>
      </c>
      <c r="C243" s="26" t="s">
        <v>589</v>
      </c>
      <c r="D243" s="26" t="s">
        <v>997</v>
      </c>
      <c r="E243" s="28" t="s">
        <v>998</v>
      </c>
      <c r="F243" s="30"/>
      <c r="G243" s="13"/>
      <c r="H243" s="10"/>
      <c r="I243" s="30"/>
      <c r="J243" s="7"/>
      <c r="K243" s="7"/>
      <c r="L243" s="7"/>
      <c r="M243" s="7"/>
      <c r="N243" s="7">
        <f t="shared" si="3"/>
        <v>0</v>
      </c>
      <c r="O243" s="7"/>
    </row>
    <row r="244">
      <c r="A244" s="26" t="s">
        <v>999</v>
      </c>
      <c r="B244" s="26" t="s">
        <v>1000</v>
      </c>
      <c r="C244" s="26" t="s">
        <v>589</v>
      </c>
      <c r="D244" s="26" t="s">
        <v>598</v>
      </c>
      <c r="E244" s="28" t="s">
        <v>1001</v>
      </c>
      <c r="F244" s="30" t="s">
        <v>1263</v>
      </c>
      <c r="G244" s="13"/>
      <c r="H244" s="10"/>
      <c r="I244" s="29"/>
      <c r="J244" s="7"/>
      <c r="K244" s="7"/>
      <c r="L244" s="7"/>
      <c r="M244" s="7"/>
      <c r="N244" s="7">
        <f t="shared" si="3"/>
        <v>1</v>
      </c>
      <c r="O244" s="7"/>
    </row>
    <row r="245">
      <c r="A245" s="26" t="s">
        <v>1003</v>
      </c>
      <c r="B245" s="31" t="s">
        <v>1004</v>
      </c>
      <c r="C245" s="26" t="s">
        <v>589</v>
      </c>
      <c r="D245" s="27"/>
      <c r="E245" s="28" t="s">
        <v>1005</v>
      </c>
      <c r="F245" s="30" t="s">
        <v>1007</v>
      </c>
      <c r="G245" s="13"/>
      <c r="H245" s="10"/>
      <c r="I245" s="29"/>
      <c r="J245" s="7"/>
      <c r="K245" s="7"/>
      <c r="L245" s="7"/>
      <c r="M245" s="7"/>
      <c r="N245" s="7">
        <f t="shared" si="3"/>
        <v>1</v>
      </c>
      <c r="O245" s="7"/>
    </row>
    <row r="246">
      <c r="A246" s="26" t="s">
        <v>1008</v>
      </c>
      <c r="B246" s="31" t="s">
        <v>1009</v>
      </c>
      <c r="C246" s="26" t="s">
        <v>589</v>
      </c>
      <c r="D246" s="27"/>
      <c r="E246" s="28" t="s">
        <v>1010</v>
      </c>
      <c r="F246" s="30" t="s">
        <v>1011</v>
      </c>
      <c r="G246" s="13"/>
      <c r="H246" s="10"/>
      <c r="I246" s="29"/>
      <c r="J246" s="7"/>
      <c r="K246" s="7"/>
      <c r="L246" s="7"/>
      <c r="M246" s="7"/>
      <c r="N246" s="7">
        <f t="shared" si="3"/>
        <v>1</v>
      </c>
      <c r="O246" s="7"/>
    </row>
    <row r="247">
      <c r="A247" s="26" t="s">
        <v>1013</v>
      </c>
      <c r="B247" s="26" t="s">
        <v>1014</v>
      </c>
      <c r="C247" s="26" t="s">
        <v>589</v>
      </c>
      <c r="D247" s="26" t="s">
        <v>598</v>
      </c>
      <c r="E247" s="28" t="s">
        <v>1015</v>
      </c>
      <c r="F247" s="29"/>
      <c r="G247" s="13"/>
      <c r="H247" s="10"/>
      <c r="I247" s="29"/>
      <c r="J247" s="7"/>
      <c r="K247" s="7"/>
      <c r="L247" s="7"/>
      <c r="M247" s="7"/>
      <c r="N247" s="7">
        <f t="shared" si="3"/>
        <v>0</v>
      </c>
      <c r="O247" s="7"/>
    </row>
    <row r="248">
      <c r="A248" s="26" t="s">
        <v>1016</v>
      </c>
      <c r="B248" s="26" t="s">
        <v>1017</v>
      </c>
      <c r="C248" s="26" t="s">
        <v>589</v>
      </c>
      <c r="D248" s="27"/>
      <c r="E248" s="28" t="s">
        <v>1018</v>
      </c>
      <c r="F248" s="30" t="s">
        <v>154</v>
      </c>
      <c r="G248" s="13"/>
      <c r="H248" s="10"/>
      <c r="I248" s="29"/>
      <c r="J248" s="7"/>
      <c r="K248" s="7"/>
      <c r="L248" s="7"/>
      <c r="M248" s="7"/>
      <c r="N248" s="7">
        <f t="shared" si="3"/>
        <v>1</v>
      </c>
      <c r="O248" s="7"/>
    </row>
    <row r="249">
      <c r="A249" s="26" t="s">
        <v>1019</v>
      </c>
      <c r="B249" s="31" t="s">
        <v>1020</v>
      </c>
      <c r="C249" s="26" t="s">
        <v>589</v>
      </c>
      <c r="D249" s="27"/>
      <c r="E249" s="26" t="s">
        <v>1021</v>
      </c>
      <c r="F249" s="30" t="s">
        <v>1278</v>
      </c>
      <c r="G249" s="13"/>
      <c r="H249" s="10"/>
      <c r="I249" s="30" t="s">
        <v>427</v>
      </c>
      <c r="J249" s="7"/>
      <c r="K249" s="7"/>
      <c r="L249" s="7"/>
      <c r="M249" s="7"/>
      <c r="N249" s="7">
        <f t="shared" si="3"/>
        <v>1</v>
      </c>
      <c r="O249" s="7"/>
    </row>
    <row r="250">
      <c r="A250" s="31" t="s">
        <v>1023</v>
      </c>
      <c r="B250" s="26" t="s">
        <v>1024</v>
      </c>
      <c r="C250" s="26" t="s">
        <v>589</v>
      </c>
      <c r="D250" s="26" t="s">
        <v>598</v>
      </c>
      <c r="E250" s="27"/>
      <c r="F250" s="29"/>
      <c r="G250" s="13"/>
      <c r="H250" s="10"/>
      <c r="I250" s="29"/>
      <c r="J250" s="7"/>
      <c r="K250" s="7"/>
      <c r="L250" s="7"/>
      <c r="M250" s="7"/>
      <c r="N250" s="7">
        <f t="shared" si="3"/>
        <v>0</v>
      </c>
      <c r="O250" s="7"/>
    </row>
    <row r="251">
      <c r="A251" s="31" t="s">
        <v>1023</v>
      </c>
      <c r="B251" s="26" t="s">
        <v>1024</v>
      </c>
      <c r="C251" s="26" t="s">
        <v>1025</v>
      </c>
      <c r="D251" s="26" t="s">
        <v>1026</v>
      </c>
      <c r="E251" s="27"/>
      <c r="F251" s="30" t="s">
        <v>1027</v>
      </c>
      <c r="G251" s="13"/>
      <c r="H251" s="10"/>
      <c r="I251" s="29"/>
      <c r="J251" s="7"/>
      <c r="K251" s="7"/>
      <c r="L251" s="7"/>
      <c r="M251" s="7"/>
      <c r="N251" s="7">
        <f t="shared" si="3"/>
        <v>1</v>
      </c>
      <c r="O251" s="7"/>
    </row>
    <row r="252">
      <c r="A252" s="26" t="s">
        <v>1028</v>
      </c>
      <c r="B252" s="26" t="s">
        <v>1029</v>
      </c>
      <c r="C252" s="26" t="s">
        <v>584</v>
      </c>
      <c r="D252" s="27"/>
      <c r="E252" s="32" t="s">
        <v>1030</v>
      </c>
      <c r="F252" s="29"/>
      <c r="G252" s="13"/>
      <c r="H252" s="10"/>
      <c r="I252" s="29"/>
      <c r="J252" s="7"/>
      <c r="K252" s="7"/>
      <c r="L252" s="7"/>
      <c r="M252" s="7"/>
      <c r="N252" s="7">
        <f t="shared" si="3"/>
        <v>0</v>
      </c>
      <c r="O252" s="7"/>
    </row>
    <row r="253">
      <c r="A253" s="26" t="s">
        <v>1031</v>
      </c>
      <c r="B253" s="26" t="s">
        <v>1032</v>
      </c>
      <c r="C253" s="26" t="s">
        <v>589</v>
      </c>
      <c r="D253" s="26" t="s">
        <v>598</v>
      </c>
      <c r="E253" s="28" t="s">
        <v>1033</v>
      </c>
      <c r="F253" s="29"/>
      <c r="G253" s="13"/>
      <c r="H253" s="10"/>
      <c r="I253" s="29"/>
      <c r="J253" s="7"/>
      <c r="K253" s="7"/>
      <c r="L253" s="7"/>
      <c r="M253" s="7"/>
      <c r="N253" s="7">
        <f t="shared" si="3"/>
        <v>0</v>
      </c>
      <c r="O253" s="7"/>
    </row>
    <row r="254">
      <c r="A254" s="26" t="s">
        <v>1035</v>
      </c>
      <c r="B254" s="26" t="s">
        <v>1036</v>
      </c>
      <c r="C254" s="26" t="s">
        <v>589</v>
      </c>
      <c r="D254" s="26" t="s">
        <v>635</v>
      </c>
      <c r="E254" s="28" t="s">
        <v>1037</v>
      </c>
      <c r="F254" s="30" t="s">
        <v>1038</v>
      </c>
      <c r="G254" s="13"/>
      <c r="H254" s="10"/>
      <c r="I254" s="29"/>
      <c r="J254" s="7"/>
      <c r="K254" s="7"/>
      <c r="L254" s="7"/>
      <c r="M254" s="7"/>
      <c r="N254" s="7">
        <f t="shared" si="3"/>
        <v>1</v>
      </c>
      <c r="O254" s="7"/>
    </row>
    <row r="255">
      <c r="A255" s="26" t="s">
        <v>1039</v>
      </c>
      <c r="B255" s="26" t="s">
        <v>1040</v>
      </c>
      <c r="C255" s="26" t="s">
        <v>589</v>
      </c>
      <c r="D255" s="27"/>
      <c r="E255" s="28" t="s">
        <v>1041</v>
      </c>
      <c r="F255" s="30" t="s">
        <v>1042</v>
      </c>
      <c r="G255" s="13"/>
      <c r="H255" s="10"/>
      <c r="I255" s="29"/>
      <c r="J255" s="7"/>
      <c r="K255" s="7"/>
      <c r="L255" s="7"/>
      <c r="M255" s="7"/>
      <c r="N255" s="7">
        <f t="shared" si="3"/>
        <v>1</v>
      </c>
      <c r="O255" s="7"/>
    </row>
    <row r="256">
      <c r="A256" s="26" t="s">
        <v>1043</v>
      </c>
      <c r="B256" s="26" t="s">
        <v>1044</v>
      </c>
      <c r="C256" s="26" t="s">
        <v>589</v>
      </c>
      <c r="D256" s="27"/>
      <c r="E256" s="28" t="s">
        <v>1045</v>
      </c>
      <c r="F256" s="29"/>
      <c r="G256" s="13"/>
      <c r="H256" s="10"/>
      <c r="I256" s="29"/>
      <c r="J256" s="7"/>
      <c r="K256" s="7"/>
      <c r="L256" s="7"/>
      <c r="M256" s="7"/>
      <c r="N256" s="7">
        <f t="shared" si="3"/>
        <v>0</v>
      </c>
      <c r="O256" s="7"/>
    </row>
    <row r="257">
      <c r="A257" s="26" t="s">
        <v>1047</v>
      </c>
      <c r="B257" s="26" t="s">
        <v>1048</v>
      </c>
      <c r="C257" s="26" t="s">
        <v>589</v>
      </c>
      <c r="D257" s="26" t="s">
        <v>635</v>
      </c>
      <c r="E257" s="28" t="s">
        <v>1049</v>
      </c>
      <c r="F257" s="29"/>
      <c r="G257" s="13"/>
      <c r="H257" s="10"/>
      <c r="I257" s="29"/>
      <c r="J257" s="7"/>
      <c r="K257" s="7"/>
      <c r="L257" s="7"/>
      <c r="M257" s="7"/>
      <c r="N257" s="7">
        <f t="shared" si="3"/>
        <v>0</v>
      </c>
      <c r="O257" s="7"/>
    </row>
    <row r="258">
      <c r="A258" s="26" t="s">
        <v>1050</v>
      </c>
      <c r="B258" s="26" t="s">
        <v>1051</v>
      </c>
      <c r="C258" s="26" t="s">
        <v>589</v>
      </c>
      <c r="D258" s="27"/>
      <c r="E258" s="28" t="s">
        <v>1052</v>
      </c>
      <c r="F258" s="30" t="s">
        <v>1053</v>
      </c>
      <c r="G258" s="13"/>
      <c r="H258" s="10"/>
      <c r="I258" s="29"/>
      <c r="J258" s="7"/>
      <c r="K258" s="7"/>
      <c r="L258" s="7"/>
      <c r="M258" s="7"/>
      <c r="N258" s="7">
        <f t="shared" si="3"/>
        <v>1</v>
      </c>
      <c r="O258" s="7"/>
    </row>
    <row r="259">
      <c r="A259" s="26" t="s">
        <v>1054</v>
      </c>
      <c r="B259" s="26" t="s">
        <v>1055</v>
      </c>
      <c r="C259" s="26" t="s">
        <v>589</v>
      </c>
      <c r="D259" s="27"/>
      <c r="E259" s="28" t="s">
        <v>1056</v>
      </c>
      <c r="F259" s="29"/>
      <c r="G259" s="13"/>
      <c r="H259" s="10"/>
      <c r="I259" s="29"/>
      <c r="J259" s="7"/>
      <c r="K259" s="7"/>
      <c r="L259" s="7"/>
      <c r="M259" s="7"/>
      <c r="N259" s="7">
        <f t="shared" si="3"/>
        <v>0</v>
      </c>
      <c r="O259" s="7"/>
    </row>
    <row r="260">
      <c r="A260" s="26" t="s">
        <v>1057</v>
      </c>
      <c r="B260" s="26" t="s">
        <v>1058</v>
      </c>
      <c r="C260" s="26" t="s">
        <v>1059</v>
      </c>
      <c r="D260" s="26" t="s">
        <v>635</v>
      </c>
      <c r="E260" s="28" t="s">
        <v>1060</v>
      </c>
      <c r="F260" s="30" t="s">
        <v>1061</v>
      </c>
      <c r="G260" s="13"/>
      <c r="H260" s="10"/>
      <c r="I260" s="29"/>
      <c r="J260" s="7"/>
      <c r="K260" s="7"/>
      <c r="L260" s="7"/>
      <c r="M260" s="7"/>
      <c r="N260" s="7">
        <f t="shared" si="3"/>
        <v>1</v>
      </c>
      <c r="O260" s="7"/>
    </row>
    <row r="261">
      <c r="A261" s="26" t="s">
        <v>1062</v>
      </c>
      <c r="B261" s="26" t="s">
        <v>1063</v>
      </c>
      <c r="C261" s="26" t="s">
        <v>589</v>
      </c>
      <c r="D261" s="26" t="s">
        <v>598</v>
      </c>
      <c r="E261" s="28" t="s">
        <v>1064</v>
      </c>
      <c r="F261" s="29"/>
      <c r="G261" s="13"/>
      <c r="H261" s="10"/>
      <c r="I261" s="29"/>
      <c r="J261" s="7"/>
      <c r="K261" s="7"/>
      <c r="L261" s="7"/>
      <c r="M261" s="7"/>
      <c r="N261" s="7">
        <f t="shared" si="3"/>
        <v>0</v>
      </c>
      <c r="O261" s="7"/>
    </row>
    <row r="262">
      <c r="A262" s="26" t="s">
        <v>1065</v>
      </c>
      <c r="B262" s="26" t="s">
        <v>1066</v>
      </c>
      <c r="C262" s="26" t="s">
        <v>584</v>
      </c>
      <c r="D262" s="27"/>
      <c r="E262" s="32" t="s">
        <v>1067</v>
      </c>
      <c r="F262" s="30" t="s">
        <v>1068</v>
      </c>
      <c r="G262" s="13"/>
      <c r="H262" s="10"/>
      <c r="I262" s="29"/>
      <c r="J262" s="7"/>
      <c r="K262" s="7"/>
      <c r="L262" s="7"/>
      <c r="M262" s="7"/>
      <c r="N262" s="7">
        <f t="shared" si="3"/>
        <v>1</v>
      </c>
      <c r="O262" s="7"/>
    </row>
    <row r="263">
      <c r="A263" s="26" t="s">
        <v>1070</v>
      </c>
      <c r="B263" s="26" t="s">
        <v>1071</v>
      </c>
      <c r="C263" s="26" t="s">
        <v>589</v>
      </c>
      <c r="D263" s="26" t="s">
        <v>598</v>
      </c>
      <c r="E263" s="28" t="s">
        <v>1072</v>
      </c>
      <c r="F263" s="29"/>
      <c r="G263" s="13"/>
      <c r="H263" s="10"/>
      <c r="I263" s="29"/>
      <c r="J263" s="7"/>
      <c r="K263" s="7"/>
      <c r="L263" s="7"/>
      <c r="M263" s="7"/>
      <c r="N263" s="7">
        <f t="shared" si="3"/>
        <v>0</v>
      </c>
      <c r="O263" s="7"/>
    </row>
    <row r="264">
      <c r="A264" s="26" t="s">
        <v>1073</v>
      </c>
      <c r="B264" s="26" t="s">
        <v>1074</v>
      </c>
      <c r="C264" s="26" t="s">
        <v>835</v>
      </c>
      <c r="D264" s="27"/>
      <c r="E264" s="28" t="s">
        <v>1075</v>
      </c>
      <c r="F264" s="29"/>
      <c r="G264" s="13"/>
      <c r="H264" s="10"/>
      <c r="I264" s="29"/>
      <c r="J264" s="7"/>
      <c r="K264" s="7"/>
      <c r="L264" s="7"/>
      <c r="M264" s="7"/>
      <c r="N264" s="7">
        <f t="shared" si="3"/>
        <v>0</v>
      </c>
      <c r="O264" s="7"/>
    </row>
    <row r="265">
      <c r="A265" s="26" t="s">
        <v>1076</v>
      </c>
      <c r="B265" s="26" t="s">
        <v>1077</v>
      </c>
      <c r="C265" s="26" t="s">
        <v>589</v>
      </c>
      <c r="D265" s="26" t="s">
        <v>598</v>
      </c>
      <c r="E265" s="28" t="s">
        <v>1078</v>
      </c>
      <c r="F265" s="29"/>
      <c r="G265" s="13"/>
      <c r="H265" s="10"/>
      <c r="I265" s="29"/>
      <c r="J265" s="7"/>
      <c r="K265" s="7"/>
      <c r="L265" s="7"/>
      <c r="M265" s="7"/>
      <c r="N265" s="7">
        <f t="shared" si="3"/>
        <v>0</v>
      </c>
      <c r="O265" s="7"/>
    </row>
    <row r="266">
      <c r="A266" s="26" t="s">
        <v>1079</v>
      </c>
      <c r="B266" s="26" t="s">
        <v>1080</v>
      </c>
      <c r="C266" s="26" t="s">
        <v>584</v>
      </c>
      <c r="D266" s="27"/>
      <c r="E266" s="28" t="s">
        <v>1081</v>
      </c>
      <c r="F266" s="29"/>
      <c r="G266" s="13"/>
      <c r="H266" s="10"/>
      <c r="I266" s="29"/>
      <c r="J266" s="7"/>
      <c r="K266" s="7"/>
      <c r="L266" s="7"/>
      <c r="M266" s="7"/>
      <c r="N266" s="7">
        <f t="shared" si="3"/>
        <v>0</v>
      </c>
      <c r="O266" s="7"/>
    </row>
    <row r="267">
      <c r="A267" s="26" t="s">
        <v>1082</v>
      </c>
      <c r="B267" s="26" t="s">
        <v>1083</v>
      </c>
      <c r="C267" s="26" t="s">
        <v>589</v>
      </c>
      <c r="D267" s="27"/>
      <c r="E267" s="28" t="s">
        <v>1084</v>
      </c>
      <c r="F267" s="29"/>
      <c r="G267" s="13"/>
      <c r="H267" s="10"/>
      <c r="I267" s="29"/>
      <c r="J267" s="7"/>
      <c r="K267" s="7"/>
      <c r="L267" s="7"/>
      <c r="M267" s="7"/>
      <c r="N267" s="7">
        <f t="shared" si="3"/>
        <v>0</v>
      </c>
      <c r="O267" s="7"/>
    </row>
    <row r="268">
      <c r="A268" s="26" t="s">
        <v>1085</v>
      </c>
      <c r="B268" s="26" t="s">
        <v>1086</v>
      </c>
      <c r="C268" s="26" t="s">
        <v>589</v>
      </c>
      <c r="D268" s="26" t="s">
        <v>1087</v>
      </c>
      <c r="E268" s="28" t="s">
        <v>1088</v>
      </c>
      <c r="F268" s="30" t="s">
        <v>1335</v>
      </c>
      <c r="G268" s="13"/>
      <c r="H268" s="10"/>
      <c r="I268" s="29"/>
      <c r="J268" s="7"/>
      <c r="K268" s="7"/>
      <c r="L268" s="7"/>
      <c r="M268" s="7"/>
      <c r="N268" s="7">
        <f t="shared" si="3"/>
        <v>1</v>
      </c>
      <c r="O268" s="7"/>
    </row>
    <row r="269">
      <c r="A269" s="26" t="s">
        <v>1090</v>
      </c>
      <c r="B269" s="26" t="s">
        <v>1091</v>
      </c>
      <c r="C269" s="26" t="s">
        <v>589</v>
      </c>
      <c r="D269" s="26" t="s">
        <v>235</v>
      </c>
      <c r="E269" s="28" t="s">
        <v>1088</v>
      </c>
      <c r="F269" s="30" t="s">
        <v>1095</v>
      </c>
      <c r="G269" s="13"/>
      <c r="H269" s="10"/>
      <c r="I269" s="30" t="s">
        <v>235</v>
      </c>
      <c r="J269" s="7"/>
      <c r="K269" s="7"/>
      <c r="L269" s="7"/>
      <c r="M269" s="7"/>
      <c r="N269" s="7">
        <f t="shared" si="3"/>
        <v>1</v>
      </c>
      <c r="O269" s="7"/>
    </row>
    <row r="270">
      <c r="A270" s="26" t="s">
        <v>1093</v>
      </c>
      <c r="B270" s="26" t="s">
        <v>1094</v>
      </c>
      <c r="C270" s="26" t="s">
        <v>589</v>
      </c>
      <c r="D270" s="26" t="s">
        <v>235</v>
      </c>
      <c r="E270" s="28" t="s">
        <v>1088</v>
      </c>
      <c r="F270" s="30" t="s">
        <v>1337</v>
      </c>
      <c r="G270" s="13"/>
      <c r="H270" s="10"/>
      <c r="I270" s="29"/>
      <c r="J270" s="7"/>
      <c r="K270" s="7"/>
      <c r="L270" s="7"/>
      <c r="M270" s="7"/>
      <c r="N270" s="7">
        <f t="shared" si="3"/>
        <v>1</v>
      </c>
      <c r="O270" s="7"/>
    </row>
    <row r="271">
      <c r="A271" s="26" t="s">
        <v>1096</v>
      </c>
      <c r="B271" s="26" t="s">
        <v>1097</v>
      </c>
      <c r="C271" s="26" t="s">
        <v>589</v>
      </c>
      <c r="D271" s="27"/>
      <c r="E271" s="32" t="s">
        <v>1098</v>
      </c>
      <c r="F271" s="30" t="s">
        <v>1099</v>
      </c>
      <c r="G271" s="13"/>
      <c r="H271" s="10"/>
      <c r="I271" s="29"/>
      <c r="J271" s="7"/>
      <c r="K271" s="7"/>
      <c r="L271" s="7"/>
      <c r="M271" s="7"/>
      <c r="N271" s="7">
        <f t="shared" si="3"/>
        <v>1</v>
      </c>
      <c r="O271" s="7"/>
    </row>
    <row r="272">
      <c r="A272" s="26" t="s">
        <v>1100</v>
      </c>
      <c r="B272" s="26" t="s">
        <v>1101</v>
      </c>
      <c r="C272" s="26" t="s">
        <v>589</v>
      </c>
      <c r="D272" s="27"/>
      <c r="E272" s="28" t="s">
        <v>1102</v>
      </c>
      <c r="F272" s="30" t="s">
        <v>1103</v>
      </c>
      <c r="G272" s="13"/>
      <c r="H272" s="10"/>
      <c r="I272" s="29"/>
      <c r="J272" s="7"/>
      <c r="K272" s="7"/>
      <c r="L272" s="7"/>
      <c r="M272" s="7"/>
      <c r="N272" s="7">
        <f t="shared" si="3"/>
        <v>1</v>
      </c>
      <c r="O272" s="7"/>
    </row>
    <row r="273">
      <c r="A273" s="26" t="s">
        <v>1104</v>
      </c>
      <c r="B273" s="26" t="s">
        <v>1105</v>
      </c>
      <c r="C273" s="26" t="s">
        <v>589</v>
      </c>
      <c r="D273" s="27"/>
      <c r="E273" s="28" t="s">
        <v>1106</v>
      </c>
      <c r="F273" s="30" t="s">
        <v>1107</v>
      </c>
      <c r="G273" s="13"/>
      <c r="H273" s="10"/>
      <c r="I273" s="29"/>
      <c r="J273" s="7"/>
      <c r="K273" s="7"/>
      <c r="L273" s="7"/>
      <c r="M273" s="7"/>
      <c r="N273" s="7">
        <f t="shared" si="3"/>
        <v>1</v>
      </c>
      <c r="O273" s="7"/>
    </row>
    <row r="274">
      <c r="A274" s="26" t="s">
        <v>1108</v>
      </c>
      <c r="B274" s="26" t="s">
        <v>1109</v>
      </c>
      <c r="C274" s="26" t="s">
        <v>648</v>
      </c>
      <c r="D274" s="26" t="s">
        <v>1026</v>
      </c>
      <c r="E274" s="27"/>
      <c r="F274" s="30" t="s">
        <v>1110</v>
      </c>
      <c r="G274" s="13"/>
      <c r="H274" s="10"/>
      <c r="I274" s="29"/>
      <c r="J274" s="7"/>
      <c r="K274" s="7"/>
      <c r="L274" s="7"/>
      <c r="M274" s="7"/>
      <c r="N274" s="7">
        <f t="shared" si="3"/>
        <v>1</v>
      </c>
      <c r="O274" s="7"/>
    </row>
    <row r="275">
      <c r="A275" s="26" t="s">
        <v>1111</v>
      </c>
      <c r="B275" s="26" t="s">
        <v>1112</v>
      </c>
      <c r="C275" s="26" t="s">
        <v>589</v>
      </c>
      <c r="D275" s="27"/>
      <c r="E275" s="28" t="s">
        <v>1113</v>
      </c>
      <c r="F275" s="29"/>
      <c r="G275" s="13"/>
      <c r="H275" s="10"/>
      <c r="I275" s="29"/>
      <c r="J275" s="7"/>
      <c r="K275" s="7"/>
      <c r="L275" s="7"/>
      <c r="M275" s="7"/>
      <c r="N275" s="7">
        <f t="shared" si="3"/>
        <v>0</v>
      </c>
      <c r="O275" s="7"/>
    </row>
    <row r="276">
      <c r="A276" s="26" t="s">
        <v>1114</v>
      </c>
      <c r="B276" s="26" t="s">
        <v>1115</v>
      </c>
      <c r="C276" s="26" t="s">
        <v>589</v>
      </c>
      <c r="D276" s="27"/>
      <c r="E276" s="28" t="s">
        <v>1116</v>
      </c>
      <c r="F276" s="29"/>
      <c r="G276" s="13"/>
      <c r="H276" s="10"/>
      <c r="I276" s="29"/>
      <c r="J276" s="7"/>
      <c r="K276" s="7"/>
      <c r="L276" s="7"/>
      <c r="M276" s="7"/>
      <c r="N276" s="7">
        <f t="shared" si="3"/>
        <v>0</v>
      </c>
      <c r="O276" s="7"/>
    </row>
    <row r="277">
      <c r="A277" s="26" t="s">
        <v>1117</v>
      </c>
      <c r="B277" s="26" t="s">
        <v>1118</v>
      </c>
      <c r="C277" s="26" t="s">
        <v>589</v>
      </c>
      <c r="D277" s="26" t="s">
        <v>598</v>
      </c>
      <c r="E277" s="28" t="s">
        <v>1119</v>
      </c>
      <c r="F277" s="29"/>
      <c r="G277" s="13"/>
      <c r="H277" s="10"/>
      <c r="I277" s="29"/>
      <c r="J277" s="7"/>
      <c r="K277" s="7"/>
      <c r="L277" s="7"/>
      <c r="M277" s="7"/>
      <c r="N277" s="7">
        <f t="shared" si="3"/>
        <v>0</v>
      </c>
      <c r="O277" s="7"/>
    </row>
    <row r="278">
      <c r="A278" s="26" t="s">
        <v>1120</v>
      </c>
      <c r="B278" s="26" t="s">
        <v>1020</v>
      </c>
      <c r="C278" s="26" t="s">
        <v>589</v>
      </c>
      <c r="D278" s="27"/>
      <c r="E278" s="28" t="s">
        <v>1121</v>
      </c>
      <c r="F278" s="30" t="s">
        <v>1378</v>
      </c>
      <c r="G278" s="13"/>
      <c r="H278" s="10"/>
      <c r="I278" s="30" t="s">
        <v>351</v>
      </c>
      <c r="J278" s="7"/>
      <c r="K278" s="7"/>
      <c r="L278" s="7"/>
      <c r="M278" s="7"/>
      <c r="N278" s="7">
        <f t="shared" si="3"/>
        <v>1</v>
      </c>
      <c r="O278" s="7"/>
    </row>
    <row r="279">
      <c r="A279" s="26" t="s">
        <v>1123</v>
      </c>
      <c r="B279" s="26" t="s">
        <v>1124</v>
      </c>
      <c r="C279" s="26" t="s">
        <v>589</v>
      </c>
      <c r="D279" s="27"/>
      <c r="E279" s="28" t="s">
        <v>1125</v>
      </c>
      <c r="F279" s="30" t="s">
        <v>1126</v>
      </c>
      <c r="G279" s="13"/>
      <c r="H279" s="10"/>
      <c r="I279" s="30" t="s">
        <v>260</v>
      </c>
      <c r="J279" s="7"/>
      <c r="K279" s="7"/>
      <c r="L279" s="7"/>
      <c r="M279" s="7"/>
      <c r="N279" s="7">
        <f t="shared" si="3"/>
        <v>1</v>
      </c>
      <c r="O279" s="7"/>
    </row>
    <row r="280">
      <c r="A280" s="26" t="s">
        <v>1127</v>
      </c>
      <c r="B280" s="26" t="s">
        <v>1128</v>
      </c>
      <c r="C280" s="26" t="s">
        <v>589</v>
      </c>
      <c r="D280" s="27"/>
      <c r="E280" s="28" t="s">
        <v>1129</v>
      </c>
      <c r="F280" s="30" t="s">
        <v>1130</v>
      </c>
      <c r="G280" s="13"/>
      <c r="H280" s="10"/>
      <c r="I280" s="30" t="s">
        <v>324</v>
      </c>
      <c r="J280" s="7"/>
      <c r="K280" s="7"/>
      <c r="L280" s="7"/>
      <c r="M280" s="7"/>
      <c r="N280" s="7">
        <f t="shared" si="3"/>
        <v>1</v>
      </c>
      <c r="O280" s="7"/>
    </row>
    <row r="281">
      <c r="A281" s="26" t="s">
        <v>1131</v>
      </c>
      <c r="B281" s="31" t="s">
        <v>1132</v>
      </c>
      <c r="C281" s="26" t="s">
        <v>589</v>
      </c>
      <c r="D281" s="26" t="s">
        <v>598</v>
      </c>
      <c r="E281" s="28" t="s">
        <v>1133</v>
      </c>
      <c r="F281" s="29"/>
      <c r="G281" s="13"/>
      <c r="H281" s="10"/>
      <c r="I281" s="29"/>
      <c r="J281" s="7"/>
      <c r="K281" s="7"/>
      <c r="L281" s="7"/>
      <c r="M281" s="7"/>
      <c r="N281" s="7">
        <f t="shared" si="3"/>
        <v>0</v>
      </c>
      <c r="O281" s="7"/>
    </row>
    <row r="282">
      <c r="A282" s="26" t="s">
        <v>1134</v>
      </c>
      <c r="B282" s="31" t="s">
        <v>1135</v>
      </c>
      <c r="C282" s="26" t="s">
        <v>589</v>
      </c>
      <c r="D282" s="27"/>
      <c r="E282" s="28" t="s">
        <v>1136</v>
      </c>
      <c r="F282" s="29"/>
      <c r="G282" s="13"/>
      <c r="H282" s="10"/>
      <c r="I282" s="29"/>
      <c r="J282" s="7"/>
      <c r="K282" s="7"/>
      <c r="L282" s="7"/>
      <c r="M282" s="7"/>
      <c r="N282" s="7">
        <f t="shared" si="3"/>
        <v>0</v>
      </c>
      <c r="O282" s="7"/>
    </row>
    <row r="283">
      <c r="A283" s="31" t="s">
        <v>1138</v>
      </c>
      <c r="B283" s="26" t="s">
        <v>1139</v>
      </c>
      <c r="C283" s="26" t="s">
        <v>589</v>
      </c>
      <c r="D283" s="26" t="s">
        <v>598</v>
      </c>
      <c r="E283" s="27"/>
      <c r="F283" s="30" t="s">
        <v>1140</v>
      </c>
      <c r="G283" s="13"/>
      <c r="H283" s="10"/>
      <c r="I283" s="29"/>
      <c r="J283" s="7"/>
      <c r="K283" s="7"/>
      <c r="L283" s="7"/>
      <c r="M283" s="7"/>
      <c r="N283" s="7">
        <f t="shared" si="3"/>
        <v>1</v>
      </c>
      <c r="O283" s="7"/>
    </row>
    <row r="284">
      <c r="A284" s="26" t="s">
        <v>1141</v>
      </c>
      <c r="B284" s="26" t="s">
        <v>1142</v>
      </c>
      <c r="C284" s="26" t="s">
        <v>589</v>
      </c>
      <c r="D284" s="27"/>
      <c r="E284" s="28" t="s">
        <v>1143</v>
      </c>
      <c r="F284" s="30" t="s">
        <v>1144</v>
      </c>
      <c r="G284" s="13"/>
      <c r="H284" s="10"/>
      <c r="I284" s="29"/>
      <c r="J284" s="7"/>
      <c r="K284" s="7"/>
      <c r="L284" s="7"/>
      <c r="M284" s="7"/>
      <c r="N284" s="7">
        <f t="shared" si="3"/>
        <v>1</v>
      </c>
      <c r="O284" s="7"/>
    </row>
    <row r="285">
      <c r="A285" s="26" t="s">
        <v>1145</v>
      </c>
      <c r="B285" s="26" t="s">
        <v>1146</v>
      </c>
      <c r="C285" s="26" t="s">
        <v>584</v>
      </c>
      <c r="D285" s="27"/>
      <c r="E285" s="33" t="s">
        <v>1409</v>
      </c>
      <c r="F285" s="30" t="s">
        <v>1148</v>
      </c>
      <c r="G285" s="13"/>
      <c r="H285" s="10"/>
      <c r="I285" s="29"/>
      <c r="J285" s="7"/>
      <c r="K285" s="7"/>
      <c r="L285" s="7"/>
      <c r="M285" s="7"/>
      <c r="N285" s="7">
        <f t="shared" si="3"/>
        <v>1</v>
      </c>
      <c r="O285" s="7"/>
    </row>
    <row r="286">
      <c r="A286" s="26" t="s">
        <v>1149</v>
      </c>
      <c r="B286" s="26" t="s">
        <v>1150</v>
      </c>
      <c r="C286" s="26" t="s">
        <v>1151</v>
      </c>
      <c r="D286" s="27"/>
      <c r="E286" s="28" t="s">
        <v>1152</v>
      </c>
      <c r="F286" s="29"/>
      <c r="G286" s="13"/>
      <c r="H286" s="10"/>
      <c r="I286" s="29"/>
      <c r="J286" s="7"/>
      <c r="K286" s="7"/>
      <c r="L286" s="7"/>
      <c r="M286" s="7"/>
      <c r="N286" s="7">
        <f t="shared" si="3"/>
        <v>0</v>
      </c>
      <c r="O286" s="7"/>
    </row>
    <row r="287">
      <c r="A287" s="31" t="s">
        <v>1153</v>
      </c>
      <c r="B287" s="26" t="s">
        <v>1154</v>
      </c>
      <c r="C287" s="26" t="s">
        <v>589</v>
      </c>
      <c r="D287" s="27"/>
      <c r="E287" s="28" t="s">
        <v>1155</v>
      </c>
      <c r="F287" s="30" t="s">
        <v>1156</v>
      </c>
      <c r="G287" s="13"/>
      <c r="H287" s="10"/>
      <c r="I287" s="30" t="s">
        <v>39</v>
      </c>
      <c r="J287" s="7"/>
      <c r="K287" s="7"/>
      <c r="L287" s="7"/>
      <c r="M287" s="7"/>
      <c r="N287" s="7">
        <f t="shared" si="3"/>
        <v>1</v>
      </c>
      <c r="O287" s="7"/>
    </row>
    <row r="288">
      <c r="A288" s="26" t="s">
        <v>1157</v>
      </c>
      <c r="B288" s="26" t="s">
        <v>1158</v>
      </c>
      <c r="C288" s="26" t="s">
        <v>584</v>
      </c>
      <c r="D288" s="27"/>
      <c r="E288" s="28" t="s">
        <v>1159</v>
      </c>
      <c r="F288" s="29"/>
      <c r="G288" s="13"/>
      <c r="H288" s="10"/>
      <c r="I288" s="29"/>
      <c r="J288" s="7"/>
      <c r="K288" s="7"/>
      <c r="L288" s="7"/>
      <c r="M288" s="7"/>
      <c r="N288" s="7">
        <f t="shared" si="3"/>
        <v>0</v>
      </c>
      <c r="O288" s="7"/>
    </row>
    <row r="289">
      <c r="A289" s="26" t="s">
        <v>1160</v>
      </c>
      <c r="B289" s="26" t="s">
        <v>1161</v>
      </c>
      <c r="C289" s="26" t="s">
        <v>1162</v>
      </c>
      <c r="D289" s="27"/>
      <c r="E289" s="28" t="s">
        <v>1163</v>
      </c>
      <c r="F289" s="29"/>
      <c r="G289" s="13"/>
      <c r="H289" s="10"/>
      <c r="I289" s="29"/>
      <c r="J289" s="7"/>
      <c r="K289" s="7"/>
      <c r="L289" s="7"/>
      <c r="M289" s="7"/>
      <c r="N289" s="7">
        <f t="shared" si="3"/>
        <v>0</v>
      </c>
      <c r="O289" s="7"/>
    </row>
    <row r="290">
      <c r="A290" s="26" t="s">
        <v>1164</v>
      </c>
      <c r="B290" s="26" t="s">
        <v>1165</v>
      </c>
      <c r="C290" s="26" t="s">
        <v>589</v>
      </c>
      <c r="D290" s="27"/>
      <c r="E290" s="28" t="s">
        <v>1166</v>
      </c>
      <c r="F290" s="30" t="s">
        <v>1167</v>
      </c>
      <c r="G290" s="13"/>
      <c r="H290" s="10"/>
      <c r="I290" s="29"/>
      <c r="J290" s="7"/>
      <c r="K290" s="7"/>
      <c r="L290" s="7"/>
      <c r="M290" s="7"/>
      <c r="N290" s="7">
        <f t="shared" si="3"/>
        <v>1</v>
      </c>
      <c r="O290" s="7"/>
    </row>
    <row r="291">
      <c r="A291" s="26" t="s">
        <v>1168</v>
      </c>
      <c r="B291" s="26" t="s">
        <v>1169</v>
      </c>
      <c r="C291" s="26" t="s">
        <v>1059</v>
      </c>
      <c r="D291" s="27"/>
      <c r="E291" s="28" t="s">
        <v>1170</v>
      </c>
      <c r="F291" s="30" t="s">
        <v>1171</v>
      </c>
      <c r="G291" s="13"/>
      <c r="H291" s="10"/>
      <c r="I291" s="29"/>
      <c r="J291" s="7"/>
      <c r="K291" s="7"/>
      <c r="L291" s="7"/>
      <c r="M291" s="7"/>
      <c r="N291" s="7">
        <f t="shared" si="3"/>
        <v>1</v>
      </c>
      <c r="O291" s="7"/>
    </row>
    <row r="292" ht="16.5" customHeight="1">
      <c r="A292" s="26" t="s">
        <v>1172</v>
      </c>
      <c r="B292" s="26" t="s">
        <v>1173</v>
      </c>
      <c r="C292" s="26" t="s">
        <v>589</v>
      </c>
      <c r="D292" s="28" t="s">
        <v>1174</v>
      </c>
      <c r="E292" s="33" t="s">
        <v>1451</v>
      </c>
      <c r="F292" s="30" t="s">
        <v>1176</v>
      </c>
      <c r="G292" s="13"/>
      <c r="H292" s="10"/>
      <c r="I292" s="30" t="s">
        <v>122</v>
      </c>
      <c r="J292" s="7"/>
      <c r="K292" s="7"/>
      <c r="L292" s="7"/>
      <c r="M292" s="7"/>
      <c r="N292" s="7">
        <f t="shared" si="3"/>
        <v>1</v>
      </c>
      <c r="O292" s="7"/>
    </row>
    <row r="293" ht="15.75" customHeight="1">
      <c r="A293" s="26" t="s">
        <v>1177</v>
      </c>
      <c r="B293" s="26" t="s">
        <v>1178</v>
      </c>
      <c r="C293" s="26" t="s">
        <v>589</v>
      </c>
      <c r="D293" s="28" t="s">
        <v>1174</v>
      </c>
      <c r="E293" s="28" t="s">
        <v>1179</v>
      </c>
      <c r="F293" s="30" t="s">
        <v>1180</v>
      </c>
      <c r="G293" s="13"/>
      <c r="H293" s="10"/>
      <c r="I293" s="30" t="s">
        <v>122</v>
      </c>
      <c r="J293" s="7"/>
      <c r="K293" s="7"/>
      <c r="L293" s="7"/>
      <c r="M293" s="7"/>
      <c r="N293" s="7">
        <f t="shared" si="3"/>
        <v>1</v>
      </c>
      <c r="O293" s="7"/>
    </row>
    <row r="294">
      <c r="A294" s="26" t="s">
        <v>1181</v>
      </c>
      <c r="B294" s="31" t="s">
        <v>1182</v>
      </c>
      <c r="C294" s="26" t="s">
        <v>589</v>
      </c>
      <c r="D294" s="26"/>
      <c r="E294" s="28" t="s">
        <v>1461</v>
      </c>
      <c r="F294" s="29"/>
      <c r="G294" s="13"/>
      <c r="H294" s="10"/>
      <c r="I294" s="30" t="s">
        <v>403</v>
      </c>
      <c r="J294" s="7"/>
      <c r="K294" s="7"/>
      <c r="L294" s="7"/>
      <c r="M294" s="7"/>
      <c r="N294" s="7">
        <f t="shared" si="3"/>
        <v>0</v>
      </c>
      <c r="O294" s="7"/>
    </row>
    <row r="295">
      <c r="A295" s="26" t="s">
        <v>1184</v>
      </c>
      <c r="B295" s="26" t="s">
        <v>1185</v>
      </c>
      <c r="C295" s="26" t="s">
        <v>835</v>
      </c>
      <c r="D295" s="26" t="s">
        <v>635</v>
      </c>
      <c r="E295" s="28" t="s">
        <v>1186</v>
      </c>
      <c r="F295" s="29"/>
      <c r="G295" s="13"/>
      <c r="H295" s="10"/>
      <c r="I295" s="29"/>
      <c r="J295" s="7"/>
      <c r="K295" s="7"/>
      <c r="L295" s="7"/>
      <c r="M295" s="7"/>
      <c r="N295" s="7">
        <f t="shared" si="3"/>
        <v>0</v>
      </c>
      <c r="O295" s="7"/>
    </row>
    <row r="296">
      <c r="A296" s="26" t="s">
        <v>1187</v>
      </c>
      <c r="B296" s="26" t="s">
        <v>1188</v>
      </c>
      <c r="C296" s="26" t="s">
        <v>589</v>
      </c>
      <c r="D296" s="27"/>
      <c r="E296" s="28" t="s">
        <v>1189</v>
      </c>
      <c r="F296" s="30" t="s">
        <v>1190</v>
      </c>
      <c r="G296" s="13"/>
      <c r="H296" s="10"/>
      <c r="I296" s="30" t="s">
        <v>52</v>
      </c>
      <c r="J296" s="7"/>
      <c r="K296" s="7"/>
      <c r="L296" s="7"/>
      <c r="M296" s="7"/>
      <c r="N296" s="7">
        <f t="shared" si="3"/>
        <v>1</v>
      </c>
      <c r="O296" s="7"/>
    </row>
    <row r="297">
      <c r="A297" s="26" t="s">
        <v>1191</v>
      </c>
      <c r="B297" s="26" t="s">
        <v>1192</v>
      </c>
      <c r="C297" s="26" t="s">
        <v>589</v>
      </c>
      <c r="D297" s="27"/>
      <c r="E297" s="28" t="s">
        <v>1193</v>
      </c>
      <c r="F297" s="30" t="s">
        <v>1194</v>
      </c>
      <c r="G297" s="13"/>
      <c r="H297" s="10"/>
      <c r="I297" s="29"/>
      <c r="J297" s="7"/>
      <c r="K297" s="7"/>
      <c r="L297" s="7"/>
      <c r="M297" s="7"/>
      <c r="N297" s="7">
        <f t="shared" si="3"/>
        <v>1</v>
      </c>
      <c r="O297" s="7"/>
    </row>
    <row r="298">
      <c r="A298" s="26" t="s">
        <v>1195</v>
      </c>
      <c r="B298" s="26" t="s">
        <v>1196</v>
      </c>
      <c r="C298" s="26" t="s">
        <v>648</v>
      </c>
      <c r="D298" s="27"/>
      <c r="E298" s="28" t="s">
        <v>1197</v>
      </c>
      <c r="F298" s="29"/>
      <c r="G298" s="13"/>
      <c r="H298" s="10"/>
      <c r="I298" s="29"/>
      <c r="J298" s="7"/>
      <c r="K298" s="7"/>
      <c r="L298" s="7"/>
      <c r="M298" s="7"/>
      <c r="N298" s="7">
        <f t="shared" si="3"/>
        <v>0</v>
      </c>
      <c r="O298" s="7"/>
    </row>
    <row r="299">
      <c r="A299" s="26" t="s">
        <v>1198</v>
      </c>
      <c r="B299" s="26" t="s">
        <v>1199</v>
      </c>
      <c r="C299" s="26" t="s">
        <v>589</v>
      </c>
      <c r="D299" s="27"/>
      <c r="E299" s="32" t="s">
        <v>1200</v>
      </c>
      <c r="F299" s="30" t="s">
        <v>1201</v>
      </c>
      <c r="G299" s="13"/>
      <c r="H299" s="10"/>
      <c r="I299" s="29"/>
      <c r="J299" s="7"/>
      <c r="K299" s="7"/>
      <c r="L299" s="7"/>
      <c r="M299" s="7"/>
      <c r="N299" s="7">
        <f t="shared" si="3"/>
        <v>1</v>
      </c>
      <c r="O299" s="7"/>
    </row>
    <row r="300">
      <c r="A300" s="26" t="s">
        <v>1202</v>
      </c>
      <c r="B300" s="26" t="s">
        <v>1203</v>
      </c>
      <c r="C300" s="26" t="s">
        <v>1204</v>
      </c>
      <c r="D300" s="27"/>
      <c r="E300" s="28" t="s">
        <v>1205</v>
      </c>
      <c r="F300" s="30" t="s">
        <v>1206</v>
      </c>
      <c r="G300" s="13"/>
      <c r="H300" s="10"/>
      <c r="I300" s="29"/>
      <c r="J300" s="7"/>
      <c r="K300" s="7"/>
      <c r="L300" s="7"/>
      <c r="M300" s="7"/>
      <c r="N300" s="7">
        <f t="shared" si="3"/>
        <v>1</v>
      </c>
      <c r="O300" s="7"/>
    </row>
    <row r="301">
      <c r="A301" s="26" t="s">
        <v>1207</v>
      </c>
      <c r="B301" s="26" t="s">
        <v>1208</v>
      </c>
      <c r="C301" s="26" t="s">
        <v>589</v>
      </c>
      <c r="D301" s="27"/>
      <c r="E301" s="28" t="s">
        <v>1209</v>
      </c>
      <c r="F301" s="30" t="s">
        <v>1210</v>
      </c>
      <c r="G301" s="13"/>
      <c r="H301" s="10"/>
      <c r="I301" s="29"/>
      <c r="J301" s="7"/>
      <c r="K301" s="7"/>
      <c r="L301" s="7"/>
      <c r="M301" s="7"/>
      <c r="N301" s="7">
        <f t="shared" si="3"/>
        <v>1</v>
      </c>
      <c r="O301" s="7"/>
    </row>
    <row r="302">
      <c r="A302" s="31" t="s">
        <v>1212</v>
      </c>
      <c r="B302" s="26" t="s">
        <v>1213</v>
      </c>
      <c r="C302" s="26" t="s">
        <v>589</v>
      </c>
      <c r="D302" s="26" t="s">
        <v>598</v>
      </c>
      <c r="E302" s="28" t="s">
        <v>1214</v>
      </c>
      <c r="F302" s="30" t="s">
        <v>1215</v>
      </c>
      <c r="G302" s="13"/>
      <c r="H302" s="10"/>
      <c r="I302" s="29"/>
      <c r="J302" s="7"/>
      <c r="K302" s="7"/>
      <c r="L302" s="7"/>
      <c r="M302" s="7"/>
      <c r="N302" s="7">
        <f t="shared" si="3"/>
        <v>1</v>
      </c>
      <c r="O302" s="7"/>
    </row>
    <row r="303">
      <c r="A303" s="26" t="s">
        <v>1216</v>
      </c>
      <c r="B303" s="26" t="s">
        <v>1217</v>
      </c>
      <c r="C303" s="26" t="s">
        <v>584</v>
      </c>
      <c r="D303" s="26" t="s">
        <v>635</v>
      </c>
      <c r="E303" s="28" t="s">
        <v>1218</v>
      </c>
      <c r="F303" s="29"/>
      <c r="G303" s="13"/>
      <c r="H303" s="10"/>
      <c r="I303" s="29"/>
      <c r="J303" s="7"/>
      <c r="K303" s="7"/>
      <c r="L303" s="7"/>
      <c r="M303" s="7"/>
      <c r="N303" s="7">
        <f t="shared" si="3"/>
        <v>0</v>
      </c>
      <c r="O303" s="7"/>
    </row>
    <row r="304">
      <c r="A304" s="26" t="s">
        <v>1219</v>
      </c>
      <c r="B304" s="26" t="s">
        <v>1220</v>
      </c>
      <c r="C304" s="26" t="s">
        <v>584</v>
      </c>
      <c r="D304" s="27"/>
      <c r="E304" s="28" t="s">
        <v>1221</v>
      </c>
      <c r="F304" s="29"/>
      <c r="G304" s="13"/>
      <c r="H304" s="10"/>
      <c r="I304" s="29"/>
      <c r="J304" s="7"/>
      <c r="K304" s="7"/>
      <c r="L304" s="7"/>
      <c r="M304" s="7"/>
      <c r="N304" s="7">
        <f t="shared" si="3"/>
        <v>0</v>
      </c>
      <c r="O304" s="7"/>
    </row>
    <row r="305">
      <c r="A305" s="26" t="s">
        <v>1223</v>
      </c>
      <c r="B305" s="31" t="s">
        <v>1224</v>
      </c>
      <c r="C305" s="26" t="s">
        <v>589</v>
      </c>
      <c r="D305" s="26" t="s">
        <v>635</v>
      </c>
      <c r="E305" s="28" t="s">
        <v>1225</v>
      </c>
      <c r="F305" s="30" t="s">
        <v>1226</v>
      </c>
      <c r="G305" s="13"/>
      <c r="H305" s="10"/>
      <c r="I305" s="29"/>
      <c r="J305" s="7"/>
      <c r="K305" s="7"/>
      <c r="L305" s="7"/>
      <c r="M305" s="7"/>
      <c r="N305" s="7">
        <f t="shared" si="3"/>
        <v>1</v>
      </c>
      <c r="O305" s="7"/>
    </row>
    <row r="306">
      <c r="A306" s="26" t="s">
        <v>1227</v>
      </c>
      <c r="B306" s="26" t="s">
        <v>1228</v>
      </c>
      <c r="C306" s="26" t="s">
        <v>589</v>
      </c>
      <c r="D306" s="27"/>
      <c r="E306" s="28" t="s">
        <v>1229</v>
      </c>
      <c r="F306" s="29"/>
      <c r="G306" s="13"/>
      <c r="H306" s="10"/>
      <c r="I306" s="29"/>
      <c r="J306" s="7"/>
      <c r="K306" s="7"/>
      <c r="L306" s="7"/>
      <c r="M306" s="7"/>
      <c r="N306" s="7">
        <f t="shared" si="3"/>
        <v>0</v>
      </c>
      <c r="O306" s="7"/>
    </row>
    <row r="307">
      <c r="A307" s="26" t="s">
        <v>1230</v>
      </c>
      <c r="B307" s="26" t="s">
        <v>1231</v>
      </c>
      <c r="C307" s="26" t="s">
        <v>589</v>
      </c>
      <c r="D307" s="26" t="s">
        <v>598</v>
      </c>
      <c r="E307" s="28" t="s">
        <v>1232</v>
      </c>
      <c r="F307" s="30" t="s">
        <v>1589</v>
      </c>
      <c r="G307" s="13"/>
      <c r="H307" s="10"/>
      <c r="I307" s="29"/>
      <c r="J307" s="7"/>
      <c r="K307" s="7"/>
      <c r="L307" s="7"/>
      <c r="M307" s="7"/>
      <c r="N307" s="7">
        <f t="shared" si="3"/>
        <v>1</v>
      </c>
      <c r="O307" s="7"/>
    </row>
    <row r="308">
      <c r="A308" s="26" t="s">
        <v>1234</v>
      </c>
      <c r="B308" s="26" t="s">
        <v>1235</v>
      </c>
      <c r="C308" s="26" t="s">
        <v>589</v>
      </c>
      <c r="D308" s="27"/>
      <c r="E308" s="28" t="s">
        <v>1236</v>
      </c>
      <c r="F308" s="30" t="s">
        <v>1237</v>
      </c>
      <c r="G308" s="13"/>
      <c r="H308" s="10"/>
      <c r="I308" s="29"/>
      <c r="J308" s="7"/>
      <c r="K308" s="7"/>
      <c r="L308" s="7"/>
      <c r="M308" s="7"/>
      <c r="N308" s="7">
        <f t="shared" si="3"/>
        <v>1</v>
      </c>
      <c r="O308" s="7"/>
    </row>
    <row r="309">
      <c r="A309" s="31" t="s">
        <v>1238</v>
      </c>
      <c r="B309" s="26" t="s">
        <v>1239</v>
      </c>
      <c r="C309" s="31" t="s">
        <v>589</v>
      </c>
      <c r="D309" s="26"/>
      <c r="E309" s="31" t="s">
        <v>1240</v>
      </c>
      <c r="F309" s="29"/>
      <c r="G309" s="13"/>
      <c r="H309" s="10"/>
      <c r="I309" s="30" t="s">
        <v>391</v>
      </c>
      <c r="J309" s="7"/>
      <c r="K309" s="7"/>
      <c r="L309" s="7"/>
      <c r="M309" s="7"/>
      <c r="N309" s="7">
        <f t="shared" si="3"/>
        <v>0</v>
      </c>
      <c r="O309" s="7"/>
    </row>
    <row r="310">
      <c r="A310" s="26" t="s">
        <v>1241</v>
      </c>
      <c r="B310" s="26" t="s">
        <v>1242</v>
      </c>
      <c r="C310" s="26" t="s">
        <v>589</v>
      </c>
      <c r="D310" s="26" t="s">
        <v>598</v>
      </c>
      <c r="E310" s="28" t="s">
        <v>1243</v>
      </c>
      <c r="F310" s="29"/>
      <c r="G310" s="13"/>
      <c r="H310" s="10"/>
      <c r="I310" s="29"/>
      <c r="J310" s="7"/>
      <c r="K310" s="7"/>
      <c r="L310" s="7"/>
      <c r="M310" s="7"/>
      <c r="N310" s="7">
        <f t="shared" si="3"/>
        <v>0</v>
      </c>
      <c r="O310" s="7"/>
    </row>
    <row r="311">
      <c r="A311" s="26" t="s">
        <v>1244</v>
      </c>
      <c r="B311" s="26" t="s">
        <v>1245</v>
      </c>
      <c r="C311" s="26" t="s">
        <v>584</v>
      </c>
      <c r="D311" s="26" t="s">
        <v>635</v>
      </c>
      <c r="E311" s="28" t="s">
        <v>1246</v>
      </c>
      <c r="F311" s="29"/>
      <c r="G311" s="13"/>
      <c r="H311" s="10"/>
      <c r="I311" s="29"/>
      <c r="J311" s="7"/>
      <c r="K311" s="7"/>
      <c r="L311" s="7"/>
      <c r="M311" s="7"/>
      <c r="N311" s="7">
        <f t="shared" si="3"/>
        <v>0</v>
      </c>
      <c r="O311" s="7"/>
    </row>
    <row r="312">
      <c r="A312" s="26" t="s">
        <v>1247</v>
      </c>
      <c r="B312" s="26" t="s">
        <v>1248</v>
      </c>
      <c r="C312" s="26" t="s">
        <v>589</v>
      </c>
      <c r="D312" s="27"/>
      <c r="E312" s="28" t="s">
        <v>1249</v>
      </c>
      <c r="F312" s="35" t="s">
        <v>223</v>
      </c>
      <c r="I312" s="29"/>
      <c r="J312" s="7"/>
      <c r="K312" s="7"/>
      <c r="L312" s="7"/>
      <c r="M312" s="7"/>
      <c r="N312" s="7">
        <f t="shared" si="3"/>
        <v>1</v>
      </c>
      <c r="O312" s="7"/>
    </row>
    <row r="313">
      <c r="A313" s="26" t="s">
        <v>1250</v>
      </c>
      <c r="B313" s="26" t="s">
        <v>1251</v>
      </c>
      <c r="C313" s="26" t="s">
        <v>589</v>
      </c>
      <c r="D313" s="27"/>
      <c r="E313" s="28" t="s">
        <v>1252</v>
      </c>
      <c r="F313" s="29"/>
      <c r="G313" s="13"/>
      <c r="H313" s="10"/>
      <c r="I313" s="29"/>
      <c r="J313" s="7"/>
      <c r="K313" s="7"/>
      <c r="L313" s="7"/>
      <c r="M313" s="7"/>
      <c r="N313" s="7">
        <f t="shared" si="3"/>
        <v>0</v>
      </c>
      <c r="O313" s="7"/>
    </row>
    <row r="314">
      <c r="A314" s="26" t="s">
        <v>1253</v>
      </c>
      <c r="B314" s="31" t="s">
        <v>1254</v>
      </c>
      <c r="C314" s="26" t="s">
        <v>589</v>
      </c>
      <c r="D314" s="26" t="s">
        <v>635</v>
      </c>
      <c r="E314" s="28" t="s">
        <v>1255</v>
      </c>
      <c r="F314" s="29"/>
      <c r="G314" s="13"/>
      <c r="H314" s="10"/>
      <c r="I314" s="29"/>
      <c r="J314" s="7"/>
      <c r="K314" s="7"/>
      <c r="L314" s="7"/>
      <c r="M314" s="7"/>
      <c r="N314" s="7">
        <f t="shared" si="3"/>
        <v>0</v>
      </c>
      <c r="O314" s="7"/>
    </row>
    <row r="315">
      <c r="A315" s="26" t="s">
        <v>1256</v>
      </c>
      <c r="B315" s="26" t="s">
        <v>1257</v>
      </c>
      <c r="C315" s="26" t="s">
        <v>589</v>
      </c>
      <c r="D315" s="26" t="s">
        <v>635</v>
      </c>
      <c r="E315" s="28" t="s">
        <v>1258</v>
      </c>
      <c r="F315" s="30" t="s">
        <v>1259</v>
      </c>
      <c r="G315" s="13"/>
      <c r="H315" s="10"/>
      <c r="I315" s="29"/>
      <c r="J315" s="7"/>
      <c r="K315" s="7"/>
      <c r="L315" s="7"/>
      <c r="M315" s="7"/>
      <c r="N315" s="7">
        <f t="shared" si="3"/>
        <v>1</v>
      </c>
      <c r="O315" s="7"/>
    </row>
    <row r="316">
      <c r="A316" s="26" t="s">
        <v>1260</v>
      </c>
      <c r="B316" s="26" t="s">
        <v>1261</v>
      </c>
      <c r="C316" s="26" t="s">
        <v>589</v>
      </c>
      <c r="D316" s="27"/>
      <c r="E316" s="28" t="s">
        <v>1262</v>
      </c>
      <c r="F316" s="29"/>
      <c r="G316" s="13"/>
      <c r="H316" s="10"/>
      <c r="I316" s="29"/>
      <c r="J316" s="7"/>
      <c r="K316" s="7"/>
      <c r="L316" s="7"/>
      <c r="M316" s="7"/>
      <c r="N316" s="7">
        <f t="shared" si="3"/>
        <v>0</v>
      </c>
      <c r="O316" s="7"/>
    </row>
    <row r="317">
      <c r="A317" s="26" t="s">
        <v>1264</v>
      </c>
      <c r="B317" s="26" t="s">
        <v>1265</v>
      </c>
      <c r="C317" s="26" t="s">
        <v>589</v>
      </c>
      <c r="D317" s="27"/>
      <c r="E317" s="28" t="s">
        <v>1266</v>
      </c>
      <c r="F317" s="30" t="s">
        <v>1267</v>
      </c>
      <c r="G317" s="13"/>
      <c r="H317" s="10"/>
      <c r="I317" s="29"/>
      <c r="J317" s="7"/>
      <c r="K317" s="7"/>
      <c r="L317" s="7"/>
      <c r="M317" s="7"/>
      <c r="N317" s="7">
        <f t="shared" si="3"/>
        <v>1</v>
      </c>
      <c r="O317" s="7"/>
    </row>
    <row r="318">
      <c r="A318" s="26" t="s">
        <v>1268</v>
      </c>
      <c r="B318" s="26" t="s">
        <v>1269</v>
      </c>
      <c r="C318" s="26" t="s">
        <v>589</v>
      </c>
      <c r="D318" s="26" t="s">
        <v>635</v>
      </c>
      <c r="E318" s="33" t="s">
        <v>1638</v>
      </c>
      <c r="F318" s="30" t="s">
        <v>1271</v>
      </c>
      <c r="G318" s="13"/>
      <c r="H318" s="10"/>
      <c r="I318" s="30" t="s">
        <v>356</v>
      </c>
      <c r="J318" s="7"/>
      <c r="K318" s="7"/>
      <c r="L318" s="7"/>
      <c r="M318" s="7"/>
      <c r="N318" s="7">
        <f t="shared" si="3"/>
        <v>1</v>
      </c>
      <c r="O318" s="7"/>
    </row>
    <row r="319">
      <c r="A319" s="26" t="s">
        <v>1272</v>
      </c>
      <c r="B319" s="31" t="s">
        <v>1273</v>
      </c>
      <c r="C319" s="26" t="s">
        <v>589</v>
      </c>
      <c r="D319" s="27"/>
      <c r="E319" s="28" t="s">
        <v>1274</v>
      </c>
      <c r="F319" s="29"/>
      <c r="G319" s="13"/>
      <c r="H319" s="10"/>
      <c r="I319" s="29"/>
      <c r="J319" s="7"/>
      <c r="K319" s="7"/>
      <c r="L319" s="7"/>
      <c r="M319" s="7"/>
      <c r="N319" s="7">
        <f t="shared" si="3"/>
        <v>0</v>
      </c>
      <c r="O319" s="7"/>
    </row>
    <row r="320">
      <c r="A320" s="26" t="s">
        <v>1275</v>
      </c>
      <c r="B320" s="26" t="s">
        <v>1276</v>
      </c>
      <c r="C320" s="26" t="s">
        <v>589</v>
      </c>
      <c r="D320" s="27"/>
      <c r="E320" s="28" t="s">
        <v>1277</v>
      </c>
      <c r="F320" s="30" t="s">
        <v>1279</v>
      </c>
      <c r="G320" s="13"/>
      <c r="H320" s="10"/>
      <c r="I320" s="29"/>
      <c r="J320" s="7"/>
      <c r="K320" s="7"/>
      <c r="L320" s="7"/>
      <c r="M320" s="7"/>
      <c r="N320" s="7">
        <f t="shared" si="3"/>
        <v>1</v>
      </c>
      <c r="O320" s="7"/>
    </row>
    <row r="321">
      <c r="A321" s="26" t="s">
        <v>1280</v>
      </c>
      <c r="B321" s="26" t="s">
        <v>1281</v>
      </c>
      <c r="C321" s="26" t="s">
        <v>584</v>
      </c>
      <c r="D321" s="26" t="s">
        <v>635</v>
      </c>
      <c r="E321" s="28" t="s">
        <v>1282</v>
      </c>
      <c r="F321" s="29"/>
      <c r="G321" s="13"/>
      <c r="H321" s="10"/>
      <c r="I321" s="29"/>
      <c r="J321" s="7"/>
      <c r="K321" s="7"/>
      <c r="L321" s="7"/>
      <c r="M321" s="7"/>
      <c r="N321" s="7">
        <f t="shared" si="3"/>
        <v>0</v>
      </c>
      <c r="O321" s="7"/>
    </row>
    <row r="322">
      <c r="A322" s="26" t="s">
        <v>1283</v>
      </c>
      <c r="B322" s="26" t="s">
        <v>1284</v>
      </c>
      <c r="C322" s="26" t="s">
        <v>589</v>
      </c>
      <c r="D322" s="27"/>
      <c r="E322" s="28" t="s">
        <v>1285</v>
      </c>
      <c r="F322" s="29"/>
      <c r="G322" s="13"/>
      <c r="H322" s="10"/>
      <c r="I322" s="29"/>
      <c r="J322" s="7"/>
      <c r="K322" s="7"/>
      <c r="L322" s="7"/>
      <c r="M322" s="7"/>
      <c r="N322" s="7">
        <f t="shared" si="3"/>
        <v>0</v>
      </c>
      <c r="O322" s="7"/>
    </row>
    <row r="323">
      <c r="A323" s="26" t="s">
        <v>1286</v>
      </c>
      <c r="B323" s="26" t="s">
        <v>1287</v>
      </c>
      <c r="C323" s="26" t="s">
        <v>584</v>
      </c>
      <c r="D323" s="27"/>
      <c r="E323" s="33" t="s">
        <v>1672</v>
      </c>
      <c r="F323" s="29"/>
      <c r="G323" s="13"/>
      <c r="H323" s="10"/>
      <c r="I323" s="29"/>
      <c r="J323" s="7"/>
      <c r="K323" s="7"/>
      <c r="L323" s="7"/>
      <c r="M323" s="7"/>
      <c r="N323" s="7">
        <f t="shared" si="3"/>
        <v>0</v>
      </c>
      <c r="O323" s="7"/>
    </row>
    <row r="324">
      <c r="A324" s="31" t="s">
        <v>1678</v>
      </c>
      <c r="B324" s="26" t="s">
        <v>1290</v>
      </c>
      <c r="C324" s="26" t="s">
        <v>589</v>
      </c>
      <c r="D324" s="26" t="s">
        <v>1026</v>
      </c>
      <c r="E324" s="27"/>
      <c r="F324" s="30" t="s">
        <v>1291</v>
      </c>
      <c r="G324" s="13"/>
      <c r="H324" s="10"/>
      <c r="I324" s="29"/>
      <c r="J324" s="7"/>
      <c r="K324" s="7"/>
      <c r="L324" s="7"/>
      <c r="M324" s="7"/>
      <c r="N324" s="7">
        <f t="shared" si="3"/>
        <v>1</v>
      </c>
      <c r="O324" s="7"/>
    </row>
    <row r="325">
      <c r="A325" s="26" t="s">
        <v>1292</v>
      </c>
      <c r="B325" s="26" t="s">
        <v>1293</v>
      </c>
      <c r="C325" s="26" t="s">
        <v>589</v>
      </c>
      <c r="D325" s="27"/>
      <c r="E325" s="28" t="s">
        <v>1294</v>
      </c>
      <c r="F325" s="29"/>
      <c r="G325" s="13"/>
      <c r="H325" s="10"/>
      <c r="I325" s="29"/>
      <c r="J325" s="7"/>
      <c r="K325" s="7"/>
      <c r="L325" s="7"/>
      <c r="M325" s="7"/>
      <c r="N325" s="7">
        <f t="shared" si="3"/>
        <v>0</v>
      </c>
      <c r="O325" s="7"/>
    </row>
    <row r="326">
      <c r="A326" s="26" t="s">
        <v>1295</v>
      </c>
      <c r="B326" s="26" t="s">
        <v>1296</v>
      </c>
      <c r="C326" s="26" t="s">
        <v>589</v>
      </c>
      <c r="D326" s="27"/>
      <c r="E326" s="28" t="s">
        <v>1297</v>
      </c>
      <c r="F326" s="30" t="s">
        <v>1298</v>
      </c>
      <c r="G326" s="13"/>
      <c r="H326" s="10"/>
      <c r="I326" s="29"/>
      <c r="J326" s="7"/>
      <c r="K326" s="7"/>
      <c r="L326" s="7"/>
      <c r="M326" s="7"/>
      <c r="N326" s="7">
        <f t="shared" si="3"/>
        <v>1</v>
      </c>
      <c r="O326" s="7"/>
    </row>
    <row r="327">
      <c r="A327" s="26" t="s">
        <v>1299</v>
      </c>
      <c r="B327" s="26" t="s">
        <v>1300</v>
      </c>
      <c r="C327" s="26" t="s">
        <v>589</v>
      </c>
      <c r="D327" s="27"/>
      <c r="E327" s="28" t="s">
        <v>1301</v>
      </c>
      <c r="F327" s="29"/>
      <c r="G327" s="13"/>
      <c r="H327" s="10"/>
      <c r="I327" s="29"/>
      <c r="J327" s="7"/>
      <c r="K327" s="7"/>
      <c r="L327" s="7"/>
      <c r="M327" s="7"/>
      <c r="N327" s="7">
        <f t="shared" si="3"/>
        <v>0</v>
      </c>
      <c r="O327" s="7"/>
    </row>
    <row r="328">
      <c r="A328" s="26" t="s">
        <v>1302</v>
      </c>
      <c r="B328" s="26" t="s">
        <v>1303</v>
      </c>
      <c r="C328" s="26" t="s">
        <v>584</v>
      </c>
      <c r="D328" s="27"/>
      <c r="E328" s="28" t="s">
        <v>1304</v>
      </c>
      <c r="F328" s="29"/>
      <c r="G328" s="13"/>
      <c r="H328" s="10"/>
      <c r="I328" s="29"/>
      <c r="J328" s="7"/>
      <c r="K328" s="7"/>
      <c r="L328" s="7"/>
      <c r="M328" s="7"/>
      <c r="N328" s="7">
        <f t="shared" si="3"/>
        <v>0</v>
      </c>
      <c r="O328" s="7"/>
    </row>
    <row r="329">
      <c r="A329" s="31" t="s">
        <v>1305</v>
      </c>
      <c r="B329" s="26" t="s">
        <v>1058</v>
      </c>
      <c r="C329" s="26" t="s">
        <v>589</v>
      </c>
      <c r="D329" s="27"/>
      <c r="E329" s="28" t="s">
        <v>1306</v>
      </c>
      <c r="F329" s="30" t="s">
        <v>1307</v>
      </c>
      <c r="G329" s="13"/>
      <c r="H329" s="10"/>
      <c r="I329" s="29"/>
      <c r="J329" s="7"/>
      <c r="K329" s="7"/>
      <c r="L329" s="7"/>
      <c r="M329" s="7"/>
      <c r="N329" s="7">
        <f t="shared" si="3"/>
        <v>1</v>
      </c>
      <c r="O329" s="7"/>
    </row>
    <row r="330">
      <c r="A330" s="31" t="s">
        <v>1308</v>
      </c>
      <c r="B330" s="26" t="s">
        <v>1309</v>
      </c>
      <c r="C330" s="26" t="s">
        <v>589</v>
      </c>
      <c r="D330" s="27"/>
      <c r="E330" s="28" t="s">
        <v>1310</v>
      </c>
      <c r="F330" s="30" t="s">
        <v>1314</v>
      </c>
      <c r="G330" s="13"/>
      <c r="H330" s="10"/>
      <c r="I330" s="29"/>
      <c r="J330" s="7"/>
      <c r="K330" s="7"/>
      <c r="L330" s="7"/>
      <c r="M330" s="7"/>
      <c r="N330" s="7">
        <f t="shared" si="3"/>
        <v>1</v>
      </c>
      <c r="O330" s="7"/>
    </row>
    <row r="331">
      <c r="A331" s="31" t="s">
        <v>1311</v>
      </c>
      <c r="B331" s="26" t="s">
        <v>1312</v>
      </c>
      <c r="C331" s="26" t="s">
        <v>589</v>
      </c>
      <c r="D331" s="31" t="s">
        <v>598</v>
      </c>
      <c r="E331" s="28" t="s">
        <v>1313</v>
      </c>
      <c r="F331" s="30" t="s">
        <v>1314</v>
      </c>
      <c r="G331" s="13"/>
      <c r="H331" s="10"/>
      <c r="I331" s="29"/>
      <c r="J331" s="7"/>
      <c r="K331" s="7"/>
      <c r="L331" s="7"/>
      <c r="M331" s="7"/>
      <c r="N331" s="7">
        <f t="shared" si="3"/>
        <v>1</v>
      </c>
      <c r="O331" s="7"/>
    </row>
    <row r="332">
      <c r="A332" s="26" t="s">
        <v>1315</v>
      </c>
      <c r="B332" s="26" t="s">
        <v>1316</v>
      </c>
      <c r="C332" s="26" t="s">
        <v>589</v>
      </c>
      <c r="D332" s="26" t="s">
        <v>598</v>
      </c>
      <c r="E332" s="28" t="s">
        <v>1317</v>
      </c>
      <c r="F332" s="29"/>
      <c r="G332" s="13"/>
      <c r="H332" s="10"/>
      <c r="I332" s="29"/>
      <c r="J332" s="7"/>
      <c r="K332" s="7"/>
      <c r="L332" s="7"/>
      <c r="M332" s="7"/>
      <c r="N332" s="7">
        <f t="shared" si="3"/>
        <v>0</v>
      </c>
      <c r="O332" s="7"/>
    </row>
    <row r="333">
      <c r="A333" s="26" t="s">
        <v>1319</v>
      </c>
      <c r="B333" s="26" t="s">
        <v>1320</v>
      </c>
      <c r="C333" s="26" t="s">
        <v>589</v>
      </c>
      <c r="D333" s="27"/>
      <c r="E333" s="34" t="s">
        <v>1321</v>
      </c>
      <c r="F333" s="30" t="s">
        <v>1322</v>
      </c>
      <c r="G333" s="13"/>
      <c r="H333" s="10"/>
      <c r="I333" s="29"/>
      <c r="J333" s="7"/>
      <c r="K333" s="7"/>
      <c r="L333" s="7"/>
      <c r="M333" s="7"/>
      <c r="N333" s="7">
        <f t="shared" si="3"/>
        <v>1</v>
      </c>
      <c r="O333" s="7"/>
    </row>
    <row r="334">
      <c r="A334" s="26" t="s">
        <v>1323</v>
      </c>
      <c r="B334" s="26" t="s">
        <v>1324</v>
      </c>
      <c r="C334" s="26" t="s">
        <v>589</v>
      </c>
      <c r="D334" s="26" t="s">
        <v>598</v>
      </c>
      <c r="E334" s="28" t="s">
        <v>1325</v>
      </c>
      <c r="F334" s="29"/>
      <c r="G334" s="13"/>
      <c r="H334" s="10"/>
      <c r="I334" s="29"/>
      <c r="J334" s="7"/>
      <c r="K334" s="7"/>
      <c r="L334" s="7"/>
      <c r="M334" s="7"/>
      <c r="N334" s="7">
        <f t="shared" si="3"/>
        <v>0</v>
      </c>
      <c r="O334" s="7"/>
    </row>
    <row r="335">
      <c r="A335" s="26" t="s">
        <v>1326</v>
      </c>
      <c r="B335" s="26" t="s">
        <v>1327</v>
      </c>
      <c r="C335" s="26" t="s">
        <v>589</v>
      </c>
      <c r="D335" s="27"/>
      <c r="E335" s="28" t="s">
        <v>1328</v>
      </c>
      <c r="F335" s="30" t="s">
        <v>1329</v>
      </c>
      <c r="G335" s="13"/>
      <c r="H335" s="10"/>
      <c r="I335" s="29"/>
      <c r="J335" s="7"/>
      <c r="K335" s="7"/>
      <c r="L335" s="7"/>
      <c r="M335" s="7"/>
      <c r="N335" s="7">
        <f t="shared" si="3"/>
        <v>1</v>
      </c>
      <c r="O335" s="7"/>
    </row>
    <row r="336">
      <c r="A336" s="26" t="s">
        <v>1330</v>
      </c>
      <c r="B336" s="26" t="s">
        <v>1331</v>
      </c>
      <c r="C336" s="26" t="s">
        <v>589</v>
      </c>
      <c r="D336" s="27"/>
      <c r="E336" s="32" t="s">
        <v>1332</v>
      </c>
      <c r="F336" s="30" t="s">
        <v>1333</v>
      </c>
      <c r="G336" s="13"/>
      <c r="H336" s="10"/>
      <c r="I336" s="30" t="s">
        <v>260</v>
      </c>
      <c r="J336" s="7"/>
      <c r="K336" s="7"/>
      <c r="L336" s="7"/>
      <c r="M336" s="7"/>
      <c r="N336" s="7">
        <f t="shared" si="3"/>
        <v>1</v>
      </c>
      <c r="O336" s="7"/>
    </row>
    <row r="337">
      <c r="A337" s="31" t="s">
        <v>1334</v>
      </c>
      <c r="B337" s="31" t="s">
        <v>568</v>
      </c>
      <c r="C337" s="31" t="s">
        <v>589</v>
      </c>
      <c r="D337" s="27"/>
      <c r="E337" s="32"/>
      <c r="F337" s="30" t="s">
        <v>1336</v>
      </c>
      <c r="G337" s="13"/>
      <c r="H337" s="10"/>
      <c r="I337" s="30"/>
      <c r="J337" s="7"/>
      <c r="K337" s="7"/>
      <c r="L337" s="7"/>
      <c r="M337" s="7"/>
      <c r="N337" s="7"/>
      <c r="O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f>SUM(N141:N336)</f>
        <v>117</v>
      </c>
      <c r="P339" s="7"/>
      <c r="Q339" s="7"/>
      <c r="R339" s="7"/>
      <c r="S339" s="7"/>
      <c r="T339" s="7"/>
      <c r="U339" s="7"/>
      <c r="V339" s="7"/>
      <c r="W339" s="7"/>
      <c r="X339" s="7"/>
      <c r="Y339" s="7"/>
      <c r="Z339" s="7"/>
    </row>
    <row r="340">
      <c r="A340" s="25" t="s">
        <v>1338</v>
      </c>
      <c r="B340" s="25" t="s">
        <v>577</v>
      </c>
      <c r="C340" s="25" t="s">
        <v>578</v>
      </c>
      <c r="D340" s="25" t="s">
        <v>1339</v>
      </c>
      <c r="E340" s="36" t="s">
        <v>1340</v>
      </c>
      <c r="F340" s="25" t="s">
        <v>1341</v>
      </c>
      <c r="G340" s="25" t="s">
        <v>581</v>
      </c>
      <c r="H340" s="25"/>
      <c r="I340" s="36" t="s">
        <v>4</v>
      </c>
      <c r="J340" s="7"/>
      <c r="K340" s="7"/>
      <c r="L340" s="7"/>
      <c r="M340" s="7"/>
      <c r="N340" s="7"/>
      <c r="O340" s="7"/>
    </row>
    <row r="341">
      <c r="A341" s="26" t="s">
        <v>1342</v>
      </c>
      <c r="B341" s="26" t="s">
        <v>1343</v>
      </c>
      <c r="C341" s="26" t="s">
        <v>584</v>
      </c>
      <c r="D341" s="33" t="s">
        <v>1720</v>
      </c>
      <c r="E341" s="37" t="s">
        <v>584</v>
      </c>
      <c r="F341" s="37">
        <v>1.0</v>
      </c>
      <c r="G341" s="30" t="s">
        <v>1345</v>
      </c>
      <c r="H341" s="38"/>
      <c r="I341" s="17" t="s">
        <v>445</v>
      </c>
      <c r="J341" s="7"/>
      <c r="K341" s="7"/>
      <c r="L341" s="7"/>
      <c r="M341" s="7"/>
      <c r="N341" s="7">
        <f t="shared" ref="N341:N357" si="4"> IF(ISBLANK(G341), 0, 1)</f>
        <v>1</v>
      </c>
      <c r="O341" s="7"/>
    </row>
    <row r="342">
      <c r="A342" s="26" t="s">
        <v>1346</v>
      </c>
      <c r="B342" s="26" t="s">
        <v>1347</v>
      </c>
      <c r="C342" s="26" t="s">
        <v>584</v>
      </c>
      <c r="D342" s="33" t="s">
        <v>1721</v>
      </c>
      <c r="E342" s="37" t="s">
        <v>584</v>
      </c>
      <c r="F342" s="37">
        <v>1.0</v>
      </c>
      <c r="G342" s="30" t="s">
        <v>1350</v>
      </c>
      <c r="H342" s="38"/>
      <c r="I342" s="37"/>
      <c r="J342" s="7"/>
      <c r="K342" s="7"/>
      <c r="L342" s="7"/>
      <c r="M342" s="7"/>
      <c r="N342" s="7">
        <f t="shared" si="4"/>
        <v>1</v>
      </c>
      <c r="O342" s="7"/>
    </row>
    <row r="343">
      <c r="A343" s="26" t="s">
        <v>1351</v>
      </c>
      <c r="B343" s="26" t="s">
        <v>1352</v>
      </c>
      <c r="C343" s="26" t="s">
        <v>584</v>
      </c>
      <c r="D343" s="33" t="s">
        <v>1722</v>
      </c>
      <c r="E343" s="37" t="s">
        <v>584</v>
      </c>
      <c r="F343" s="37">
        <v>1.0</v>
      </c>
      <c r="G343" s="30" t="s">
        <v>1354</v>
      </c>
      <c r="H343" s="38"/>
      <c r="I343" s="37"/>
      <c r="J343" s="7"/>
      <c r="K343" s="7"/>
      <c r="L343" s="7"/>
      <c r="M343" s="7"/>
      <c r="N343" s="7">
        <f t="shared" si="4"/>
        <v>1</v>
      </c>
      <c r="O343" s="7"/>
    </row>
    <row r="344">
      <c r="A344" s="26" t="s">
        <v>1355</v>
      </c>
      <c r="B344" s="26" t="s">
        <v>1356</v>
      </c>
      <c r="C344" s="26" t="s">
        <v>584</v>
      </c>
      <c r="D344" s="28" t="s">
        <v>1357</v>
      </c>
      <c r="E344" s="37" t="s">
        <v>584</v>
      </c>
      <c r="F344" s="37">
        <v>1.0</v>
      </c>
      <c r="G344" s="30" t="s">
        <v>1359</v>
      </c>
      <c r="H344" s="38"/>
      <c r="I344" s="37"/>
      <c r="J344" s="7"/>
      <c r="K344" s="7"/>
      <c r="L344" s="7"/>
      <c r="M344" s="7"/>
      <c r="N344" s="7">
        <f t="shared" si="4"/>
        <v>1</v>
      </c>
      <c r="O344" s="7"/>
    </row>
    <row r="345">
      <c r="A345" s="26" t="s">
        <v>1360</v>
      </c>
      <c r="B345" s="26" t="s">
        <v>1361</v>
      </c>
      <c r="C345" s="26" t="s">
        <v>584</v>
      </c>
      <c r="D345" s="33" t="s">
        <v>1723</v>
      </c>
      <c r="E345" s="37" t="s">
        <v>589</v>
      </c>
      <c r="F345" s="37">
        <v>2.0</v>
      </c>
      <c r="G345" s="30" t="s">
        <v>1363</v>
      </c>
      <c r="H345" s="38"/>
      <c r="I345" s="37" t="s">
        <v>344</v>
      </c>
      <c r="J345" s="7"/>
      <c r="K345" s="7"/>
      <c r="L345" s="7"/>
      <c r="M345" s="7"/>
      <c r="N345" s="7">
        <f t="shared" si="4"/>
        <v>1</v>
      </c>
      <c r="O345" s="7"/>
    </row>
    <row r="346">
      <c r="A346" s="26" t="s">
        <v>1364</v>
      </c>
      <c r="B346" s="26" t="s">
        <v>1365</v>
      </c>
      <c r="C346" s="26" t="s">
        <v>589</v>
      </c>
      <c r="D346" s="28" t="s">
        <v>1366</v>
      </c>
      <c r="E346" s="37" t="s">
        <v>589</v>
      </c>
      <c r="F346" s="37">
        <v>3.0</v>
      </c>
      <c r="G346" s="30" t="s">
        <v>1367</v>
      </c>
      <c r="H346" s="38"/>
      <c r="I346" s="37" t="s">
        <v>403</v>
      </c>
      <c r="J346" s="7"/>
      <c r="K346" s="7"/>
      <c r="L346" s="7"/>
      <c r="M346" s="7"/>
      <c r="N346" s="7">
        <f t="shared" si="4"/>
        <v>1</v>
      </c>
      <c r="O346" s="7"/>
    </row>
    <row r="347">
      <c r="A347" s="31" t="s">
        <v>1368</v>
      </c>
      <c r="B347" s="31" t="s">
        <v>1369</v>
      </c>
      <c r="C347" s="31" t="s">
        <v>589</v>
      </c>
      <c r="D347" s="31" t="s">
        <v>595</v>
      </c>
      <c r="E347" s="37" t="s">
        <v>589</v>
      </c>
      <c r="F347" s="37">
        <v>3.0</v>
      </c>
      <c r="G347" s="30" t="s">
        <v>1370</v>
      </c>
      <c r="H347" s="38"/>
      <c r="I347" s="37" t="s">
        <v>247</v>
      </c>
      <c r="J347" s="7"/>
      <c r="K347" s="7"/>
      <c r="L347" s="7"/>
      <c r="M347" s="7"/>
      <c r="N347" s="7">
        <f t="shared" si="4"/>
        <v>1</v>
      </c>
      <c r="O347" s="7"/>
    </row>
    <row r="348">
      <c r="A348" s="26" t="s">
        <v>1371</v>
      </c>
      <c r="B348" s="26" t="s">
        <v>1372</v>
      </c>
      <c r="C348" s="26" t="s">
        <v>589</v>
      </c>
      <c r="D348" s="28" t="s">
        <v>1373</v>
      </c>
      <c r="E348" s="37" t="s">
        <v>589</v>
      </c>
      <c r="F348" s="37">
        <v>2.0</v>
      </c>
      <c r="G348" s="30" t="s">
        <v>1374</v>
      </c>
      <c r="H348" s="38"/>
      <c r="I348" s="37" t="s">
        <v>461</v>
      </c>
      <c r="J348" s="7"/>
      <c r="K348" s="7"/>
      <c r="L348" s="7"/>
      <c r="M348" s="7"/>
      <c r="N348" s="7">
        <f t="shared" si="4"/>
        <v>1</v>
      </c>
      <c r="O348" s="7"/>
    </row>
    <row r="349">
      <c r="A349" s="26" t="s">
        <v>1375</v>
      </c>
      <c r="B349" s="26" t="s">
        <v>1376</v>
      </c>
      <c r="C349" s="26" t="s">
        <v>584</v>
      </c>
      <c r="D349" s="33" t="s">
        <v>1727</v>
      </c>
      <c r="E349" s="37" t="s">
        <v>589</v>
      </c>
      <c r="F349" s="37">
        <v>3.0</v>
      </c>
      <c r="G349" s="30" t="s">
        <v>1379</v>
      </c>
      <c r="H349" s="38"/>
      <c r="I349" s="37" t="s">
        <v>520</v>
      </c>
      <c r="J349" s="7"/>
      <c r="K349" s="7"/>
      <c r="L349" s="7"/>
      <c r="M349" s="7"/>
      <c r="N349" s="7">
        <f t="shared" si="4"/>
        <v>1</v>
      </c>
      <c r="O349" s="7"/>
    </row>
    <row r="350">
      <c r="A350" s="26" t="s">
        <v>1380</v>
      </c>
      <c r="B350" s="26" t="s">
        <v>1381</v>
      </c>
      <c r="C350" s="26" t="s">
        <v>584</v>
      </c>
      <c r="D350" s="28" t="s">
        <v>1382</v>
      </c>
      <c r="E350" s="37" t="s">
        <v>589</v>
      </c>
      <c r="F350" s="37">
        <v>3.0</v>
      </c>
      <c r="G350" s="30" t="s">
        <v>1383</v>
      </c>
      <c r="H350" s="38"/>
      <c r="I350" s="37" t="s">
        <v>290</v>
      </c>
      <c r="J350" s="7"/>
      <c r="K350" s="7"/>
      <c r="L350" s="7"/>
      <c r="M350" s="7"/>
      <c r="N350" s="7">
        <f t="shared" si="4"/>
        <v>1</v>
      </c>
      <c r="O350" s="7"/>
    </row>
    <row r="351">
      <c r="A351" s="26" t="s">
        <v>1384</v>
      </c>
      <c r="B351" s="26" t="s">
        <v>1385</v>
      </c>
      <c r="C351" s="26" t="s">
        <v>584</v>
      </c>
      <c r="D351" s="28" t="s">
        <v>1386</v>
      </c>
      <c r="E351" s="37" t="s">
        <v>589</v>
      </c>
      <c r="F351" s="37">
        <v>2.0</v>
      </c>
      <c r="G351" s="30" t="s">
        <v>1387</v>
      </c>
      <c r="H351" s="38"/>
      <c r="I351" s="37"/>
      <c r="J351" s="7"/>
      <c r="K351" s="7"/>
      <c r="L351" s="7"/>
      <c r="M351" s="7"/>
      <c r="N351" s="7">
        <f t="shared" si="4"/>
        <v>1</v>
      </c>
      <c r="O351" s="7"/>
    </row>
    <row r="352">
      <c r="A352" s="26" t="s">
        <v>1388</v>
      </c>
      <c r="B352" s="26" t="s">
        <v>1389</v>
      </c>
      <c r="C352" s="26" t="s">
        <v>584</v>
      </c>
      <c r="D352" s="33" t="s">
        <v>1729</v>
      </c>
      <c r="E352" s="37" t="s">
        <v>589</v>
      </c>
      <c r="F352" s="37">
        <v>2.0</v>
      </c>
      <c r="G352" s="30" t="s">
        <v>1391</v>
      </c>
      <c r="H352" s="38"/>
      <c r="I352" s="37" t="s">
        <v>374</v>
      </c>
      <c r="J352" s="7"/>
      <c r="K352" s="7"/>
      <c r="L352" s="7"/>
      <c r="M352" s="7"/>
      <c r="N352" s="7">
        <f t="shared" si="4"/>
        <v>1</v>
      </c>
      <c r="O352" s="7"/>
    </row>
    <row r="353">
      <c r="A353" s="26" t="s">
        <v>1392</v>
      </c>
      <c r="B353" s="26" t="s">
        <v>1393</v>
      </c>
      <c r="C353" s="26" t="s">
        <v>584</v>
      </c>
      <c r="D353" s="33" t="s">
        <v>1730</v>
      </c>
      <c r="E353" s="37" t="s">
        <v>589</v>
      </c>
      <c r="F353" s="37">
        <v>2.0</v>
      </c>
      <c r="G353" s="30" t="s">
        <v>1395</v>
      </c>
      <c r="H353" s="38"/>
      <c r="I353" s="37"/>
      <c r="J353" s="7"/>
      <c r="K353" s="7"/>
      <c r="L353" s="7"/>
      <c r="M353" s="7"/>
      <c r="N353" s="7">
        <f t="shared" si="4"/>
        <v>1</v>
      </c>
      <c r="O353" s="7"/>
    </row>
    <row r="354">
      <c r="A354" s="26" t="s">
        <v>1396</v>
      </c>
      <c r="B354" s="26" t="s">
        <v>1397</v>
      </c>
      <c r="C354" s="26" t="s">
        <v>589</v>
      </c>
      <c r="D354" s="28" t="s">
        <v>1088</v>
      </c>
      <c r="E354" s="37" t="s">
        <v>589</v>
      </c>
      <c r="F354" s="37">
        <v>3.0</v>
      </c>
      <c r="G354" s="30" t="s">
        <v>1398</v>
      </c>
      <c r="H354" s="38"/>
      <c r="I354" s="37" t="s">
        <v>235</v>
      </c>
      <c r="J354" s="7"/>
      <c r="K354" s="7"/>
      <c r="L354" s="7"/>
      <c r="M354" s="7"/>
      <c r="N354" s="7">
        <f t="shared" si="4"/>
        <v>1</v>
      </c>
      <c r="O354" s="7"/>
    </row>
    <row r="355">
      <c r="A355" s="26" t="s">
        <v>1399</v>
      </c>
      <c r="B355" s="26" t="s">
        <v>1397</v>
      </c>
      <c r="C355" s="26" t="s">
        <v>589</v>
      </c>
      <c r="D355" s="28" t="s">
        <v>1088</v>
      </c>
      <c r="E355" s="37" t="s">
        <v>589</v>
      </c>
      <c r="F355" s="37">
        <v>3.0</v>
      </c>
      <c r="G355" s="30" t="s">
        <v>1732</v>
      </c>
      <c r="H355" s="38"/>
      <c r="I355" s="37" t="s">
        <v>391</v>
      </c>
      <c r="J355" s="7"/>
      <c r="K355" s="7"/>
      <c r="L355" s="7"/>
      <c r="M355" s="7"/>
      <c r="N355" s="7">
        <f t="shared" si="4"/>
        <v>1</v>
      </c>
      <c r="O355" s="7"/>
    </row>
    <row r="356">
      <c r="A356" s="37" t="s">
        <v>1401</v>
      </c>
      <c r="B356" s="37" t="s">
        <v>1402</v>
      </c>
      <c r="C356" s="37" t="s">
        <v>584</v>
      </c>
      <c r="D356" s="37" t="s">
        <v>595</v>
      </c>
      <c r="E356" s="37" t="s">
        <v>589</v>
      </c>
      <c r="F356" s="37">
        <v>4.0</v>
      </c>
      <c r="G356" s="30" t="s">
        <v>1403</v>
      </c>
      <c r="H356" s="38"/>
      <c r="I356" s="37" t="s">
        <v>1404</v>
      </c>
      <c r="J356" s="7"/>
      <c r="K356" s="7"/>
      <c r="L356" s="7"/>
      <c r="M356" s="7"/>
      <c r="N356" s="7">
        <f t="shared" si="4"/>
        <v>1</v>
      </c>
      <c r="O356" s="7"/>
    </row>
    <row r="357">
      <c r="A357" s="37" t="s">
        <v>1405</v>
      </c>
      <c r="B357" s="37" t="s">
        <v>1406</v>
      </c>
      <c r="C357" s="37" t="s">
        <v>589</v>
      </c>
      <c r="D357" s="37" t="s">
        <v>1407</v>
      </c>
      <c r="E357" s="37" t="s">
        <v>589</v>
      </c>
      <c r="F357" s="37">
        <v>3.0</v>
      </c>
      <c r="G357" s="30" t="s">
        <v>1733</v>
      </c>
      <c r="H357" s="38"/>
      <c r="I357" s="37" t="s">
        <v>280</v>
      </c>
      <c r="J357" s="7"/>
      <c r="K357" s="7"/>
      <c r="L357" s="7"/>
      <c r="M357" s="7"/>
      <c r="N357" s="7">
        <f t="shared" si="4"/>
        <v>1</v>
      </c>
      <c r="O357" s="7"/>
    </row>
    <row r="358">
      <c r="A358" s="7"/>
      <c r="B358" s="7"/>
      <c r="C358" s="7"/>
      <c r="D358" s="7"/>
      <c r="E358" s="7"/>
      <c r="F358" s="7"/>
      <c r="G358" s="7"/>
      <c r="H358" s="7"/>
      <c r="I358" s="7"/>
      <c r="J358" s="7"/>
      <c r="K358" s="7"/>
      <c r="L358" s="7"/>
      <c r="M358" s="7"/>
      <c r="N358" s="7"/>
      <c r="O358" s="7"/>
      <c r="P358" s="7"/>
      <c r="Q358" s="7"/>
      <c r="R358" s="7"/>
      <c r="S358" s="7"/>
      <c r="T358" s="7"/>
      <c r="U358" s="7"/>
    </row>
    <row r="359">
      <c r="A359" s="25" t="s">
        <v>1338</v>
      </c>
      <c r="B359" s="25" t="s">
        <v>581</v>
      </c>
      <c r="C359" s="7"/>
      <c r="D359" s="7"/>
      <c r="E359" s="7"/>
      <c r="F359" s="7"/>
      <c r="G359" s="7"/>
      <c r="H359" s="7">
        <f>SUM(N341:N357)</f>
        <v>17</v>
      </c>
      <c r="I359" s="7"/>
      <c r="J359" s="7"/>
      <c r="K359" s="7"/>
      <c r="L359" s="7"/>
      <c r="M359" s="7"/>
      <c r="N359" s="7"/>
      <c r="O359" s="7"/>
      <c r="P359" s="7"/>
      <c r="Q359" s="7"/>
      <c r="R359" s="7"/>
      <c r="S359" s="7"/>
    </row>
    <row r="360">
      <c r="A360" s="31" t="s">
        <v>1410</v>
      </c>
      <c r="B360" s="30" t="s">
        <v>1411</v>
      </c>
      <c r="C360" s="7"/>
      <c r="D360" s="7"/>
      <c r="E360" s="7"/>
      <c r="F360" s="7"/>
      <c r="G360" s="7"/>
      <c r="H360" s="7"/>
      <c r="I360" s="7"/>
      <c r="J360" s="7"/>
      <c r="K360" s="7"/>
      <c r="L360" s="7"/>
      <c r="M360" s="7"/>
      <c r="N360" s="7">
        <f t="shared" ref="N360:N378" si="5"> IF(ISBLANK(B360), 0, 1)</f>
        <v>1</v>
      </c>
      <c r="O360" s="7"/>
      <c r="P360" s="7"/>
      <c r="Q360" s="7"/>
      <c r="R360" s="7"/>
      <c r="S360" s="7"/>
    </row>
    <row r="361">
      <c r="A361" s="31" t="s">
        <v>1412</v>
      </c>
      <c r="B361" s="30" t="s">
        <v>1413</v>
      </c>
      <c r="C361" s="7"/>
      <c r="D361" s="7"/>
      <c r="E361" s="7"/>
      <c r="F361" s="7"/>
      <c r="G361" s="7"/>
      <c r="H361" s="7"/>
      <c r="I361" s="7"/>
      <c r="J361" s="7"/>
      <c r="K361" s="7"/>
      <c r="L361" s="7"/>
      <c r="M361" s="7"/>
      <c r="N361" s="7">
        <f t="shared" si="5"/>
        <v>1</v>
      </c>
      <c r="O361" s="7"/>
      <c r="P361" s="7"/>
      <c r="Q361" s="7"/>
      <c r="R361" s="7"/>
      <c r="S361" s="7"/>
    </row>
    <row r="362">
      <c r="A362" s="31" t="s">
        <v>1414</v>
      </c>
      <c r="B362" s="30" t="s">
        <v>1415</v>
      </c>
      <c r="C362" s="7"/>
      <c r="D362" s="7"/>
      <c r="E362" s="7"/>
      <c r="F362" s="7"/>
      <c r="G362" s="7"/>
      <c r="H362" s="7"/>
      <c r="I362" s="7"/>
      <c r="J362" s="7"/>
      <c r="K362" s="7"/>
      <c r="L362" s="7"/>
      <c r="M362" s="7"/>
      <c r="N362" s="7">
        <f t="shared" si="5"/>
        <v>1</v>
      </c>
      <c r="O362" s="7"/>
      <c r="P362" s="7"/>
      <c r="Q362" s="7"/>
      <c r="R362" s="7"/>
      <c r="S362" s="7"/>
    </row>
    <row r="363">
      <c r="A363" s="31" t="s">
        <v>1416</v>
      </c>
      <c r="B363" s="30" t="s">
        <v>1417</v>
      </c>
      <c r="C363" s="7"/>
      <c r="D363" s="7"/>
      <c r="E363" s="7"/>
      <c r="F363" s="7"/>
      <c r="G363" s="7"/>
      <c r="H363" s="7"/>
      <c r="I363" s="7"/>
      <c r="J363" s="7"/>
      <c r="K363" s="7"/>
      <c r="L363" s="7"/>
      <c r="M363" s="7"/>
      <c r="N363" s="7">
        <f t="shared" si="5"/>
        <v>1</v>
      </c>
      <c r="O363" s="7"/>
      <c r="P363" s="7"/>
      <c r="Q363" s="7"/>
      <c r="R363" s="7"/>
      <c r="S363" s="7"/>
    </row>
    <row r="364">
      <c r="A364" s="31" t="s">
        <v>1418</v>
      </c>
      <c r="B364" s="30" t="s">
        <v>1419</v>
      </c>
      <c r="C364" s="7"/>
      <c r="D364" s="7"/>
      <c r="E364" s="7"/>
      <c r="F364" s="7"/>
      <c r="G364" s="7"/>
      <c r="H364" s="7"/>
      <c r="I364" s="7"/>
      <c r="J364" s="7"/>
      <c r="K364" s="7"/>
      <c r="L364" s="7"/>
      <c r="M364" s="7"/>
      <c r="N364" s="7">
        <f t="shared" si="5"/>
        <v>1</v>
      </c>
      <c r="O364" s="7"/>
      <c r="P364" s="7"/>
      <c r="Q364" s="7"/>
      <c r="R364" s="7"/>
      <c r="S364" s="7"/>
    </row>
    <row r="365">
      <c r="A365" s="31" t="s">
        <v>1420</v>
      </c>
      <c r="B365" s="30" t="s">
        <v>1421</v>
      </c>
      <c r="C365" s="7"/>
      <c r="D365" s="7"/>
      <c r="E365" s="7"/>
      <c r="F365" s="7"/>
      <c r="G365" s="7"/>
      <c r="H365" s="7"/>
      <c r="I365" s="7"/>
      <c r="J365" s="7"/>
      <c r="K365" s="7"/>
      <c r="L365" s="7"/>
      <c r="M365" s="7"/>
      <c r="N365" s="7">
        <f t="shared" si="5"/>
        <v>1</v>
      </c>
      <c r="O365" s="7"/>
      <c r="P365" s="7"/>
      <c r="Q365" s="7"/>
      <c r="R365" s="7"/>
      <c r="S365" s="7"/>
    </row>
    <row r="366">
      <c r="A366" s="31" t="s">
        <v>1422</v>
      </c>
      <c r="B366" s="30" t="s">
        <v>884</v>
      </c>
      <c r="C366" s="7"/>
      <c r="D366" s="7"/>
      <c r="E366" s="7"/>
      <c r="F366" s="7"/>
      <c r="G366" s="7"/>
      <c r="H366" s="7"/>
      <c r="I366" s="7"/>
      <c r="J366" s="7"/>
      <c r="K366" s="7"/>
      <c r="L366" s="7"/>
      <c r="M366" s="7"/>
      <c r="N366" s="7">
        <f t="shared" si="5"/>
        <v>1</v>
      </c>
      <c r="O366" s="7"/>
      <c r="P366" s="7"/>
      <c r="Q366" s="7"/>
      <c r="R366" s="7"/>
      <c r="S366" s="7"/>
    </row>
    <row r="367">
      <c r="A367" s="31" t="s">
        <v>1424</v>
      </c>
      <c r="B367" s="30" t="s">
        <v>1425</v>
      </c>
      <c r="C367" s="7"/>
      <c r="D367" s="7"/>
      <c r="E367" s="7"/>
      <c r="F367" s="7"/>
      <c r="G367" s="7"/>
      <c r="H367" s="7"/>
      <c r="I367" s="7"/>
      <c r="J367" s="7"/>
      <c r="K367" s="7"/>
      <c r="L367" s="7"/>
      <c r="M367" s="7"/>
      <c r="N367" s="7">
        <f t="shared" si="5"/>
        <v>1</v>
      </c>
      <c r="O367" s="7"/>
      <c r="P367" s="7"/>
      <c r="Q367" s="7"/>
      <c r="R367" s="7"/>
      <c r="S367" s="7"/>
    </row>
    <row r="368">
      <c r="A368" s="31" t="s">
        <v>1426</v>
      </c>
      <c r="B368" s="30" t="s">
        <v>1427</v>
      </c>
      <c r="C368" s="7"/>
      <c r="D368" s="7"/>
      <c r="E368" s="7"/>
      <c r="F368" s="7"/>
      <c r="G368" s="7"/>
      <c r="H368" s="7"/>
      <c r="I368" s="7"/>
      <c r="J368" s="7"/>
      <c r="K368" s="7"/>
      <c r="L368" s="7"/>
      <c r="M368" s="7"/>
      <c r="N368" s="7">
        <f t="shared" si="5"/>
        <v>1</v>
      </c>
      <c r="O368" s="7"/>
      <c r="P368" s="7"/>
      <c r="Q368" s="7"/>
      <c r="R368" s="7"/>
      <c r="S368" s="7"/>
    </row>
    <row r="369">
      <c r="A369" s="31" t="s">
        <v>1428</v>
      </c>
      <c r="B369" s="30" t="s">
        <v>1345</v>
      </c>
      <c r="C369" s="7"/>
      <c r="D369" s="7"/>
      <c r="E369" s="7"/>
      <c r="F369" s="7"/>
      <c r="G369" s="7"/>
      <c r="H369" s="7"/>
      <c r="I369" s="7"/>
      <c r="J369" s="7"/>
      <c r="K369" s="7"/>
      <c r="L369" s="7"/>
      <c r="M369" s="7"/>
      <c r="N369" s="7">
        <f t="shared" si="5"/>
        <v>1</v>
      </c>
      <c r="O369" s="7"/>
      <c r="P369" s="7"/>
      <c r="Q369" s="7"/>
      <c r="R369" s="7"/>
      <c r="S369" s="7"/>
    </row>
    <row r="370">
      <c r="A370" s="31" t="s">
        <v>1429</v>
      </c>
      <c r="B370" s="30" t="s">
        <v>1430</v>
      </c>
      <c r="C370" s="7"/>
      <c r="D370" s="7"/>
      <c r="E370" s="7"/>
      <c r="F370" s="7"/>
      <c r="G370" s="7"/>
      <c r="H370" s="7"/>
      <c r="I370" s="7"/>
      <c r="J370" s="7"/>
      <c r="K370" s="7"/>
      <c r="L370" s="7"/>
      <c r="M370" s="7"/>
      <c r="N370" s="7">
        <f t="shared" si="5"/>
        <v>1</v>
      </c>
      <c r="O370" s="7"/>
      <c r="P370" s="7"/>
      <c r="Q370" s="7"/>
      <c r="R370" s="7"/>
      <c r="S370" s="7"/>
    </row>
    <row r="371">
      <c r="A371" s="31" t="s">
        <v>1431</v>
      </c>
      <c r="B371" s="30" t="s">
        <v>253</v>
      </c>
      <c r="C371" s="7"/>
      <c r="D371" s="7"/>
      <c r="E371" s="7"/>
      <c r="F371" s="7"/>
      <c r="G371" s="7"/>
      <c r="H371" s="7"/>
      <c r="I371" s="7"/>
      <c r="J371" s="7"/>
      <c r="K371" s="7"/>
      <c r="L371" s="7"/>
      <c r="M371" s="7"/>
      <c r="N371" s="7">
        <f t="shared" si="5"/>
        <v>1</v>
      </c>
      <c r="O371" s="7"/>
      <c r="P371" s="7"/>
      <c r="Q371" s="7"/>
      <c r="R371" s="7"/>
      <c r="S371" s="7"/>
    </row>
    <row r="372">
      <c r="A372" s="31" t="s">
        <v>1432</v>
      </c>
      <c r="B372" s="30" t="s">
        <v>1433</v>
      </c>
      <c r="C372" s="7"/>
      <c r="D372" s="7"/>
      <c r="E372" s="7"/>
      <c r="F372" s="7"/>
      <c r="G372" s="7"/>
      <c r="H372" s="7"/>
      <c r="I372" s="7"/>
      <c r="J372" s="7"/>
      <c r="K372" s="7"/>
      <c r="L372" s="7"/>
      <c r="M372" s="7"/>
      <c r="N372" s="7">
        <f t="shared" si="5"/>
        <v>1</v>
      </c>
      <c r="O372" s="7"/>
      <c r="P372" s="7"/>
      <c r="Q372" s="7"/>
      <c r="R372" s="7"/>
      <c r="S372" s="7"/>
    </row>
    <row r="373">
      <c r="A373" s="31" t="s">
        <v>1434</v>
      </c>
      <c r="B373" s="30" t="s">
        <v>1435</v>
      </c>
      <c r="C373" s="7"/>
      <c r="D373" s="7"/>
      <c r="E373" s="7"/>
      <c r="F373" s="7"/>
      <c r="G373" s="7"/>
      <c r="H373" s="7"/>
      <c r="I373" s="7"/>
      <c r="J373" s="7"/>
      <c r="K373" s="7"/>
      <c r="L373" s="7"/>
      <c r="M373" s="7"/>
      <c r="N373" s="7">
        <f t="shared" si="5"/>
        <v>1</v>
      </c>
      <c r="O373" s="7"/>
      <c r="P373" s="7"/>
      <c r="Q373" s="7"/>
      <c r="R373" s="7"/>
      <c r="S373" s="7"/>
    </row>
    <row r="374">
      <c r="A374" s="26" t="s">
        <v>1399</v>
      </c>
      <c r="B374" s="30" t="s">
        <v>1400</v>
      </c>
      <c r="C374" s="7"/>
      <c r="D374" s="7"/>
      <c r="E374" s="7"/>
      <c r="F374" s="7"/>
      <c r="G374" s="7"/>
      <c r="H374" s="7"/>
      <c r="I374" s="7"/>
      <c r="J374" s="7"/>
      <c r="K374" s="7"/>
      <c r="L374" s="7"/>
      <c r="M374" s="7"/>
      <c r="N374" s="7">
        <f t="shared" si="5"/>
        <v>1</v>
      </c>
      <c r="O374" s="7"/>
      <c r="P374" s="7"/>
      <c r="Q374" s="7"/>
      <c r="R374" s="7"/>
      <c r="S374" s="7"/>
    </row>
    <row r="375">
      <c r="A375" s="31" t="s">
        <v>1436</v>
      </c>
      <c r="B375" s="30" t="s">
        <v>1437</v>
      </c>
      <c r="C375" s="7"/>
      <c r="D375" s="7"/>
      <c r="E375" s="7"/>
      <c r="F375" s="7"/>
      <c r="G375" s="7"/>
      <c r="H375" s="7"/>
      <c r="I375" s="7"/>
      <c r="J375" s="7"/>
      <c r="K375" s="7"/>
      <c r="L375" s="7"/>
      <c r="M375" s="7"/>
      <c r="N375" s="7">
        <f t="shared" si="5"/>
        <v>1</v>
      </c>
      <c r="O375" s="7"/>
      <c r="P375" s="7"/>
      <c r="Q375" s="7"/>
      <c r="R375" s="7"/>
      <c r="S375" s="7"/>
    </row>
    <row r="376">
      <c r="A376" s="31" t="s">
        <v>1438</v>
      </c>
      <c r="B376" s="30" t="s">
        <v>1439</v>
      </c>
      <c r="C376" s="7"/>
      <c r="D376" s="7"/>
      <c r="E376" s="7"/>
      <c r="F376" s="7"/>
      <c r="G376" s="7"/>
      <c r="H376" s="7"/>
      <c r="I376" s="7"/>
      <c r="J376" s="7"/>
      <c r="K376" s="7"/>
      <c r="L376" s="7"/>
      <c r="M376" s="7"/>
      <c r="N376" s="7">
        <f t="shared" si="5"/>
        <v>1</v>
      </c>
      <c r="O376" s="7"/>
      <c r="P376" s="7"/>
      <c r="Q376" s="7"/>
      <c r="R376" s="7"/>
      <c r="S376" s="7"/>
    </row>
    <row r="377">
      <c r="A377" s="31" t="s">
        <v>1736</v>
      </c>
      <c r="B377" s="30" t="s">
        <v>1737</v>
      </c>
      <c r="C377" s="7"/>
      <c r="D377" s="7"/>
      <c r="E377" s="7"/>
      <c r="F377" s="7"/>
      <c r="G377" s="7"/>
      <c r="H377" s="7"/>
      <c r="I377" s="7"/>
      <c r="J377" s="7"/>
      <c r="K377" s="7"/>
      <c r="L377" s="7"/>
      <c r="M377" s="7"/>
      <c r="N377" s="7">
        <f t="shared" si="5"/>
        <v>1</v>
      </c>
      <c r="O377" s="7"/>
      <c r="P377" s="7"/>
      <c r="Q377" s="7"/>
      <c r="R377" s="7"/>
      <c r="S377" s="7"/>
    </row>
    <row r="378">
      <c r="A378" s="31" t="s">
        <v>1738</v>
      </c>
      <c r="B378" s="30" t="s">
        <v>1739</v>
      </c>
      <c r="C378" s="7"/>
      <c r="D378" s="7"/>
      <c r="E378" s="7"/>
      <c r="F378" s="7"/>
      <c r="G378" s="7"/>
      <c r="H378" s="7"/>
      <c r="I378" s="7"/>
      <c r="J378" s="7"/>
      <c r="K378" s="7"/>
      <c r="L378" s="7"/>
      <c r="M378" s="7"/>
      <c r="N378" s="7">
        <f t="shared" si="5"/>
        <v>1</v>
      </c>
      <c r="O378" s="7"/>
      <c r="P378" s="7"/>
      <c r="Q378" s="7"/>
      <c r="R378" s="7"/>
      <c r="S378" s="7"/>
    </row>
    <row r="379">
      <c r="A379" s="7"/>
      <c r="B379" s="7"/>
      <c r="C379" s="7"/>
      <c r="D379" s="7"/>
      <c r="E379" s="7"/>
      <c r="F379" s="7"/>
      <c r="G379" s="7"/>
      <c r="H379" s="7"/>
      <c r="I379" s="7">
        <f>SUM(N360:N376)</f>
        <v>17</v>
      </c>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f>SUM(H359,O339,O139,I379)</f>
        <v>252</v>
      </c>
      <c r="O381" s="7"/>
      <c r="P381" s="7"/>
      <c r="Q381" s="7"/>
      <c r="R381" s="7"/>
      <c r="S381" s="7"/>
      <c r="T381" s="7"/>
      <c r="U381" s="7"/>
      <c r="V381" s="7"/>
      <c r="W381" s="7"/>
      <c r="X381" s="7"/>
      <c r="Y381" s="7"/>
      <c r="Z381" s="7"/>
    </row>
    <row r="382">
      <c r="A382" s="39" t="s">
        <v>1440</v>
      </c>
      <c r="B382" s="40"/>
      <c r="C382" s="41" t="s">
        <v>1441</v>
      </c>
      <c r="D382" s="42"/>
      <c r="E382" s="43" t="s">
        <v>1442</v>
      </c>
      <c r="F382" s="43" t="s">
        <v>1443</v>
      </c>
      <c r="G382" s="44" t="s">
        <v>1444</v>
      </c>
      <c r="H382" s="45"/>
      <c r="I382" s="46"/>
      <c r="J382" s="47" t="s">
        <v>1445</v>
      </c>
      <c r="K382" s="7"/>
      <c r="L382" s="7"/>
      <c r="M382" s="7"/>
      <c r="N382" s="7">
        <f>COUNT(N2:N376)</f>
        <v>360</v>
      </c>
      <c r="O382" s="22"/>
    </row>
    <row r="383">
      <c r="A383" s="48" t="s">
        <v>1446</v>
      </c>
      <c r="B383" s="10"/>
      <c r="C383" s="49" t="s">
        <v>1447</v>
      </c>
      <c r="D383" s="50"/>
      <c r="E383" s="51" t="s">
        <v>1448</v>
      </c>
      <c r="F383" s="51">
        <v>0.3</v>
      </c>
      <c r="G383" s="52" t="s">
        <v>1449</v>
      </c>
      <c r="H383" s="13"/>
      <c r="I383" s="10"/>
      <c r="J383" s="6" t="s">
        <v>1450</v>
      </c>
      <c r="K383" s="7"/>
      <c r="L383" s="7"/>
      <c r="M383" s="7"/>
      <c r="N383" s="7">
        <f>N381/N382</f>
        <v>0.7</v>
      </c>
      <c r="O383" s="7"/>
    </row>
    <row r="384">
      <c r="A384" s="53" t="s">
        <v>1452</v>
      </c>
      <c r="B384" s="54"/>
      <c r="C384" s="55" t="s">
        <v>1447</v>
      </c>
      <c r="D384" s="50"/>
      <c r="E384" s="56" t="s">
        <v>1448</v>
      </c>
      <c r="F384" s="56">
        <v>2.0</v>
      </c>
      <c r="G384" s="57"/>
      <c r="H384" s="58"/>
      <c r="I384" s="54"/>
      <c r="J384" s="6" t="s">
        <v>589</v>
      </c>
      <c r="K384" s="7"/>
      <c r="L384" s="7"/>
      <c r="M384" s="7"/>
      <c r="N384" s="7"/>
      <c r="O384" s="7"/>
    </row>
    <row r="385">
      <c r="A385" s="48" t="s">
        <v>1453</v>
      </c>
      <c r="B385" s="10"/>
      <c r="C385" s="49" t="s">
        <v>1454</v>
      </c>
      <c r="D385" s="50"/>
      <c r="E385" s="51" t="s">
        <v>1448</v>
      </c>
      <c r="F385" s="51">
        <v>10.0</v>
      </c>
      <c r="G385" s="52"/>
      <c r="H385" s="13"/>
      <c r="I385" s="10"/>
      <c r="J385" s="6" t="s">
        <v>584</v>
      </c>
      <c r="K385" s="7"/>
      <c r="L385" s="7"/>
      <c r="M385" s="7"/>
      <c r="N385" s="7"/>
      <c r="O385" s="7"/>
    </row>
    <row r="386">
      <c r="A386" s="48" t="s">
        <v>1455</v>
      </c>
      <c r="B386" s="10"/>
      <c r="C386" s="49" t="s">
        <v>1456</v>
      </c>
      <c r="D386" s="50"/>
      <c r="E386" s="51" t="s">
        <v>1448</v>
      </c>
      <c r="F386" s="51">
        <v>20.0</v>
      </c>
      <c r="G386" s="52"/>
      <c r="H386" s="13"/>
      <c r="I386" s="10"/>
      <c r="J386" s="6" t="s">
        <v>584</v>
      </c>
      <c r="K386" s="7"/>
      <c r="L386" s="7"/>
      <c r="M386" s="7"/>
      <c r="N386" s="7"/>
      <c r="O386" s="7"/>
    </row>
    <row r="387">
      <c r="A387" s="48" t="s">
        <v>1457</v>
      </c>
      <c r="B387" s="10"/>
      <c r="C387" s="49" t="s">
        <v>1456</v>
      </c>
      <c r="D387" s="50"/>
      <c r="E387" s="51" t="s">
        <v>1448</v>
      </c>
      <c r="F387" s="51">
        <v>30.0</v>
      </c>
      <c r="G387" s="52"/>
      <c r="H387" s="13"/>
      <c r="I387" s="10"/>
      <c r="J387" s="6" t="s">
        <v>584</v>
      </c>
      <c r="K387" s="7"/>
      <c r="L387" s="7"/>
      <c r="M387" s="7"/>
      <c r="N387" s="7"/>
      <c r="O387" s="7"/>
    </row>
    <row r="388">
      <c r="A388" s="48" t="s">
        <v>1458</v>
      </c>
      <c r="B388" s="10"/>
      <c r="C388" s="49" t="s">
        <v>1447</v>
      </c>
      <c r="D388" s="50"/>
      <c r="E388" s="51" t="s">
        <v>1448</v>
      </c>
      <c r="F388" s="51">
        <v>1.0</v>
      </c>
      <c r="G388" s="52"/>
      <c r="H388" s="13"/>
      <c r="I388" s="10"/>
      <c r="J388" s="6" t="s">
        <v>589</v>
      </c>
      <c r="K388" s="7"/>
      <c r="L388" s="7"/>
      <c r="M388" s="7"/>
      <c r="N388" s="7"/>
      <c r="O388" s="7"/>
    </row>
    <row r="389">
      <c r="A389" s="48" t="s">
        <v>1459</v>
      </c>
      <c r="B389" s="10"/>
      <c r="C389" s="49" t="s">
        <v>1447</v>
      </c>
      <c r="D389" s="50"/>
      <c r="E389" s="51" t="s">
        <v>1448</v>
      </c>
      <c r="F389" s="51">
        <v>4.0</v>
      </c>
      <c r="G389" s="52"/>
      <c r="H389" s="13"/>
      <c r="I389" s="10"/>
      <c r="J389" s="6" t="s">
        <v>589</v>
      </c>
      <c r="K389" s="7"/>
      <c r="L389" s="7"/>
      <c r="M389" s="7"/>
      <c r="N389" s="7"/>
      <c r="O389" s="7"/>
    </row>
    <row r="390">
      <c r="A390" s="48" t="s">
        <v>1460</v>
      </c>
      <c r="B390" s="10"/>
      <c r="C390" s="49" t="s">
        <v>1463</v>
      </c>
      <c r="D390" s="50"/>
      <c r="E390" s="51" t="s">
        <v>1448</v>
      </c>
      <c r="F390" s="51">
        <v>50.0</v>
      </c>
      <c r="G390" s="52"/>
      <c r="H390" s="13"/>
      <c r="I390" s="10"/>
      <c r="J390" s="6" t="s">
        <v>584</v>
      </c>
      <c r="K390" s="7"/>
      <c r="L390" s="7"/>
      <c r="M390" s="7"/>
      <c r="N390" s="7"/>
      <c r="O390" s="7"/>
    </row>
    <row r="391">
      <c r="A391" s="48" t="s">
        <v>1464</v>
      </c>
      <c r="B391" s="10"/>
      <c r="C391" s="49" t="s">
        <v>1447</v>
      </c>
      <c r="D391" s="50"/>
      <c r="E391" s="51" t="s">
        <v>1448</v>
      </c>
      <c r="F391" s="51">
        <v>2.0</v>
      </c>
      <c r="G391" s="52"/>
      <c r="H391" s="13"/>
      <c r="I391" s="10"/>
      <c r="J391" s="6" t="s">
        <v>589</v>
      </c>
      <c r="K391" s="7"/>
      <c r="L391" s="7"/>
      <c r="M391" s="7"/>
      <c r="N391" s="7"/>
      <c r="O391" s="7"/>
    </row>
    <row r="392">
      <c r="A392" s="48" t="s">
        <v>1180</v>
      </c>
      <c r="B392" s="10"/>
      <c r="C392" s="49"/>
      <c r="D392" s="50"/>
      <c r="E392" s="51" t="s">
        <v>1448</v>
      </c>
      <c r="F392" s="51">
        <v>50.0</v>
      </c>
      <c r="G392" s="52" t="s">
        <v>1465</v>
      </c>
      <c r="H392" s="13"/>
      <c r="I392" s="10"/>
      <c r="J392" s="6" t="s">
        <v>584</v>
      </c>
      <c r="K392" s="7"/>
      <c r="L392" s="7"/>
      <c r="M392" s="7"/>
      <c r="N392" s="7"/>
      <c r="O392" s="7"/>
    </row>
    <row r="393">
      <c r="A393" s="48" t="s">
        <v>1466</v>
      </c>
      <c r="B393" s="10"/>
      <c r="C393" s="49" t="s">
        <v>1463</v>
      </c>
      <c r="D393" s="50"/>
      <c r="E393" s="51" t="s">
        <v>1448</v>
      </c>
      <c r="F393" s="51">
        <v>30.0</v>
      </c>
      <c r="G393" s="52"/>
      <c r="H393" s="13"/>
      <c r="I393" s="10"/>
      <c r="J393" s="6" t="s">
        <v>584</v>
      </c>
      <c r="K393" s="7"/>
      <c r="L393" s="7"/>
      <c r="M393" s="7"/>
      <c r="N393" s="7"/>
      <c r="O393" s="7"/>
    </row>
    <row r="394">
      <c r="A394" s="48" t="s">
        <v>1467</v>
      </c>
      <c r="B394" s="10"/>
      <c r="C394" s="49" t="s">
        <v>1447</v>
      </c>
      <c r="D394" s="50"/>
      <c r="E394" s="51" t="s">
        <v>1448</v>
      </c>
      <c r="F394" s="51">
        <v>3.0</v>
      </c>
      <c r="G394" s="52"/>
      <c r="H394" s="13"/>
      <c r="I394" s="10"/>
      <c r="J394" s="6" t="s">
        <v>584</v>
      </c>
      <c r="K394" s="7"/>
      <c r="L394" s="7"/>
      <c r="M394" s="7"/>
      <c r="N394" s="7"/>
      <c r="O394" s="7"/>
    </row>
    <row r="395">
      <c r="A395" s="48" t="s">
        <v>1468</v>
      </c>
      <c r="B395" s="10"/>
      <c r="C395" s="59"/>
      <c r="D395" s="50"/>
      <c r="E395" s="51" t="s">
        <v>1469</v>
      </c>
      <c r="F395" s="51" t="s">
        <v>1470</v>
      </c>
      <c r="G395" s="52" t="s">
        <v>1471</v>
      </c>
      <c r="H395" s="13"/>
      <c r="I395" s="10"/>
      <c r="J395" s="6" t="s">
        <v>589</v>
      </c>
      <c r="K395" s="7"/>
      <c r="L395" s="7"/>
      <c r="M395" s="7"/>
      <c r="N395" s="7"/>
      <c r="O395" s="7"/>
    </row>
    <row r="396">
      <c r="A396" s="48" t="s">
        <v>1472</v>
      </c>
      <c r="B396" s="10"/>
      <c r="C396" s="59"/>
      <c r="D396" s="50"/>
      <c r="E396" s="51" t="s">
        <v>1473</v>
      </c>
      <c r="F396" s="51" t="s">
        <v>1474</v>
      </c>
      <c r="G396" s="52" t="s">
        <v>1475</v>
      </c>
      <c r="H396" s="13"/>
      <c r="I396" s="10"/>
      <c r="J396" s="6" t="s">
        <v>1450</v>
      </c>
      <c r="K396" s="7"/>
      <c r="L396" s="7"/>
      <c r="M396" s="7"/>
      <c r="N396" s="7"/>
      <c r="O396" s="7"/>
    </row>
    <row r="397">
      <c r="A397" s="48" t="s">
        <v>1476</v>
      </c>
      <c r="B397" s="10"/>
      <c r="C397" s="59"/>
      <c r="D397" s="50"/>
      <c r="E397" s="51" t="s">
        <v>1477</v>
      </c>
      <c r="F397" s="51" t="s">
        <v>710</v>
      </c>
      <c r="G397" s="52" t="s">
        <v>1478</v>
      </c>
      <c r="H397" s="13"/>
      <c r="I397" s="10"/>
      <c r="J397" s="6" t="s">
        <v>584</v>
      </c>
      <c r="K397" s="7"/>
      <c r="L397" s="7"/>
      <c r="M397" s="7"/>
      <c r="N397" s="7"/>
      <c r="O397" s="7"/>
    </row>
    <row r="398">
      <c r="A398" s="48" t="s">
        <v>1479</v>
      </c>
      <c r="B398" s="10"/>
      <c r="C398" s="49" t="s">
        <v>1480</v>
      </c>
      <c r="D398" s="50"/>
      <c r="E398" s="51" t="s">
        <v>1482</v>
      </c>
      <c r="F398" s="51">
        <v>0.03</v>
      </c>
      <c r="G398" s="52" t="s">
        <v>1483</v>
      </c>
      <c r="H398" s="13"/>
      <c r="I398" s="10"/>
      <c r="J398" s="6" t="s">
        <v>589</v>
      </c>
      <c r="K398" s="7"/>
      <c r="L398" s="7"/>
      <c r="M398" s="7"/>
      <c r="N398" s="7"/>
      <c r="O398" s="7"/>
    </row>
    <row r="399">
      <c r="A399" s="48" t="s">
        <v>1484</v>
      </c>
      <c r="B399" s="10"/>
      <c r="C399" s="49" t="s">
        <v>1485</v>
      </c>
      <c r="D399" s="60"/>
      <c r="E399" s="51" t="s">
        <v>1486</v>
      </c>
      <c r="F399" s="51">
        <v>20.0</v>
      </c>
      <c r="G399" s="52" t="s">
        <v>1487</v>
      </c>
      <c r="H399" s="13"/>
      <c r="I399" s="10"/>
      <c r="J399" s="6" t="s">
        <v>584</v>
      </c>
      <c r="K399" s="7"/>
      <c r="L399" s="7"/>
      <c r="M399" s="7"/>
      <c r="N399" s="7"/>
      <c r="O399" s="7"/>
    </row>
    <row r="400">
      <c r="A400" s="48" t="s">
        <v>1488</v>
      </c>
      <c r="B400" s="10"/>
      <c r="C400" s="49" t="s">
        <v>1447</v>
      </c>
      <c r="D400" s="60"/>
      <c r="E400" s="51" t="s">
        <v>1489</v>
      </c>
      <c r="F400" s="51">
        <v>20.0</v>
      </c>
      <c r="G400" s="52" t="s">
        <v>1490</v>
      </c>
      <c r="H400" s="13"/>
      <c r="I400" s="10"/>
      <c r="J400" s="6" t="s">
        <v>1450</v>
      </c>
      <c r="K400" s="7"/>
      <c r="L400" s="7"/>
      <c r="M400" s="7"/>
      <c r="N400" s="7"/>
      <c r="O400" s="7"/>
    </row>
    <row r="401">
      <c r="A401" s="48" t="s">
        <v>1491</v>
      </c>
      <c r="B401" s="10"/>
      <c r="C401" s="49" t="s">
        <v>1447</v>
      </c>
      <c r="D401" s="60"/>
      <c r="E401" s="51" t="s">
        <v>1492</v>
      </c>
      <c r="F401" s="51">
        <v>30.0</v>
      </c>
      <c r="G401" s="52" t="s">
        <v>1493</v>
      </c>
      <c r="H401" s="13"/>
      <c r="I401" s="10"/>
      <c r="J401" s="6" t="s">
        <v>1450</v>
      </c>
      <c r="K401" s="7"/>
      <c r="L401" s="7"/>
      <c r="M401" s="7"/>
      <c r="N401" s="7"/>
      <c r="O401" s="7"/>
    </row>
    <row r="402">
      <c r="A402" s="48" t="s">
        <v>1494</v>
      </c>
      <c r="B402" s="10"/>
      <c r="C402" s="59"/>
      <c r="D402" s="60"/>
      <c r="E402" s="51" t="s">
        <v>1495</v>
      </c>
      <c r="F402" s="51" t="s">
        <v>1496</v>
      </c>
      <c r="G402" s="52" t="s">
        <v>1497</v>
      </c>
      <c r="H402" s="13"/>
      <c r="I402" s="10"/>
      <c r="J402" s="6" t="s">
        <v>1450</v>
      </c>
      <c r="K402" s="7"/>
      <c r="L402" s="7"/>
      <c r="M402" s="7"/>
      <c r="N402" s="7"/>
      <c r="O402" s="7"/>
    </row>
    <row r="403">
      <c r="A403" s="48" t="s">
        <v>188</v>
      </c>
      <c r="B403" s="10"/>
      <c r="C403" s="49" t="s">
        <v>1463</v>
      </c>
      <c r="D403" s="60"/>
      <c r="E403" s="51" t="s">
        <v>1498</v>
      </c>
      <c r="F403" s="51" t="s">
        <v>1470</v>
      </c>
      <c r="G403" s="52" t="s">
        <v>1499</v>
      </c>
      <c r="H403" s="13"/>
      <c r="I403" s="10"/>
      <c r="J403" s="6" t="s">
        <v>1450</v>
      </c>
      <c r="K403" s="7"/>
      <c r="L403" s="7"/>
      <c r="M403" s="7"/>
      <c r="N403" s="7"/>
      <c r="O403" s="7"/>
    </row>
    <row r="404">
      <c r="A404" s="48" t="s">
        <v>1500</v>
      </c>
      <c r="B404" s="10"/>
      <c r="C404" s="59"/>
      <c r="D404" s="60"/>
      <c r="E404" s="51" t="s">
        <v>1501</v>
      </c>
      <c r="F404" s="51" t="s">
        <v>1470</v>
      </c>
      <c r="G404" s="52" t="s">
        <v>1502</v>
      </c>
      <c r="H404" s="13"/>
      <c r="I404" s="10"/>
      <c r="J404" s="6" t="s">
        <v>589</v>
      </c>
      <c r="K404" s="7"/>
      <c r="L404" s="7"/>
      <c r="M404" s="7"/>
      <c r="N404" s="7"/>
      <c r="O404" s="7"/>
    </row>
    <row r="405">
      <c r="A405" s="48" t="s">
        <v>1144</v>
      </c>
      <c r="B405" s="10"/>
      <c r="C405" s="59"/>
      <c r="D405" s="60"/>
      <c r="E405" s="51" t="s">
        <v>1501</v>
      </c>
      <c r="F405" s="51" t="s">
        <v>1503</v>
      </c>
      <c r="G405" s="61"/>
      <c r="H405" s="58"/>
      <c r="I405" s="54"/>
      <c r="J405" s="6" t="s">
        <v>589</v>
      </c>
      <c r="K405" s="7"/>
      <c r="L405" s="7"/>
      <c r="M405" s="7"/>
      <c r="N405" s="7"/>
      <c r="O405" s="7"/>
    </row>
    <row r="406">
      <c r="A406" s="48" t="s">
        <v>1504</v>
      </c>
      <c r="B406" s="10"/>
      <c r="C406" s="49" t="s">
        <v>1505</v>
      </c>
      <c r="D406" s="60"/>
      <c r="E406" s="51" t="s">
        <v>1506</v>
      </c>
      <c r="F406" s="51">
        <v>1.2</v>
      </c>
      <c r="G406" s="52" t="s">
        <v>1507</v>
      </c>
      <c r="H406" s="13"/>
      <c r="I406" s="10"/>
      <c r="J406" s="6" t="s">
        <v>589</v>
      </c>
      <c r="K406" s="7"/>
      <c r="L406" s="7"/>
      <c r="M406" s="7"/>
      <c r="N406" s="7"/>
      <c r="O406" s="7"/>
    </row>
    <row r="407">
      <c r="A407" s="48" t="s">
        <v>1419</v>
      </c>
      <c r="B407" s="10"/>
      <c r="C407" s="59"/>
      <c r="D407" s="60"/>
      <c r="E407" s="51" t="s">
        <v>1501</v>
      </c>
      <c r="F407" s="51" t="s">
        <v>1496</v>
      </c>
      <c r="G407" s="52" t="s">
        <v>1508</v>
      </c>
      <c r="H407" s="13"/>
      <c r="I407" s="10"/>
      <c r="J407" s="6" t="s">
        <v>584</v>
      </c>
      <c r="K407" s="7"/>
      <c r="L407" s="7"/>
      <c r="M407" s="7"/>
      <c r="N407" s="7"/>
      <c r="O407" s="7"/>
    </row>
    <row r="408">
      <c r="A408" s="48" t="s">
        <v>1509</v>
      </c>
      <c r="B408" s="10"/>
      <c r="C408" s="49"/>
      <c r="D408" s="60"/>
      <c r="E408" s="51" t="s">
        <v>1501</v>
      </c>
      <c r="F408" s="51"/>
      <c r="G408" s="52" t="s">
        <v>1510</v>
      </c>
      <c r="H408" s="13"/>
      <c r="I408" s="10"/>
      <c r="J408" s="6" t="s">
        <v>1450</v>
      </c>
      <c r="K408" s="7"/>
      <c r="L408" s="7"/>
      <c r="M408" s="7"/>
      <c r="N408" s="7"/>
      <c r="O408" s="7"/>
    </row>
    <row r="409">
      <c r="A409" s="48" t="s">
        <v>1511</v>
      </c>
      <c r="B409" s="10"/>
      <c r="C409" s="49" t="s">
        <v>1512</v>
      </c>
      <c r="D409" s="60"/>
      <c r="E409" s="51" t="s">
        <v>1513</v>
      </c>
      <c r="F409" s="51">
        <v>10.0</v>
      </c>
      <c r="G409" s="52" t="s">
        <v>1514</v>
      </c>
      <c r="H409" s="13"/>
      <c r="I409" s="10"/>
      <c r="J409" s="6" t="s">
        <v>584</v>
      </c>
      <c r="K409" s="7"/>
      <c r="L409" s="7"/>
      <c r="M409" s="7"/>
      <c r="N409" s="7"/>
      <c r="O409" s="7"/>
    </row>
    <row r="410">
      <c r="A410" s="48" t="s">
        <v>1515</v>
      </c>
      <c r="B410" s="10"/>
      <c r="C410" s="49" t="s">
        <v>1516</v>
      </c>
      <c r="D410" s="50" t="s">
        <v>1517</v>
      </c>
      <c r="E410" s="51" t="s">
        <v>1482</v>
      </c>
      <c r="F410" s="51" t="s">
        <v>1519</v>
      </c>
      <c r="G410" s="52" t="s">
        <v>1520</v>
      </c>
      <c r="H410" s="13"/>
      <c r="I410" s="10"/>
      <c r="J410" s="6" t="s">
        <v>589</v>
      </c>
      <c r="K410" s="7"/>
      <c r="L410" s="7"/>
      <c r="M410" s="7"/>
      <c r="N410" s="7"/>
      <c r="O410" s="7"/>
    </row>
    <row r="411">
      <c r="A411" s="48" t="s">
        <v>1521</v>
      </c>
      <c r="B411" s="10"/>
      <c r="C411" s="49" t="s">
        <v>1522</v>
      </c>
      <c r="D411" s="62" t="s">
        <v>1523</v>
      </c>
      <c r="E411" s="51" t="s">
        <v>1501</v>
      </c>
      <c r="F411" s="51" t="s">
        <v>1524</v>
      </c>
      <c r="G411" s="52"/>
      <c r="H411" s="13"/>
      <c r="I411" s="10"/>
      <c r="J411" s="6" t="s">
        <v>584</v>
      </c>
      <c r="K411" s="7"/>
      <c r="L411" s="7"/>
      <c r="M411" s="7"/>
      <c r="N411" s="7"/>
      <c r="O411" s="7"/>
    </row>
    <row r="412">
      <c r="A412" s="48" t="s">
        <v>1525</v>
      </c>
      <c r="B412" s="10"/>
      <c r="C412" s="49" t="s">
        <v>1526</v>
      </c>
      <c r="D412" s="60"/>
      <c r="E412" s="51" t="s">
        <v>1527</v>
      </c>
      <c r="F412" s="51" t="s">
        <v>1528</v>
      </c>
      <c r="G412" s="52" t="s">
        <v>1529</v>
      </c>
      <c r="H412" s="13"/>
      <c r="I412" s="10"/>
      <c r="J412" s="6" t="s">
        <v>1450</v>
      </c>
      <c r="K412" s="7"/>
      <c r="L412" s="7"/>
      <c r="M412" s="7"/>
      <c r="N412" s="7"/>
      <c r="O412" s="7"/>
    </row>
    <row r="413">
      <c r="A413" s="48" t="s">
        <v>1530</v>
      </c>
      <c r="B413" s="10"/>
      <c r="C413" s="49" t="s">
        <v>1526</v>
      </c>
      <c r="D413" s="60"/>
      <c r="E413" s="51" t="s">
        <v>1527</v>
      </c>
      <c r="F413" s="51" t="s">
        <v>1531</v>
      </c>
      <c r="G413" s="52" t="s">
        <v>1532</v>
      </c>
      <c r="H413" s="13"/>
      <c r="I413" s="10"/>
      <c r="J413" s="6" t="s">
        <v>1450</v>
      </c>
      <c r="K413" s="7"/>
      <c r="L413" s="7"/>
      <c r="M413" s="7"/>
      <c r="N413" s="7"/>
      <c r="O413" s="7"/>
    </row>
    <row r="414">
      <c r="A414" s="48" t="s">
        <v>1533</v>
      </c>
      <c r="B414" s="10"/>
      <c r="C414" s="49" t="s">
        <v>1534</v>
      </c>
      <c r="D414" s="60"/>
      <c r="E414" s="51" t="s">
        <v>1535</v>
      </c>
      <c r="F414" s="51">
        <v>3.0</v>
      </c>
      <c r="G414" s="52" t="s">
        <v>1536</v>
      </c>
      <c r="H414" s="13"/>
      <c r="I414" s="10"/>
      <c r="J414" s="6" t="s">
        <v>584</v>
      </c>
      <c r="K414" s="7"/>
      <c r="L414" s="7"/>
      <c r="M414" s="7"/>
      <c r="N414" s="7"/>
      <c r="O414" s="7"/>
    </row>
    <row r="415">
      <c r="A415" s="48" t="s">
        <v>1537</v>
      </c>
      <c r="B415" s="10"/>
      <c r="C415" s="49" t="s">
        <v>1538</v>
      </c>
      <c r="D415" s="60"/>
      <c r="E415" s="51" t="s">
        <v>1539</v>
      </c>
      <c r="F415" s="51">
        <v>8.0</v>
      </c>
      <c r="G415" s="52" t="s">
        <v>1540</v>
      </c>
      <c r="H415" s="13"/>
      <c r="I415" s="10"/>
      <c r="J415" s="6" t="s">
        <v>584</v>
      </c>
      <c r="K415" s="7"/>
      <c r="L415" s="7"/>
      <c r="M415" s="7"/>
      <c r="N415" s="7"/>
      <c r="O415" s="7"/>
    </row>
    <row r="416">
      <c r="A416" s="48" t="s">
        <v>1541</v>
      </c>
      <c r="B416" s="10"/>
      <c r="C416" s="49" t="s">
        <v>1542</v>
      </c>
      <c r="D416" s="60"/>
      <c r="E416" s="51" t="s">
        <v>1543</v>
      </c>
      <c r="F416" s="51">
        <v>2.0</v>
      </c>
      <c r="G416" s="52" t="s">
        <v>1544</v>
      </c>
      <c r="H416" s="13"/>
      <c r="I416" s="10"/>
      <c r="J416" s="6" t="s">
        <v>584</v>
      </c>
      <c r="K416" s="7"/>
      <c r="L416" s="7"/>
      <c r="M416" s="7"/>
      <c r="N416" s="7"/>
      <c r="O416" s="7"/>
    </row>
    <row r="417">
      <c r="A417" s="48" t="s">
        <v>1545</v>
      </c>
      <c r="B417" s="10"/>
      <c r="C417" s="49" t="s">
        <v>1546</v>
      </c>
      <c r="D417" s="60"/>
      <c r="E417" s="51" t="s">
        <v>1547</v>
      </c>
      <c r="F417" s="51">
        <v>5.0</v>
      </c>
      <c r="G417" s="52" t="s">
        <v>1548</v>
      </c>
      <c r="H417" s="13"/>
      <c r="I417" s="10"/>
      <c r="J417" s="6" t="s">
        <v>584</v>
      </c>
      <c r="K417" s="7"/>
      <c r="L417" s="7"/>
      <c r="M417" s="7"/>
      <c r="N417" s="7"/>
      <c r="O417" s="7"/>
    </row>
    <row r="418">
      <c r="A418" s="48" t="s">
        <v>1549</v>
      </c>
      <c r="B418" s="10"/>
      <c r="C418" s="49" t="s">
        <v>1550</v>
      </c>
      <c r="D418" s="60"/>
      <c r="E418" s="51" t="s">
        <v>1551</v>
      </c>
      <c r="F418" s="51">
        <v>14.0</v>
      </c>
      <c r="G418" s="52" t="s">
        <v>1552</v>
      </c>
      <c r="H418" s="13"/>
      <c r="I418" s="10"/>
      <c r="J418" s="6" t="s">
        <v>584</v>
      </c>
      <c r="K418" s="7"/>
      <c r="L418" s="7"/>
      <c r="M418" s="7"/>
      <c r="N418" s="7"/>
      <c r="O418" s="7"/>
    </row>
    <row r="419">
      <c r="A419" s="48" t="s">
        <v>1140</v>
      </c>
      <c r="B419" s="10"/>
      <c r="C419" s="59"/>
      <c r="D419" s="50" t="s">
        <v>166</v>
      </c>
      <c r="E419" s="51" t="s">
        <v>1553</v>
      </c>
      <c r="F419" s="51" t="s">
        <v>1554</v>
      </c>
      <c r="G419" s="52" t="s">
        <v>1555</v>
      </c>
      <c r="H419" s="13"/>
      <c r="I419" s="10"/>
      <c r="J419" s="6" t="s">
        <v>584</v>
      </c>
      <c r="K419" s="7"/>
      <c r="L419" s="7"/>
      <c r="M419" s="7"/>
      <c r="N419" s="7"/>
      <c r="O419" s="7"/>
    </row>
    <row r="420">
      <c r="A420" s="48" t="s">
        <v>1556</v>
      </c>
      <c r="B420" s="10"/>
      <c r="C420" s="49" t="s">
        <v>1485</v>
      </c>
      <c r="D420" s="60"/>
      <c r="E420" s="51" t="s">
        <v>1557</v>
      </c>
      <c r="F420" s="51">
        <v>5.0</v>
      </c>
      <c r="G420" s="52" t="s">
        <v>1558</v>
      </c>
      <c r="H420" s="13"/>
      <c r="I420" s="10"/>
      <c r="J420" s="6" t="s">
        <v>584</v>
      </c>
      <c r="K420" s="7"/>
      <c r="L420" s="7"/>
      <c r="M420" s="7"/>
      <c r="N420" s="7"/>
      <c r="O420" s="7"/>
    </row>
    <row r="421">
      <c r="A421" s="48" t="s">
        <v>912</v>
      </c>
      <c r="B421" s="10"/>
      <c r="C421" s="59"/>
      <c r="D421" s="60"/>
      <c r="E421" s="51" t="s">
        <v>1559</v>
      </c>
      <c r="F421" s="51" t="s">
        <v>1554</v>
      </c>
      <c r="G421" s="52" t="s">
        <v>1560</v>
      </c>
      <c r="H421" s="13"/>
      <c r="I421" s="10"/>
      <c r="J421" s="6" t="s">
        <v>584</v>
      </c>
      <c r="K421" s="7"/>
      <c r="L421" s="7"/>
      <c r="M421" s="7"/>
      <c r="N421" s="7"/>
      <c r="O421" s="7"/>
    </row>
    <row r="422">
      <c r="A422" s="48" t="s">
        <v>154</v>
      </c>
      <c r="B422" s="10"/>
      <c r="C422" s="59"/>
      <c r="D422" s="60"/>
      <c r="E422" s="51" t="s">
        <v>1561</v>
      </c>
      <c r="F422" s="51" t="s">
        <v>710</v>
      </c>
      <c r="G422" s="52" t="s">
        <v>1562</v>
      </c>
      <c r="H422" s="13"/>
      <c r="I422" s="10"/>
      <c r="J422" s="6" t="s">
        <v>584</v>
      </c>
      <c r="K422" s="7"/>
      <c r="L422" s="7"/>
      <c r="M422" s="7"/>
      <c r="N422" s="7"/>
      <c r="O422" s="7"/>
    </row>
    <row r="423">
      <c r="A423" s="48" t="s">
        <v>1563</v>
      </c>
      <c r="B423" s="10"/>
      <c r="C423" s="59"/>
      <c r="D423" s="60"/>
      <c r="E423" s="51" t="s">
        <v>1561</v>
      </c>
      <c r="F423" s="51" t="s">
        <v>710</v>
      </c>
      <c r="G423" s="52" t="s">
        <v>1564</v>
      </c>
      <c r="H423" s="13"/>
      <c r="I423" s="10"/>
      <c r="J423" s="6" t="s">
        <v>584</v>
      </c>
      <c r="K423" s="7"/>
      <c r="L423" s="7"/>
      <c r="M423" s="7"/>
      <c r="N423" s="7"/>
      <c r="O423" s="7"/>
    </row>
    <row r="424">
      <c r="A424" s="48" t="s">
        <v>1565</v>
      </c>
      <c r="B424" s="10"/>
      <c r="C424" s="59"/>
      <c r="D424" s="60"/>
      <c r="E424" s="51" t="s">
        <v>1561</v>
      </c>
      <c r="F424" s="51" t="s">
        <v>710</v>
      </c>
      <c r="G424" s="52" t="s">
        <v>1566</v>
      </c>
      <c r="H424" s="13"/>
      <c r="I424" s="10"/>
      <c r="J424" s="6" t="s">
        <v>584</v>
      </c>
      <c r="K424" s="7"/>
      <c r="L424" s="7"/>
      <c r="M424" s="7"/>
      <c r="N424" s="7"/>
      <c r="O424" s="7"/>
    </row>
    <row r="425">
      <c r="A425" s="48" t="s">
        <v>1567</v>
      </c>
      <c r="B425" s="10"/>
      <c r="C425" s="59"/>
      <c r="D425" s="60"/>
      <c r="E425" s="51" t="s">
        <v>1568</v>
      </c>
      <c r="F425" s="51" t="s">
        <v>1554</v>
      </c>
      <c r="G425" s="52" t="s">
        <v>1569</v>
      </c>
      <c r="H425" s="13"/>
      <c r="I425" s="10"/>
      <c r="J425" s="6" t="s">
        <v>584</v>
      </c>
      <c r="K425" s="7"/>
      <c r="L425" s="7"/>
      <c r="M425" s="7"/>
      <c r="N425" s="7"/>
      <c r="O425" s="7"/>
    </row>
    <row r="426">
      <c r="A426" s="48" t="s">
        <v>31</v>
      </c>
      <c r="B426" s="10"/>
      <c r="C426" s="59"/>
      <c r="D426" s="60"/>
      <c r="E426" s="51" t="s">
        <v>1570</v>
      </c>
      <c r="F426" s="51"/>
      <c r="G426" s="52" t="s">
        <v>1571</v>
      </c>
      <c r="H426" s="13"/>
      <c r="I426" s="10"/>
      <c r="J426" s="6" t="s">
        <v>584</v>
      </c>
      <c r="K426" s="7"/>
      <c r="L426" s="7"/>
      <c r="M426" s="7"/>
      <c r="N426" s="7"/>
      <c r="O426" s="7"/>
    </row>
    <row r="427">
      <c r="A427" s="48" t="s">
        <v>722</v>
      </c>
      <c r="B427" s="10"/>
      <c r="C427" s="59"/>
      <c r="D427" s="60"/>
      <c r="E427" s="51" t="s">
        <v>1572</v>
      </c>
      <c r="F427" s="51" t="s">
        <v>1573</v>
      </c>
      <c r="G427" s="52" t="s">
        <v>1574</v>
      </c>
      <c r="H427" s="13"/>
      <c r="I427" s="10"/>
      <c r="J427" s="6" t="s">
        <v>584</v>
      </c>
      <c r="K427" s="7"/>
      <c r="L427" s="7"/>
      <c r="M427" s="7"/>
      <c r="N427" s="7"/>
      <c r="O427" s="7"/>
    </row>
    <row r="428">
      <c r="A428" s="48" t="s">
        <v>1575</v>
      </c>
      <c r="B428" s="10"/>
      <c r="C428" s="49" t="s">
        <v>1576</v>
      </c>
      <c r="D428" s="60"/>
      <c r="E428" s="51" t="s">
        <v>1501</v>
      </c>
      <c r="F428" s="51"/>
      <c r="G428" s="52" t="s">
        <v>1577</v>
      </c>
      <c r="H428" s="13"/>
      <c r="I428" s="10"/>
      <c r="J428" s="6" t="s">
        <v>1450</v>
      </c>
      <c r="K428" s="7"/>
      <c r="L428" s="7"/>
      <c r="M428" s="7"/>
      <c r="N428" s="7"/>
      <c r="O428" s="7"/>
    </row>
    <row r="429">
      <c r="A429" s="63" t="s">
        <v>1578</v>
      </c>
      <c r="B429" s="10"/>
      <c r="C429" s="49" t="s">
        <v>1580</v>
      </c>
      <c r="D429" s="60"/>
      <c r="E429" s="51" t="s">
        <v>1581</v>
      </c>
      <c r="F429" s="51"/>
      <c r="G429" s="52" t="s">
        <v>1582</v>
      </c>
      <c r="H429" s="13"/>
      <c r="I429" s="10"/>
      <c r="J429" s="6" t="s">
        <v>584</v>
      </c>
      <c r="K429" s="7"/>
      <c r="L429" s="7"/>
      <c r="M429" s="7"/>
      <c r="N429" s="7"/>
      <c r="O429" s="7"/>
    </row>
    <row r="430">
      <c r="A430" s="63" t="s">
        <v>1583</v>
      </c>
      <c r="B430" s="10"/>
      <c r="C430" s="49"/>
      <c r="D430" s="60"/>
      <c r="E430" s="51" t="s">
        <v>1501</v>
      </c>
      <c r="F430" s="51"/>
      <c r="G430" s="52" t="s">
        <v>1584</v>
      </c>
      <c r="H430" s="13"/>
      <c r="I430" s="10"/>
      <c r="J430" s="6" t="s">
        <v>584</v>
      </c>
      <c r="K430" s="7"/>
      <c r="L430" s="7"/>
      <c r="M430" s="7"/>
      <c r="N430" s="7"/>
      <c r="O430" s="7"/>
    </row>
    <row r="431">
      <c r="A431" s="63" t="s">
        <v>1585</v>
      </c>
      <c r="B431" s="10"/>
      <c r="C431" s="49"/>
      <c r="D431" s="60"/>
      <c r="E431" s="51" t="s">
        <v>1501</v>
      </c>
      <c r="F431" s="51"/>
      <c r="G431" s="52" t="s">
        <v>1586</v>
      </c>
      <c r="H431" s="13"/>
      <c r="I431" s="10"/>
      <c r="J431" s="6" t="s">
        <v>584</v>
      </c>
      <c r="K431" s="7"/>
      <c r="L431" s="7"/>
      <c r="M431" s="7"/>
      <c r="N431" s="7"/>
      <c r="O431" s="7"/>
    </row>
    <row r="432">
      <c r="A432" s="63" t="s">
        <v>1741</v>
      </c>
      <c r="B432" s="10"/>
      <c r="C432" s="49"/>
      <c r="D432" s="60"/>
      <c r="E432" s="51" t="s">
        <v>1742</v>
      </c>
      <c r="F432" s="51"/>
      <c r="G432" s="52" t="s">
        <v>1743</v>
      </c>
      <c r="H432" s="13"/>
      <c r="I432" s="10"/>
      <c r="J432" s="6" t="s">
        <v>584</v>
      </c>
      <c r="K432" s="7"/>
      <c r="L432" s="7"/>
      <c r="M432" s="7"/>
      <c r="N432" s="7"/>
      <c r="O432" s="7"/>
    </row>
    <row r="433">
      <c r="A433" s="63" t="s">
        <v>111</v>
      </c>
      <c r="B433" s="10"/>
      <c r="C433" s="49"/>
      <c r="D433" s="60"/>
      <c r="E433" s="51" t="s">
        <v>1501</v>
      </c>
      <c r="F433" s="51"/>
      <c r="G433" s="52" t="s">
        <v>1587</v>
      </c>
      <c r="H433" s="13"/>
      <c r="I433" s="10"/>
      <c r="J433" s="6" t="s">
        <v>584</v>
      </c>
      <c r="K433" s="7"/>
      <c r="L433" s="7"/>
      <c r="M433" s="7"/>
      <c r="N433" s="7"/>
      <c r="O433" s="7"/>
    </row>
    <row r="434">
      <c r="A434" s="63" t="s">
        <v>1588</v>
      </c>
      <c r="B434" s="10"/>
      <c r="C434" s="49"/>
      <c r="D434" s="60"/>
      <c r="E434" s="51" t="s">
        <v>1501</v>
      </c>
      <c r="F434" s="51"/>
      <c r="G434" s="52" t="s">
        <v>1590</v>
      </c>
      <c r="H434" s="13"/>
      <c r="I434" s="10"/>
      <c r="J434" s="6" t="s">
        <v>584</v>
      </c>
      <c r="K434" s="7"/>
      <c r="L434" s="7"/>
      <c r="M434" s="7"/>
      <c r="N434" s="7"/>
      <c r="O434" s="7"/>
    </row>
    <row r="435">
      <c r="A435" s="63" t="s">
        <v>1591</v>
      </c>
      <c r="B435" s="10"/>
      <c r="C435" s="49"/>
      <c r="D435" s="60"/>
      <c r="E435" s="51" t="s">
        <v>1501</v>
      </c>
      <c r="F435" s="51"/>
      <c r="G435" s="52" t="s">
        <v>1592</v>
      </c>
      <c r="H435" s="13"/>
      <c r="I435" s="10"/>
      <c r="J435" s="6" t="s">
        <v>584</v>
      </c>
      <c r="K435" s="7"/>
      <c r="L435" s="64" t="s">
        <v>1593</v>
      </c>
      <c r="N435" s="7"/>
      <c r="O435" s="7"/>
    </row>
    <row r="436">
      <c r="A436" s="63" t="s">
        <v>1594</v>
      </c>
      <c r="B436" s="10"/>
      <c r="C436" s="49"/>
      <c r="D436" s="60"/>
      <c r="E436" s="51" t="s">
        <v>1501</v>
      </c>
      <c r="F436" s="51"/>
      <c r="G436" s="52" t="s">
        <v>1595</v>
      </c>
      <c r="H436" s="13"/>
      <c r="I436" s="10"/>
      <c r="J436" s="6" t="s">
        <v>584</v>
      </c>
      <c r="K436" s="7"/>
      <c r="L436" s="65" t="s">
        <v>1596</v>
      </c>
      <c r="M436" s="66"/>
      <c r="N436" s="7"/>
      <c r="O436" s="7"/>
    </row>
    <row r="437">
      <c r="A437" s="63" t="s">
        <v>1597</v>
      </c>
      <c r="B437" s="10"/>
      <c r="C437" s="49"/>
      <c r="D437" s="60"/>
      <c r="E437" s="51" t="s">
        <v>1501</v>
      </c>
      <c r="F437" s="51"/>
      <c r="G437" s="52" t="s">
        <v>1598</v>
      </c>
      <c r="H437" s="13"/>
      <c r="I437" s="10"/>
      <c r="J437" s="6" t="s">
        <v>584</v>
      </c>
      <c r="K437" s="7"/>
      <c r="L437" s="65" t="s">
        <v>1599</v>
      </c>
      <c r="M437" s="66"/>
      <c r="N437" s="7"/>
      <c r="O437" s="7"/>
    </row>
    <row r="438">
      <c r="A438" s="63" t="s">
        <v>1600</v>
      </c>
      <c r="B438" s="10"/>
      <c r="C438" s="49"/>
      <c r="D438" s="60"/>
      <c r="E438" s="51" t="s">
        <v>1501</v>
      </c>
      <c r="F438" s="51"/>
      <c r="G438" s="52" t="s">
        <v>1601</v>
      </c>
      <c r="H438" s="13"/>
      <c r="I438" s="10"/>
      <c r="J438" s="6" t="s">
        <v>584</v>
      </c>
      <c r="K438" s="7"/>
      <c r="L438" s="65" t="s">
        <v>1602</v>
      </c>
      <c r="M438" s="66"/>
      <c r="N438" s="7"/>
      <c r="O438" s="7"/>
    </row>
    <row r="439">
      <c r="A439" s="63" t="s">
        <v>1603</v>
      </c>
      <c r="B439" s="10"/>
      <c r="C439" s="49" t="s">
        <v>1604</v>
      </c>
      <c r="D439" s="60"/>
      <c r="E439" s="51" t="s">
        <v>1605</v>
      </c>
      <c r="F439" s="51"/>
      <c r="G439" s="52" t="s">
        <v>1606</v>
      </c>
      <c r="H439" s="13"/>
      <c r="I439" s="10"/>
      <c r="J439" s="6" t="s">
        <v>584</v>
      </c>
      <c r="K439" s="7"/>
      <c r="L439" s="65" t="s">
        <v>1607</v>
      </c>
      <c r="M439" s="66"/>
      <c r="N439" s="7"/>
      <c r="O439" s="7"/>
    </row>
    <row r="440">
      <c r="A440" s="63" t="s">
        <v>1608</v>
      </c>
      <c r="B440" s="10"/>
      <c r="C440" s="49" t="s">
        <v>1609</v>
      </c>
      <c r="D440" s="60"/>
      <c r="E440" s="51" t="s">
        <v>1501</v>
      </c>
      <c r="F440" s="51"/>
      <c r="G440" s="52" t="s">
        <v>1610</v>
      </c>
      <c r="H440" s="13"/>
      <c r="I440" s="10"/>
      <c r="J440" s="6" t="s">
        <v>584</v>
      </c>
      <c r="K440" s="7"/>
      <c r="L440" s="65" t="s">
        <v>1611</v>
      </c>
      <c r="M440" s="66"/>
      <c r="N440" s="7"/>
      <c r="O440" s="7"/>
    </row>
    <row r="441">
      <c r="A441" s="63" t="s">
        <v>1612</v>
      </c>
      <c r="B441" s="10"/>
      <c r="C441" s="49"/>
      <c r="D441" s="60"/>
      <c r="E441" s="51" t="s">
        <v>1501</v>
      </c>
      <c r="F441" s="51"/>
      <c r="G441" s="52" t="s">
        <v>1613</v>
      </c>
      <c r="H441" s="13"/>
      <c r="I441" s="10"/>
      <c r="J441" s="6" t="s">
        <v>584</v>
      </c>
      <c r="K441" s="7"/>
      <c r="L441" s="65" t="s">
        <v>1614</v>
      </c>
      <c r="M441" s="66"/>
      <c r="N441" s="7"/>
      <c r="O441" s="7"/>
    </row>
    <row r="442">
      <c r="A442" s="63" t="s">
        <v>1615</v>
      </c>
      <c r="B442" s="10"/>
      <c r="C442" s="49" t="s">
        <v>1616</v>
      </c>
      <c r="D442" s="67"/>
      <c r="E442" s="51"/>
      <c r="F442" s="67"/>
      <c r="G442" s="52" t="s">
        <v>1617</v>
      </c>
      <c r="H442" s="13"/>
      <c r="I442" s="10"/>
      <c r="J442" s="6" t="s">
        <v>584</v>
      </c>
      <c r="K442" s="7"/>
      <c r="L442" s="65" t="s">
        <v>1618</v>
      </c>
      <c r="M442" s="66"/>
      <c r="N442" s="7"/>
      <c r="O442" s="7"/>
    </row>
    <row r="443">
      <c r="A443" s="68" t="s">
        <v>1619</v>
      </c>
      <c r="B443" s="10"/>
      <c r="C443" s="69"/>
      <c r="D443" s="70"/>
      <c r="E443" s="47" t="s">
        <v>1620</v>
      </c>
      <c r="F443" s="47"/>
      <c r="G443" s="71"/>
      <c r="H443" s="13"/>
      <c r="I443" s="10"/>
      <c r="J443" s="72"/>
      <c r="K443" s="7"/>
      <c r="L443" s="7"/>
      <c r="M443" s="7"/>
      <c r="N443" s="7"/>
      <c r="O443" s="7"/>
    </row>
    <row r="444">
      <c r="A444" s="48" t="s">
        <v>1621</v>
      </c>
      <c r="B444" s="10"/>
      <c r="C444" s="59"/>
      <c r="D444" s="60"/>
      <c r="E444" s="51"/>
      <c r="F444" s="51"/>
      <c r="G444" s="52" t="s">
        <v>1622</v>
      </c>
      <c r="H444" s="13"/>
      <c r="I444" s="10"/>
      <c r="J444" s="6" t="s">
        <v>584</v>
      </c>
      <c r="K444" s="7"/>
      <c r="L444" s="7"/>
      <c r="M444" s="7"/>
      <c r="N444" s="7"/>
      <c r="O444" s="7"/>
    </row>
    <row r="445">
      <c r="A445" s="48" t="s">
        <v>1623</v>
      </c>
      <c r="B445" s="10"/>
      <c r="C445" s="59"/>
      <c r="D445" s="60"/>
      <c r="E445" s="51"/>
      <c r="F445" s="51"/>
      <c r="G445" s="52" t="s">
        <v>1624</v>
      </c>
      <c r="H445" s="13"/>
      <c r="I445" s="10"/>
      <c r="J445" s="6" t="s">
        <v>1450</v>
      </c>
      <c r="K445" s="7"/>
      <c r="L445" s="7"/>
      <c r="M445" s="7"/>
      <c r="N445" s="7"/>
      <c r="O445" s="7"/>
    </row>
    <row r="446">
      <c r="A446" s="48" t="s">
        <v>1625</v>
      </c>
      <c r="B446" s="10"/>
      <c r="C446" s="59"/>
      <c r="D446" s="60"/>
      <c r="E446" s="51"/>
      <c r="F446" s="51"/>
      <c r="G446" s="52" t="s">
        <v>1626</v>
      </c>
      <c r="H446" s="13"/>
      <c r="I446" s="10"/>
      <c r="J446" s="6" t="s">
        <v>1450</v>
      </c>
      <c r="K446" s="7"/>
      <c r="L446" s="7"/>
      <c r="M446" s="7"/>
      <c r="N446" s="7"/>
      <c r="O446" s="7"/>
    </row>
    <row r="447">
      <c r="A447" s="48" t="s">
        <v>1627</v>
      </c>
      <c r="B447" s="10"/>
      <c r="C447" s="59"/>
      <c r="D447" s="60"/>
      <c r="E447" s="51"/>
      <c r="F447" s="51"/>
      <c r="G447" s="52" t="s">
        <v>1628</v>
      </c>
      <c r="H447" s="13"/>
      <c r="I447" s="10"/>
      <c r="J447" s="6" t="s">
        <v>584</v>
      </c>
      <c r="K447" s="7"/>
      <c r="L447" s="7"/>
      <c r="M447" s="7"/>
      <c r="N447" s="7"/>
      <c r="O447" s="7"/>
    </row>
    <row r="448">
      <c r="A448" s="48" t="s">
        <v>1629</v>
      </c>
      <c r="B448" s="10"/>
      <c r="C448" s="59"/>
      <c r="D448" s="60"/>
      <c r="E448" s="51"/>
      <c r="F448" s="51"/>
      <c r="G448" s="52" t="s">
        <v>1630</v>
      </c>
      <c r="H448" s="13"/>
      <c r="I448" s="10"/>
      <c r="J448" s="6" t="s">
        <v>584</v>
      </c>
      <c r="K448" s="7"/>
      <c r="L448" s="7"/>
      <c r="M448" s="7"/>
      <c r="N448" s="7"/>
      <c r="O448" s="7"/>
    </row>
    <row r="449">
      <c r="A449" s="48" t="s">
        <v>1631</v>
      </c>
      <c r="B449" s="10"/>
      <c r="C449" s="59"/>
      <c r="D449" s="60"/>
      <c r="E449" s="51"/>
      <c r="F449" s="51"/>
      <c r="G449" s="52" t="s">
        <v>1632</v>
      </c>
      <c r="H449" s="13"/>
      <c r="I449" s="10"/>
      <c r="J449" s="6" t="s">
        <v>584</v>
      </c>
      <c r="K449" s="7"/>
      <c r="L449" s="7"/>
      <c r="M449" s="7"/>
      <c r="N449" s="7"/>
      <c r="O449" s="7"/>
    </row>
    <row r="450">
      <c r="A450" s="48" t="s">
        <v>1633</v>
      </c>
      <c r="B450" s="10"/>
      <c r="C450" s="59"/>
      <c r="D450" s="60"/>
      <c r="E450" s="51"/>
      <c r="F450" s="51"/>
      <c r="G450" s="52" t="s">
        <v>1634</v>
      </c>
      <c r="H450" s="13"/>
      <c r="I450" s="10"/>
      <c r="J450" s="6" t="s">
        <v>584</v>
      </c>
      <c r="K450" s="7"/>
      <c r="L450" s="7"/>
      <c r="M450" s="7"/>
      <c r="N450" s="7"/>
      <c r="O450" s="7"/>
    </row>
    <row r="451">
      <c r="A451" s="73"/>
      <c r="B451" s="74"/>
      <c r="C451" s="74"/>
      <c r="D451" s="73"/>
      <c r="E451" s="22"/>
      <c r="F451" s="22"/>
      <c r="G451" s="22"/>
      <c r="H451" s="7"/>
      <c r="I451" s="7"/>
      <c r="J451" s="7">
        <f>COUNTIFS(J383:J450,"Yes")</f>
        <v>45</v>
      </c>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f>COUNTIF(J383:J450,"Changes")</f>
        <v>12</v>
      </c>
      <c r="K452" s="7"/>
      <c r="L452" s="7"/>
      <c r="M452" s="7"/>
      <c r="N452" s="7"/>
      <c r="O452" s="7"/>
      <c r="P452" s="7"/>
      <c r="Q452" s="7"/>
      <c r="R452" s="7"/>
      <c r="S452" s="7"/>
      <c r="T452" s="7"/>
      <c r="U452" s="7"/>
      <c r="V452" s="7"/>
      <c r="W452" s="7"/>
      <c r="X452" s="7"/>
      <c r="Y452" s="7"/>
      <c r="Z452" s="7"/>
    </row>
    <row r="453">
      <c r="A453" s="36" t="s">
        <v>1635</v>
      </c>
      <c r="B453" s="75" t="s">
        <v>1636</v>
      </c>
      <c r="C453" s="5"/>
      <c r="D453" s="5"/>
      <c r="E453" s="5"/>
      <c r="F453" s="5"/>
      <c r="G453" s="5"/>
      <c r="H453" s="5"/>
      <c r="I453" s="3"/>
      <c r="J453" s="7">
        <f>COUNTIF(J383:J450, "No")</f>
        <v>10</v>
      </c>
      <c r="K453" s="7"/>
      <c r="L453" s="7"/>
      <c r="M453" s="7"/>
      <c r="N453" s="7"/>
      <c r="O453" s="7"/>
    </row>
    <row r="454">
      <c r="A454" s="76" t="s">
        <v>1637</v>
      </c>
      <c r="B454" s="13"/>
      <c r="C454" s="13"/>
      <c r="D454" s="13"/>
      <c r="E454" s="13"/>
      <c r="F454" s="13"/>
      <c r="G454" s="13"/>
      <c r="H454" s="13"/>
      <c r="I454" s="10"/>
      <c r="J454" s="7">
        <f>J451+J452+J453</f>
        <v>67</v>
      </c>
      <c r="K454" s="7"/>
      <c r="L454" s="7"/>
      <c r="M454" s="7"/>
      <c r="N454" s="7"/>
      <c r="O454" s="7"/>
    </row>
    <row r="455">
      <c r="A455" s="36" t="s">
        <v>1639</v>
      </c>
      <c r="B455" s="36" t="s">
        <v>1640</v>
      </c>
      <c r="C455" s="36" t="s">
        <v>1641</v>
      </c>
      <c r="D455" s="36" t="s">
        <v>1642</v>
      </c>
      <c r="E455" s="36" t="s">
        <v>581</v>
      </c>
      <c r="F455" s="36"/>
      <c r="G455" s="36"/>
      <c r="H455" s="36"/>
      <c r="I455" s="36" t="s">
        <v>1643</v>
      </c>
      <c r="J455" s="7"/>
      <c r="K455" s="7"/>
      <c r="L455" s="7"/>
      <c r="M455" s="7"/>
      <c r="N455" s="7"/>
      <c r="O455" s="7"/>
    </row>
    <row r="456">
      <c r="A456" s="31" t="s">
        <v>20</v>
      </c>
      <c r="B456" s="31" t="s">
        <v>17</v>
      </c>
      <c r="C456" s="77" t="s">
        <v>960</v>
      </c>
      <c r="D456" s="37" t="s">
        <v>595</v>
      </c>
      <c r="E456" s="30" t="s">
        <v>1644</v>
      </c>
      <c r="F456" s="13"/>
      <c r="G456" s="13"/>
      <c r="H456" s="10"/>
      <c r="I456" s="37"/>
      <c r="J456" s="7"/>
      <c r="K456" s="7"/>
      <c r="L456" s="7"/>
      <c r="M456" s="7"/>
      <c r="N456" s="7">
        <f t="shared" ref="N456:N478" si="6"> IF(ISBLANK(E456), 0, 1)</f>
        <v>1</v>
      </c>
      <c r="O456" s="7"/>
    </row>
    <row r="457">
      <c r="A457" s="31" t="s">
        <v>403</v>
      </c>
      <c r="B457" s="31" t="s">
        <v>400</v>
      </c>
      <c r="C457" s="31" t="s">
        <v>1645</v>
      </c>
      <c r="D457" s="37" t="s">
        <v>1364</v>
      </c>
      <c r="E457" s="30" t="s">
        <v>1646</v>
      </c>
      <c r="F457" s="13"/>
      <c r="G457" s="13"/>
      <c r="H457" s="10"/>
      <c r="I457" s="37"/>
      <c r="J457" s="7"/>
      <c r="K457" s="7"/>
      <c r="L457" s="7"/>
      <c r="M457" s="7"/>
      <c r="N457" s="7">
        <f t="shared" si="6"/>
        <v>1</v>
      </c>
      <c r="O457" s="7"/>
    </row>
    <row r="458">
      <c r="A458" s="31" t="s">
        <v>290</v>
      </c>
      <c r="B458" s="31" t="s">
        <v>285</v>
      </c>
      <c r="C458" s="77" t="s">
        <v>945</v>
      </c>
      <c r="D458" s="37" t="s">
        <v>1380</v>
      </c>
      <c r="E458" s="30" t="s">
        <v>1647</v>
      </c>
      <c r="F458" s="13"/>
      <c r="G458" s="13"/>
      <c r="H458" s="10"/>
      <c r="I458" s="37"/>
      <c r="J458" s="7"/>
      <c r="K458" s="7"/>
      <c r="L458" s="7"/>
      <c r="M458" s="7"/>
      <c r="N458" s="7">
        <f t="shared" si="6"/>
        <v>1</v>
      </c>
      <c r="O458" s="7"/>
    </row>
    <row r="459">
      <c r="A459" s="31" t="s">
        <v>324</v>
      </c>
      <c r="B459" s="31" t="s">
        <v>319</v>
      </c>
      <c r="C459" s="31" t="s">
        <v>1127</v>
      </c>
      <c r="D459" s="37" t="s">
        <v>595</v>
      </c>
      <c r="E459" s="30" t="s">
        <v>1744</v>
      </c>
      <c r="F459" s="13"/>
      <c r="G459" s="13"/>
      <c r="H459" s="10"/>
      <c r="I459" s="37"/>
      <c r="J459" s="7"/>
      <c r="K459" s="7"/>
      <c r="L459" s="7"/>
      <c r="M459" s="7"/>
      <c r="N459" s="7">
        <f t="shared" si="6"/>
        <v>1</v>
      </c>
      <c r="O459" s="7"/>
    </row>
    <row r="460">
      <c r="A460" s="31" t="s">
        <v>122</v>
      </c>
      <c r="B460" s="31" t="s">
        <v>115</v>
      </c>
      <c r="C460" s="31" t="s">
        <v>1649</v>
      </c>
      <c r="D460" s="37" t="s">
        <v>595</v>
      </c>
      <c r="E460" s="30" t="s">
        <v>1650</v>
      </c>
      <c r="F460" s="13"/>
      <c r="G460" s="13"/>
      <c r="H460" s="10"/>
      <c r="I460" s="37"/>
      <c r="J460" s="7"/>
      <c r="K460" s="7"/>
      <c r="L460" s="7"/>
      <c r="M460" s="7"/>
      <c r="N460" s="7">
        <f t="shared" si="6"/>
        <v>1</v>
      </c>
      <c r="O460" s="7"/>
    </row>
    <row r="461">
      <c r="A461" s="31" t="s">
        <v>391</v>
      </c>
      <c r="B461" s="31" t="s">
        <v>1651</v>
      </c>
      <c r="C461" s="31" t="s">
        <v>387</v>
      </c>
      <c r="D461" s="37" t="s">
        <v>1399</v>
      </c>
      <c r="E461" s="30" t="s">
        <v>1652</v>
      </c>
      <c r="F461" s="13"/>
      <c r="G461" s="13"/>
      <c r="H461" s="10"/>
      <c r="I461" s="37"/>
      <c r="J461" s="7"/>
      <c r="K461" s="7"/>
      <c r="L461" s="7"/>
      <c r="M461" s="7"/>
      <c r="N461" s="7">
        <f t="shared" si="6"/>
        <v>1</v>
      </c>
      <c r="O461" s="7"/>
    </row>
    <row r="462">
      <c r="A462" s="31" t="s">
        <v>82</v>
      </c>
      <c r="B462" s="31" t="s">
        <v>78</v>
      </c>
      <c r="C462" s="77" t="s">
        <v>1653</v>
      </c>
      <c r="D462" s="37" t="s">
        <v>595</v>
      </c>
      <c r="E462" s="30" t="s">
        <v>1654</v>
      </c>
      <c r="F462" s="13"/>
      <c r="G462" s="13"/>
      <c r="H462" s="10"/>
      <c r="I462" s="37"/>
      <c r="J462" s="7"/>
      <c r="K462" s="7"/>
      <c r="L462" s="7"/>
      <c r="M462" s="7"/>
      <c r="N462" s="7">
        <f t="shared" si="6"/>
        <v>1</v>
      </c>
      <c r="O462" s="7"/>
    </row>
    <row r="463">
      <c r="A463" s="31" t="s">
        <v>356</v>
      </c>
      <c r="B463" s="31" t="s">
        <v>352</v>
      </c>
      <c r="C463" s="31" t="s">
        <v>1268</v>
      </c>
      <c r="D463" s="37" t="s">
        <v>595</v>
      </c>
      <c r="E463" s="30" t="s">
        <v>1655</v>
      </c>
      <c r="F463" s="13"/>
      <c r="G463" s="13"/>
      <c r="H463" s="10"/>
      <c r="I463" s="37"/>
      <c r="J463" s="7"/>
      <c r="K463" s="7"/>
      <c r="L463" s="7"/>
      <c r="M463" s="7"/>
      <c r="N463" s="7">
        <f t="shared" si="6"/>
        <v>1</v>
      </c>
      <c r="O463" s="7"/>
    </row>
    <row r="464">
      <c r="A464" s="31" t="s">
        <v>1404</v>
      </c>
      <c r="B464" s="31" t="s">
        <v>423</v>
      </c>
      <c r="C464" s="31" t="s">
        <v>1019</v>
      </c>
      <c r="D464" s="37" t="s">
        <v>1656</v>
      </c>
      <c r="E464" s="30" t="s">
        <v>1657</v>
      </c>
      <c r="F464" s="13"/>
      <c r="G464" s="13"/>
      <c r="H464" s="10"/>
      <c r="I464" s="37"/>
      <c r="J464" s="7"/>
      <c r="K464" s="7"/>
      <c r="L464" s="7"/>
      <c r="M464" s="7"/>
      <c r="N464" s="7">
        <f t="shared" si="6"/>
        <v>1</v>
      </c>
      <c r="O464" s="7"/>
    </row>
    <row r="465">
      <c r="A465" s="31" t="s">
        <v>351</v>
      </c>
      <c r="B465" s="31" t="s">
        <v>345</v>
      </c>
      <c r="C465" s="77" t="s">
        <v>1120</v>
      </c>
      <c r="D465" s="37" t="s">
        <v>595</v>
      </c>
      <c r="E465" s="30" t="s">
        <v>1658</v>
      </c>
      <c r="F465" s="13"/>
      <c r="G465" s="13"/>
      <c r="H465" s="10"/>
      <c r="I465" s="37"/>
      <c r="J465" s="7"/>
      <c r="K465" s="7"/>
      <c r="L465" s="7"/>
      <c r="M465" s="7"/>
      <c r="N465" s="7">
        <f t="shared" si="6"/>
        <v>1</v>
      </c>
      <c r="O465" s="7"/>
    </row>
    <row r="466">
      <c r="A466" s="31" t="s">
        <v>260</v>
      </c>
      <c r="B466" s="31" t="s">
        <v>1659</v>
      </c>
      <c r="C466" s="77" t="s">
        <v>1123</v>
      </c>
      <c r="D466" s="37" t="s">
        <v>595</v>
      </c>
      <c r="E466" s="30" t="s">
        <v>1660</v>
      </c>
      <c r="F466" s="13"/>
      <c r="G466" s="13"/>
      <c r="H466" s="10"/>
      <c r="I466" s="37"/>
      <c r="J466" s="7"/>
      <c r="K466" s="7"/>
      <c r="L466" s="7"/>
      <c r="M466" s="7"/>
      <c r="N466" s="7">
        <f t="shared" si="6"/>
        <v>1</v>
      </c>
      <c r="O466" s="7"/>
    </row>
    <row r="467">
      <c r="A467" s="31" t="s">
        <v>420</v>
      </c>
      <c r="B467" s="31" t="s">
        <v>415</v>
      </c>
      <c r="C467" s="31" t="s">
        <v>775</v>
      </c>
      <c r="D467" s="37" t="s">
        <v>595</v>
      </c>
      <c r="E467" s="30" t="s">
        <v>1661</v>
      </c>
      <c r="F467" s="13"/>
      <c r="G467" s="13"/>
      <c r="H467" s="10"/>
      <c r="I467" s="37"/>
      <c r="J467" s="7"/>
      <c r="K467" s="7"/>
      <c r="L467" s="7"/>
      <c r="M467" s="7"/>
      <c r="N467" s="7">
        <f t="shared" si="6"/>
        <v>1</v>
      </c>
      <c r="O467" s="7"/>
      <c r="P467" s="7"/>
      <c r="Q467" s="7"/>
      <c r="R467" s="7"/>
      <c r="S467" s="7"/>
      <c r="T467" s="7"/>
      <c r="U467" s="7"/>
      <c r="V467" s="7"/>
      <c r="W467" s="7"/>
      <c r="X467" s="7"/>
      <c r="Y467" s="7"/>
      <c r="Z467" s="7"/>
    </row>
    <row r="468">
      <c r="A468" s="31" t="s">
        <v>127</v>
      </c>
      <c r="B468" s="31" t="s">
        <v>123</v>
      </c>
      <c r="C468" s="31" t="s">
        <v>937</v>
      </c>
      <c r="D468" s="37" t="s">
        <v>595</v>
      </c>
      <c r="E468" s="30" t="s">
        <v>1746</v>
      </c>
      <c r="F468" s="13"/>
      <c r="G468" s="13"/>
      <c r="H468" s="10"/>
      <c r="I468" s="37"/>
      <c r="J468" s="7"/>
      <c r="K468" s="7"/>
      <c r="L468" s="7"/>
      <c r="M468" s="7"/>
      <c r="N468" s="7">
        <f t="shared" si="6"/>
        <v>1</v>
      </c>
      <c r="O468" s="7"/>
      <c r="P468" s="7"/>
      <c r="Q468" s="7"/>
      <c r="R468" s="7"/>
      <c r="S468" s="7"/>
      <c r="T468" s="7"/>
      <c r="U468" s="7"/>
      <c r="V468" s="7"/>
      <c r="W468" s="7"/>
      <c r="X468" s="7"/>
      <c r="Y468" s="7"/>
      <c r="Z468" s="7"/>
    </row>
    <row r="469">
      <c r="A469" s="37" t="s">
        <v>374</v>
      </c>
      <c r="B469" s="37" t="s">
        <v>371</v>
      </c>
      <c r="C469" s="37" t="s">
        <v>813</v>
      </c>
      <c r="D469" s="37" t="s">
        <v>1388</v>
      </c>
      <c r="E469" s="30" t="s">
        <v>1663</v>
      </c>
      <c r="F469" s="13"/>
      <c r="G469" s="13"/>
      <c r="H469" s="10"/>
      <c r="I469" s="37"/>
      <c r="J469" s="7"/>
      <c r="K469" s="7"/>
      <c r="L469" s="7"/>
      <c r="M469" s="7"/>
      <c r="N469" s="7">
        <f t="shared" si="6"/>
        <v>1</v>
      </c>
      <c r="O469" s="7"/>
      <c r="P469" s="7"/>
      <c r="Q469" s="7"/>
      <c r="R469" s="7"/>
      <c r="S469" s="7"/>
      <c r="T469" s="7"/>
      <c r="U469" s="7"/>
      <c r="V469" s="7"/>
      <c r="W469" s="7"/>
      <c r="X469" s="7"/>
      <c r="Y469" s="7"/>
      <c r="Z469" s="7"/>
    </row>
    <row r="470">
      <c r="A470" s="37" t="s">
        <v>39</v>
      </c>
      <c r="B470" s="37" t="s">
        <v>35</v>
      </c>
      <c r="C470" s="37" t="s">
        <v>1153</v>
      </c>
      <c r="D470" s="37" t="s">
        <v>595</v>
      </c>
      <c r="E470" s="30" t="s">
        <v>1665</v>
      </c>
      <c r="F470" s="13"/>
      <c r="G470" s="13"/>
      <c r="H470" s="10"/>
      <c r="I470" s="37"/>
      <c r="J470" s="7"/>
      <c r="K470" s="7"/>
      <c r="L470" s="7"/>
      <c r="M470" s="7"/>
      <c r="N470" s="7">
        <f t="shared" si="6"/>
        <v>1</v>
      </c>
      <c r="O470" s="7"/>
      <c r="P470" s="7"/>
      <c r="Q470" s="7"/>
      <c r="R470" s="7"/>
      <c r="S470" s="7"/>
      <c r="T470" s="7"/>
      <c r="U470" s="7"/>
      <c r="V470" s="7"/>
      <c r="W470" s="7"/>
      <c r="X470" s="7"/>
      <c r="Y470" s="7"/>
      <c r="Z470" s="7"/>
    </row>
    <row r="471">
      <c r="A471" s="37" t="s">
        <v>466</v>
      </c>
      <c r="B471" s="37" t="s">
        <v>1667</v>
      </c>
      <c r="C471" s="37" t="s">
        <v>1668</v>
      </c>
      <c r="D471" s="37" t="s">
        <v>595</v>
      </c>
      <c r="E471" s="30" t="s">
        <v>1747</v>
      </c>
      <c r="F471" s="13"/>
      <c r="G471" s="13"/>
      <c r="H471" s="10"/>
      <c r="I471" s="37"/>
      <c r="J471" s="7"/>
      <c r="K471" s="7"/>
      <c r="L471" s="7"/>
      <c r="M471" s="7"/>
      <c r="N471" s="7">
        <f t="shared" si="6"/>
        <v>1</v>
      </c>
      <c r="O471" s="7"/>
      <c r="P471" s="7"/>
      <c r="Q471" s="7"/>
      <c r="R471" s="7"/>
      <c r="S471" s="7"/>
      <c r="T471" s="7"/>
      <c r="U471" s="7"/>
      <c r="V471" s="7"/>
      <c r="W471" s="7"/>
      <c r="X471" s="7"/>
      <c r="Y471" s="7"/>
      <c r="Z471" s="7"/>
    </row>
    <row r="472">
      <c r="A472" s="37" t="s">
        <v>254</v>
      </c>
      <c r="B472" s="37" t="s">
        <v>248</v>
      </c>
      <c r="C472" s="37" t="s">
        <v>880</v>
      </c>
      <c r="D472" s="37" t="s">
        <v>595</v>
      </c>
      <c r="E472" s="30" t="s">
        <v>1748</v>
      </c>
      <c r="F472" s="13"/>
      <c r="G472" s="13"/>
      <c r="H472" s="10"/>
      <c r="I472" s="37"/>
      <c r="J472" s="7"/>
      <c r="K472" s="7"/>
      <c r="L472" s="7"/>
      <c r="M472" s="7"/>
      <c r="N472" s="7">
        <f t="shared" si="6"/>
        <v>1</v>
      </c>
      <c r="O472" s="7"/>
      <c r="P472" s="7"/>
      <c r="Q472" s="7"/>
      <c r="R472" s="7"/>
      <c r="S472" s="7"/>
      <c r="T472" s="7"/>
      <c r="U472" s="7"/>
      <c r="V472" s="7"/>
      <c r="W472" s="7"/>
      <c r="X472" s="7"/>
      <c r="Y472" s="7"/>
      <c r="Z472" s="7"/>
    </row>
    <row r="473">
      <c r="A473" s="37" t="s">
        <v>445</v>
      </c>
      <c r="B473" s="37" t="s">
        <v>440</v>
      </c>
      <c r="C473" s="37" t="s">
        <v>734</v>
      </c>
      <c r="D473" s="37" t="s">
        <v>1342</v>
      </c>
      <c r="E473" s="30" t="s">
        <v>1671</v>
      </c>
      <c r="F473" s="13"/>
      <c r="G473" s="13"/>
      <c r="H473" s="10"/>
      <c r="I473" s="37"/>
      <c r="J473" s="7"/>
      <c r="K473" s="7"/>
      <c r="L473" s="7"/>
      <c r="M473" s="7"/>
      <c r="N473" s="7">
        <f t="shared" si="6"/>
        <v>1</v>
      </c>
      <c r="O473" s="7"/>
      <c r="P473" s="7"/>
      <c r="Q473" s="7"/>
      <c r="R473" s="7"/>
      <c r="S473" s="7"/>
      <c r="T473" s="7"/>
      <c r="U473" s="7"/>
      <c r="V473" s="7"/>
      <c r="W473" s="7"/>
      <c r="X473" s="7"/>
      <c r="Y473" s="7"/>
      <c r="Z473" s="7"/>
    </row>
    <row r="474">
      <c r="A474" s="37" t="s">
        <v>520</v>
      </c>
      <c r="B474" s="37" t="s">
        <v>516</v>
      </c>
      <c r="C474" s="37" t="s">
        <v>602</v>
      </c>
      <c r="D474" s="37" t="s">
        <v>1375</v>
      </c>
      <c r="E474" s="30" t="s">
        <v>1673</v>
      </c>
      <c r="F474" s="13"/>
      <c r="G474" s="13"/>
      <c r="H474" s="10"/>
      <c r="I474" s="37"/>
      <c r="J474" s="7"/>
      <c r="K474" s="7"/>
      <c r="L474" s="7"/>
      <c r="M474" s="7"/>
      <c r="N474" s="7">
        <f t="shared" si="6"/>
        <v>1</v>
      </c>
      <c r="O474" s="7"/>
      <c r="P474" s="7"/>
      <c r="Q474" s="7"/>
      <c r="R474" s="7"/>
      <c r="S474" s="7"/>
      <c r="T474" s="7"/>
      <c r="U474" s="7"/>
      <c r="V474" s="7"/>
      <c r="W474" s="7"/>
      <c r="X474" s="7"/>
      <c r="Y474" s="7"/>
      <c r="Z474" s="7"/>
    </row>
    <row r="475">
      <c r="A475" s="37" t="s">
        <v>344</v>
      </c>
      <c r="B475" s="37" t="s">
        <v>1675</v>
      </c>
      <c r="C475" s="37" t="s">
        <v>1676</v>
      </c>
      <c r="D475" s="37" t="s">
        <v>1360</v>
      </c>
      <c r="E475" s="30" t="s">
        <v>1750</v>
      </c>
      <c r="F475" s="13"/>
      <c r="G475" s="13"/>
      <c r="H475" s="10"/>
      <c r="I475" s="37"/>
      <c r="J475" s="7"/>
      <c r="K475" s="7"/>
      <c r="L475" s="7"/>
      <c r="M475" s="7"/>
      <c r="N475" s="7">
        <f t="shared" si="6"/>
        <v>1</v>
      </c>
      <c r="O475" s="7"/>
      <c r="P475" s="7"/>
      <c r="Q475" s="7"/>
      <c r="R475" s="7"/>
      <c r="S475" s="7"/>
      <c r="T475" s="7"/>
      <c r="U475" s="7"/>
      <c r="V475" s="7"/>
      <c r="W475" s="7"/>
      <c r="X475" s="7"/>
      <c r="Y475" s="7"/>
      <c r="Z475" s="7"/>
    </row>
    <row r="476">
      <c r="A476" s="37" t="s">
        <v>280</v>
      </c>
      <c r="B476" s="37" t="s">
        <v>276</v>
      </c>
      <c r="C476" s="37" t="s">
        <v>958</v>
      </c>
      <c r="D476" s="37" t="s">
        <v>1405</v>
      </c>
      <c r="E476" s="30" t="s">
        <v>1751</v>
      </c>
      <c r="F476" s="13"/>
      <c r="G476" s="13"/>
      <c r="H476" s="10"/>
      <c r="I476" s="37"/>
      <c r="J476" s="7"/>
      <c r="K476" s="7"/>
      <c r="L476" s="7"/>
      <c r="M476" s="7"/>
      <c r="N476" s="7">
        <f t="shared" si="6"/>
        <v>1</v>
      </c>
      <c r="O476" s="7"/>
      <c r="P476" s="7"/>
      <c r="Q476" s="7"/>
      <c r="R476" s="7"/>
      <c r="S476" s="7"/>
      <c r="T476" s="7"/>
      <c r="U476" s="7"/>
      <c r="V476" s="7"/>
      <c r="W476" s="7"/>
      <c r="X476" s="7"/>
      <c r="Y476" s="7"/>
      <c r="Z476" s="7"/>
    </row>
    <row r="477">
      <c r="A477" s="37" t="s">
        <v>52</v>
      </c>
      <c r="B477" s="37" t="s">
        <v>48</v>
      </c>
      <c r="C477" s="37" t="s">
        <v>1187</v>
      </c>
      <c r="D477" s="37" t="s">
        <v>595</v>
      </c>
      <c r="E477" s="30" t="s">
        <v>1680</v>
      </c>
      <c r="F477" s="13"/>
      <c r="G477" s="13"/>
      <c r="H477" s="10"/>
      <c r="I477" s="37"/>
      <c r="J477" s="7"/>
      <c r="K477" s="7"/>
      <c r="L477" s="7"/>
      <c r="M477" s="7"/>
      <c r="N477" s="7">
        <f t="shared" si="6"/>
        <v>1</v>
      </c>
      <c r="O477" s="7"/>
      <c r="P477" s="7"/>
      <c r="Q477" s="7"/>
      <c r="R477" s="7"/>
      <c r="S477" s="7"/>
      <c r="T477" s="7"/>
      <c r="U477" s="7"/>
      <c r="V477" s="7"/>
      <c r="W477" s="7"/>
      <c r="X477" s="7"/>
      <c r="Y477" s="7"/>
      <c r="Z477" s="7"/>
    </row>
    <row r="478">
      <c r="A478" s="37" t="s">
        <v>1682</v>
      </c>
      <c r="B478" s="37" t="s">
        <v>242</v>
      </c>
      <c r="C478" s="37" t="s">
        <v>1683</v>
      </c>
      <c r="D478" s="37" t="s">
        <v>1368</v>
      </c>
      <c r="E478" s="30" t="s">
        <v>1684</v>
      </c>
      <c r="F478" s="13"/>
      <c r="G478" s="13"/>
      <c r="H478" s="10"/>
      <c r="I478" s="37"/>
      <c r="J478" s="7"/>
      <c r="K478" s="7"/>
      <c r="L478" s="7"/>
      <c r="M478" s="7"/>
      <c r="N478" s="7">
        <f t="shared" si="6"/>
        <v>1</v>
      </c>
      <c r="O478" s="7"/>
      <c r="P478" s="7"/>
      <c r="Q478" s="7"/>
      <c r="R478" s="7"/>
      <c r="S478" s="7"/>
      <c r="T478" s="7"/>
      <c r="U478" s="7"/>
      <c r="V478" s="7"/>
      <c r="W478" s="7"/>
      <c r="X478" s="7"/>
      <c r="Y478" s="7"/>
      <c r="Z478" s="7"/>
    </row>
    <row r="479">
      <c r="A479" s="37" t="s">
        <v>235</v>
      </c>
      <c r="B479" s="37" t="s">
        <v>232</v>
      </c>
      <c r="C479" s="37" t="s">
        <v>1685</v>
      </c>
      <c r="D479" s="37" t="s">
        <v>1396</v>
      </c>
      <c r="E479" s="30" t="s">
        <v>1686</v>
      </c>
      <c r="F479" s="13"/>
      <c r="G479" s="13"/>
      <c r="H479" s="10"/>
      <c r="I479" s="37"/>
      <c r="J479" s="7"/>
      <c r="K479" s="7"/>
      <c r="L479" s="7"/>
      <c r="M479" s="7"/>
      <c r="N479" s="7"/>
      <c r="O479" s="7"/>
      <c r="P479" s="7"/>
      <c r="Q479" s="7"/>
      <c r="R479" s="7"/>
      <c r="S479" s="7"/>
      <c r="T479" s="7"/>
      <c r="U479" s="7"/>
      <c r="V479" s="7"/>
      <c r="W479" s="7"/>
      <c r="X479" s="7"/>
      <c r="Y479" s="7"/>
      <c r="Z479" s="7"/>
    </row>
    <row r="480">
      <c r="A480" s="37" t="s">
        <v>210</v>
      </c>
      <c r="B480" s="37" t="s">
        <v>207</v>
      </c>
      <c r="C480" s="37" t="s">
        <v>593</v>
      </c>
      <c r="D480" s="37" t="s">
        <v>595</v>
      </c>
      <c r="E480" s="30" t="s">
        <v>1753</v>
      </c>
      <c r="F480" s="13"/>
      <c r="G480" s="13"/>
      <c r="H480" s="10"/>
      <c r="I480" s="37"/>
      <c r="J480" s="7"/>
      <c r="K480" s="7"/>
      <c r="L480" s="7"/>
      <c r="M480" s="7"/>
      <c r="N480" s="7"/>
      <c r="O480" s="7"/>
      <c r="P480" s="7"/>
      <c r="Q480" s="7"/>
      <c r="R480" s="7"/>
      <c r="S480" s="7"/>
      <c r="T480" s="7"/>
      <c r="U480" s="7"/>
      <c r="V480" s="7"/>
      <c r="W480" s="7"/>
      <c r="X480" s="7"/>
      <c r="Y480" s="7"/>
      <c r="Z480" s="7"/>
    </row>
    <row r="481">
      <c r="A481" s="37" t="s">
        <v>439</v>
      </c>
      <c r="B481" s="37" t="s">
        <v>436</v>
      </c>
      <c r="C481" s="37" t="s">
        <v>941</v>
      </c>
      <c r="D481" s="37" t="s">
        <v>595</v>
      </c>
      <c r="E481" s="30" t="s">
        <v>1688</v>
      </c>
      <c r="F481" s="13"/>
      <c r="G481" s="13"/>
      <c r="H481" s="10"/>
      <c r="I481" s="37"/>
      <c r="J481" s="7"/>
      <c r="K481" s="7"/>
      <c r="L481" s="7"/>
      <c r="M481" s="7"/>
      <c r="N481" s="7"/>
      <c r="O481" s="7"/>
      <c r="P481" s="7"/>
      <c r="Q481" s="7"/>
      <c r="R481" s="7"/>
      <c r="S481" s="7"/>
      <c r="T481" s="7"/>
      <c r="U481" s="7"/>
      <c r="V481" s="7"/>
      <c r="W481" s="7"/>
      <c r="X481" s="7"/>
      <c r="Y481" s="7"/>
      <c r="Z481" s="7"/>
    </row>
    <row r="482">
      <c r="A482" s="37" t="s">
        <v>461</v>
      </c>
      <c r="B482" s="37" t="s">
        <v>457</v>
      </c>
      <c r="C482" s="37" t="s">
        <v>824</v>
      </c>
      <c r="D482" s="37" t="s">
        <v>1371</v>
      </c>
      <c r="E482" s="30" t="s">
        <v>1689</v>
      </c>
      <c r="F482" s="13"/>
      <c r="G482" s="13"/>
      <c r="H482" s="10"/>
      <c r="I482" s="37"/>
      <c r="J482" s="7"/>
      <c r="K482" s="7"/>
      <c r="L482" s="7"/>
      <c r="M482" s="7"/>
      <c r="N482" s="7">
        <f> IF(ISBLANK(E482), 0, 1)</f>
        <v>1</v>
      </c>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f>SUM(N456:N482)</f>
        <v>24</v>
      </c>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8" t="s">
        <v>1692</v>
      </c>
      <c r="B493" s="79"/>
      <c r="C493" s="79"/>
      <c r="D493" s="79"/>
      <c r="E493" s="79"/>
      <c r="F493" s="79"/>
      <c r="G493" s="79"/>
      <c r="H493" s="80"/>
      <c r="I493" s="7"/>
      <c r="J493" s="7"/>
      <c r="K493" s="7"/>
      <c r="L493" s="7"/>
      <c r="M493" s="7"/>
      <c r="N493" s="7"/>
      <c r="O493" s="7"/>
      <c r="P493" s="7"/>
      <c r="Q493" s="7"/>
      <c r="R493" s="7"/>
      <c r="S493" s="7"/>
      <c r="T493" s="7"/>
      <c r="U493" s="7"/>
      <c r="V493" s="7"/>
      <c r="W493" s="7"/>
      <c r="X493" s="7"/>
      <c r="Y493" s="7"/>
      <c r="Z493" s="7"/>
    </row>
    <row r="494">
      <c r="A494" s="81" t="s">
        <v>1693</v>
      </c>
      <c r="B494" s="82" t="s">
        <v>1694</v>
      </c>
      <c r="C494" s="82" t="s">
        <v>1695</v>
      </c>
      <c r="D494" s="83"/>
      <c r="E494" s="83"/>
      <c r="F494" s="83"/>
      <c r="G494" s="83"/>
      <c r="H494" s="83"/>
      <c r="I494" s="7"/>
      <c r="J494" s="7"/>
      <c r="K494" s="7"/>
      <c r="L494" s="7"/>
      <c r="M494" s="7"/>
      <c r="N494" s="7"/>
      <c r="O494" s="7"/>
      <c r="P494" s="7"/>
      <c r="Q494" s="7"/>
      <c r="R494" s="7"/>
      <c r="S494" s="7"/>
      <c r="T494" s="7"/>
      <c r="U494" s="7"/>
      <c r="V494" s="7"/>
      <c r="W494" s="7"/>
      <c r="X494" s="7"/>
      <c r="Y494" s="7"/>
      <c r="Z494" s="7"/>
    </row>
    <row r="495">
      <c r="A495" s="81" t="s">
        <v>1696</v>
      </c>
      <c r="B495" s="84" t="s">
        <v>1697</v>
      </c>
      <c r="C495" s="79"/>
      <c r="D495" s="79"/>
      <c r="E495" s="79"/>
      <c r="F495" s="79"/>
      <c r="G495" s="79"/>
      <c r="H495" s="80"/>
      <c r="I495" s="7"/>
      <c r="J495" s="7"/>
      <c r="K495" s="7"/>
      <c r="L495" s="7"/>
      <c r="M495" s="7"/>
      <c r="N495" s="7"/>
      <c r="O495" s="7"/>
      <c r="P495" s="7"/>
      <c r="Q495" s="7"/>
      <c r="R495" s="7"/>
      <c r="S495" s="7"/>
      <c r="T495" s="7"/>
      <c r="U495" s="7"/>
      <c r="V495" s="7"/>
      <c r="W495" s="7"/>
      <c r="X495" s="7"/>
      <c r="Y495" s="7"/>
      <c r="Z495" s="7"/>
    </row>
    <row r="496">
      <c r="A496" s="81" t="s">
        <v>1698</v>
      </c>
      <c r="B496" s="84" t="s">
        <v>1699</v>
      </c>
      <c r="C496" s="79"/>
      <c r="D496" s="79"/>
      <c r="E496" s="79"/>
      <c r="F496" s="79"/>
      <c r="G496" s="79"/>
      <c r="H496" s="80"/>
      <c r="I496" s="7"/>
      <c r="J496" s="7"/>
      <c r="K496" s="7"/>
      <c r="L496" s="7"/>
      <c r="M496" s="7"/>
      <c r="N496" s="7"/>
      <c r="O496" s="7"/>
      <c r="P496" s="7"/>
      <c r="Q496" s="7"/>
      <c r="R496" s="7"/>
      <c r="S496" s="7"/>
      <c r="T496" s="7"/>
      <c r="U496" s="7"/>
      <c r="V496" s="7"/>
      <c r="W496" s="7"/>
      <c r="X496" s="7"/>
      <c r="Y496" s="7"/>
      <c r="Z496" s="7"/>
    </row>
    <row r="497">
      <c r="A497" s="81" t="s">
        <v>1700</v>
      </c>
      <c r="B497" s="84" t="s">
        <v>1702</v>
      </c>
      <c r="C497" s="79"/>
      <c r="D497" s="79"/>
      <c r="E497" s="79"/>
      <c r="F497" s="79"/>
      <c r="G497" s="79"/>
      <c r="H497" s="80"/>
      <c r="I497" s="7"/>
      <c r="J497" s="7"/>
      <c r="K497" s="7"/>
      <c r="L497" s="7"/>
      <c r="M497" s="7"/>
      <c r="N497" s="7"/>
      <c r="O497" s="7"/>
      <c r="P497" s="7"/>
      <c r="Q497" s="7"/>
      <c r="R497" s="7"/>
      <c r="S497" s="7"/>
      <c r="T497" s="7"/>
      <c r="U497" s="7"/>
      <c r="V497" s="7"/>
      <c r="W497" s="7"/>
      <c r="X497" s="7"/>
      <c r="Y497" s="7"/>
      <c r="Z497" s="7"/>
    </row>
    <row r="498">
      <c r="A498" s="81" t="s">
        <v>1703</v>
      </c>
      <c r="B498" s="84" t="s">
        <v>1704</v>
      </c>
      <c r="C498" s="79"/>
      <c r="D498" s="79"/>
      <c r="E498" s="79"/>
      <c r="F498" s="79"/>
      <c r="G498" s="79"/>
      <c r="H498" s="80"/>
      <c r="I498" s="7"/>
      <c r="J498" s="7"/>
      <c r="K498" s="7"/>
      <c r="L498" s="7"/>
      <c r="M498" s="7"/>
      <c r="N498" s="7"/>
      <c r="O498" s="7"/>
      <c r="P498" s="7"/>
      <c r="Q498" s="7"/>
      <c r="R498" s="7"/>
      <c r="S498" s="7"/>
      <c r="T498" s="7"/>
      <c r="U498" s="7"/>
      <c r="V498" s="7"/>
      <c r="W498" s="7"/>
      <c r="X498" s="7"/>
      <c r="Y498" s="7"/>
      <c r="Z498" s="7"/>
    </row>
    <row r="499">
      <c r="A499" s="81" t="s">
        <v>1705</v>
      </c>
      <c r="B499" s="84" t="s">
        <v>1706</v>
      </c>
      <c r="C499" s="79"/>
      <c r="D499" s="79"/>
      <c r="E499" s="79"/>
      <c r="F499" s="79"/>
      <c r="G499" s="79"/>
      <c r="H499" s="80"/>
      <c r="I499" s="7"/>
      <c r="J499" s="7"/>
      <c r="K499" s="7"/>
      <c r="L499" s="7"/>
      <c r="M499" s="7"/>
      <c r="N499" s="7"/>
      <c r="O499" s="7"/>
      <c r="P499" s="7"/>
      <c r="Q499" s="7"/>
      <c r="R499" s="7"/>
      <c r="S499" s="7"/>
      <c r="T499" s="7"/>
      <c r="U499" s="7"/>
      <c r="V499" s="7"/>
      <c r="W499" s="7"/>
      <c r="X499" s="7"/>
      <c r="Y499" s="7"/>
      <c r="Z499" s="7"/>
    </row>
    <row r="500">
      <c r="A500" s="81" t="s">
        <v>1707</v>
      </c>
      <c r="B500" s="84" t="s">
        <v>1708</v>
      </c>
      <c r="C500" s="79"/>
      <c r="D500" s="79"/>
      <c r="E500" s="79"/>
      <c r="F500" s="79"/>
      <c r="G500" s="79"/>
      <c r="H500" s="80"/>
      <c r="I500" s="7"/>
      <c r="J500" s="7"/>
      <c r="K500" s="7"/>
      <c r="L500" s="7"/>
      <c r="M500" s="7"/>
      <c r="N500" s="7"/>
      <c r="O500" s="7"/>
      <c r="P500" s="7"/>
      <c r="Q500" s="7"/>
      <c r="R500" s="7"/>
      <c r="S500" s="7"/>
      <c r="T500" s="7"/>
      <c r="U500" s="7"/>
      <c r="V500" s="7"/>
      <c r="W500" s="7"/>
      <c r="X500" s="7"/>
      <c r="Y500" s="7"/>
      <c r="Z500" s="7"/>
    </row>
    <row r="501">
      <c r="A501" s="81" t="s">
        <v>1709</v>
      </c>
      <c r="B501" s="84" t="s">
        <v>1710</v>
      </c>
      <c r="C501" s="79"/>
      <c r="D501" s="79"/>
      <c r="E501" s="79"/>
      <c r="F501" s="79"/>
      <c r="G501" s="79"/>
      <c r="H501" s="80"/>
      <c r="I501" s="7"/>
      <c r="J501" s="7"/>
      <c r="K501" s="7"/>
      <c r="L501" s="7"/>
      <c r="M501" s="7"/>
      <c r="N501" s="7"/>
      <c r="O501" s="7"/>
      <c r="P501" s="7"/>
      <c r="Q501" s="7"/>
      <c r="R501" s="7"/>
      <c r="S501" s="7"/>
      <c r="T501" s="7"/>
      <c r="U501" s="7"/>
      <c r="V501" s="7"/>
      <c r="W501" s="7"/>
      <c r="X501" s="7"/>
      <c r="Y501" s="7"/>
      <c r="Z501" s="7"/>
    </row>
    <row r="502">
      <c r="A502" s="81" t="s">
        <v>1711</v>
      </c>
      <c r="B502" s="84" t="s">
        <v>1712</v>
      </c>
      <c r="C502" s="79"/>
      <c r="D502" s="79"/>
      <c r="E502" s="79"/>
      <c r="F502" s="79"/>
      <c r="G502" s="79"/>
      <c r="H502" s="80"/>
      <c r="I502" s="7"/>
      <c r="J502" s="7"/>
      <c r="K502" s="7"/>
      <c r="L502" s="7"/>
      <c r="M502" s="7"/>
      <c r="N502" s="7"/>
      <c r="O502" s="7"/>
      <c r="P502" s="7"/>
      <c r="Q502" s="7"/>
      <c r="R502" s="7"/>
      <c r="S502" s="7"/>
      <c r="T502" s="7"/>
      <c r="U502" s="7"/>
      <c r="V502" s="7"/>
      <c r="W502" s="7"/>
      <c r="X502" s="7"/>
      <c r="Y502" s="7"/>
      <c r="Z502" s="7"/>
    </row>
    <row r="503">
      <c r="A503" s="81" t="s">
        <v>1713</v>
      </c>
      <c r="B503" s="84" t="s">
        <v>1714</v>
      </c>
      <c r="C503" s="79"/>
      <c r="D503" s="79"/>
      <c r="E503" s="79"/>
      <c r="F503" s="79"/>
      <c r="G503" s="79"/>
      <c r="H503" s="80"/>
      <c r="I503" s="7"/>
      <c r="J503" s="7"/>
      <c r="K503" s="7"/>
      <c r="L503" s="7"/>
      <c r="M503" s="7"/>
      <c r="N503" s="7"/>
      <c r="O503" s="7"/>
      <c r="P503" s="7"/>
      <c r="Q503" s="7"/>
      <c r="R503" s="7"/>
      <c r="S503" s="7"/>
      <c r="T503" s="7"/>
      <c r="U503" s="7"/>
      <c r="V503" s="7"/>
      <c r="W503" s="7"/>
      <c r="X503" s="7"/>
      <c r="Y503" s="7"/>
      <c r="Z503" s="7"/>
    </row>
    <row r="504">
      <c r="A504" s="78" t="s">
        <v>1715</v>
      </c>
      <c r="B504" s="79"/>
      <c r="C504" s="79"/>
      <c r="D504" s="79"/>
      <c r="E504" s="79"/>
      <c r="F504" s="79"/>
      <c r="G504" s="79"/>
      <c r="H504" s="80"/>
      <c r="I504" s="7"/>
      <c r="J504" s="7"/>
      <c r="K504" s="7"/>
      <c r="L504" s="7"/>
      <c r="M504" s="7"/>
      <c r="N504" s="7"/>
      <c r="O504" s="7"/>
      <c r="P504" s="7"/>
      <c r="Q504" s="7"/>
      <c r="R504" s="7"/>
      <c r="S504" s="7"/>
      <c r="T504" s="7"/>
      <c r="U504" s="7"/>
      <c r="V504" s="7"/>
      <c r="W504" s="7"/>
      <c r="X504" s="7"/>
      <c r="Y504" s="7"/>
      <c r="Z504" s="7"/>
    </row>
    <row r="505">
      <c r="A505" s="85" t="s">
        <v>1716</v>
      </c>
      <c r="B505" s="79"/>
      <c r="C505" s="79"/>
      <c r="D505" s="79"/>
      <c r="E505" s="79"/>
      <c r="F505" s="79"/>
      <c r="G505" s="79"/>
      <c r="H505" s="80"/>
      <c r="I505" s="7"/>
      <c r="J505" s="7"/>
      <c r="K505" s="7"/>
      <c r="L505" s="7"/>
      <c r="M505" s="7"/>
      <c r="N505" s="7"/>
      <c r="O505" s="7"/>
      <c r="P505" s="7"/>
      <c r="Q505" s="7"/>
      <c r="R505" s="7"/>
      <c r="S505" s="7"/>
      <c r="T505" s="7"/>
      <c r="U505" s="7"/>
      <c r="V505" s="7"/>
      <c r="W505" s="7"/>
      <c r="X505" s="7"/>
      <c r="Y505" s="7"/>
      <c r="Z505" s="7"/>
    </row>
    <row r="506">
      <c r="A506" s="78" t="s">
        <v>1717</v>
      </c>
      <c r="B506" s="79"/>
      <c r="C506" s="79"/>
      <c r="D506" s="79"/>
      <c r="E506" s="79"/>
      <c r="F506" s="79"/>
      <c r="G506" s="79"/>
      <c r="H506" s="80"/>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I508" s="7"/>
      <c r="J508" s="7"/>
      <c r="K508" s="7"/>
      <c r="L508" s="7"/>
      <c r="M508" s="7"/>
      <c r="N508" s="7"/>
      <c r="O508" s="7"/>
    </row>
    <row r="509">
      <c r="I509" s="7"/>
      <c r="J509" s="7"/>
      <c r="K509" s="7"/>
      <c r="L509" s="7"/>
      <c r="M509" s="7"/>
      <c r="N509" s="7"/>
      <c r="O509" s="7"/>
    </row>
    <row r="510">
      <c r="I510" s="7"/>
      <c r="J510" s="7"/>
      <c r="K510" s="7"/>
      <c r="L510" s="7"/>
      <c r="M510" s="7"/>
      <c r="N510" s="7"/>
      <c r="O510" s="7"/>
    </row>
    <row r="511">
      <c r="I511" s="7"/>
      <c r="J511" s="7"/>
      <c r="K511" s="7"/>
      <c r="L511" s="7"/>
      <c r="M511" s="7"/>
      <c r="N511" s="7"/>
      <c r="O511" s="7"/>
    </row>
    <row r="512">
      <c r="I512" s="7"/>
      <c r="J512" s="7"/>
      <c r="K512" s="7"/>
      <c r="L512" s="7"/>
      <c r="M512" s="7"/>
      <c r="N512" s="7"/>
      <c r="O512" s="7"/>
    </row>
    <row r="513">
      <c r="I513" s="7"/>
      <c r="J513" s="7"/>
      <c r="K513" s="7"/>
      <c r="L513" s="7"/>
      <c r="M513" s="7"/>
      <c r="N513" s="7"/>
      <c r="O513" s="7"/>
    </row>
    <row r="514">
      <c r="I514" s="7"/>
      <c r="J514" s="7"/>
      <c r="K514" s="7"/>
      <c r="L514" s="7"/>
      <c r="M514" s="7"/>
      <c r="N514" s="7"/>
      <c r="O514" s="7"/>
    </row>
    <row r="515">
      <c r="I515" s="7"/>
      <c r="J515" s="7"/>
      <c r="K515" s="7"/>
      <c r="L515" s="7"/>
      <c r="M515" s="7"/>
      <c r="N515" s="7"/>
      <c r="O515" s="7"/>
    </row>
    <row r="516">
      <c r="I516" s="7"/>
      <c r="J516" s="7"/>
      <c r="K516" s="7"/>
      <c r="L516" s="7"/>
      <c r="M516" s="7"/>
      <c r="N516" s="7"/>
      <c r="O516" s="7"/>
    </row>
    <row r="517">
      <c r="I517" s="7"/>
      <c r="J517" s="7"/>
      <c r="K517" s="7"/>
      <c r="L517" s="7"/>
      <c r="M517" s="7"/>
      <c r="N517" s="7"/>
      <c r="O517" s="7"/>
    </row>
    <row r="518">
      <c r="I518" s="7"/>
      <c r="J518" s="7"/>
      <c r="K518" s="7"/>
      <c r="L518" s="7"/>
      <c r="M518" s="7"/>
      <c r="N518" s="7"/>
      <c r="O518" s="7"/>
    </row>
    <row r="519">
      <c r="I519" s="7"/>
      <c r="J519" s="7"/>
      <c r="K519" s="7"/>
      <c r="L519" s="7"/>
      <c r="M519" s="7"/>
      <c r="N519" s="7"/>
      <c r="O519" s="7"/>
    </row>
    <row r="520">
      <c r="I520" s="7"/>
      <c r="J520" s="7"/>
      <c r="K520" s="7"/>
      <c r="L520" s="7"/>
      <c r="M520" s="7"/>
      <c r="N520" s="7"/>
      <c r="O520" s="7"/>
    </row>
    <row r="521">
      <c r="I521" s="7"/>
      <c r="J521" s="7"/>
      <c r="K521" s="7"/>
      <c r="L521" s="7"/>
      <c r="M521" s="7"/>
      <c r="N521" s="7"/>
      <c r="O521" s="7"/>
    </row>
    <row r="522">
      <c r="I522" s="7"/>
      <c r="J522" s="7"/>
      <c r="K522" s="7"/>
      <c r="L522" s="7"/>
      <c r="M522" s="7"/>
      <c r="N522" s="7"/>
      <c r="O522" s="7"/>
    </row>
    <row r="523">
      <c r="I523" s="7"/>
      <c r="J523" s="7"/>
      <c r="K523" s="7"/>
      <c r="L523" s="7"/>
      <c r="M523" s="7"/>
      <c r="N523" s="7"/>
      <c r="O523" s="7"/>
    </row>
    <row r="524">
      <c r="I524" s="7"/>
      <c r="J524" s="7"/>
      <c r="K524" s="7"/>
      <c r="L524" s="7"/>
      <c r="M524" s="7"/>
      <c r="N524" s="7"/>
      <c r="O524" s="7"/>
    </row>
    <row r="525">
      <c r="I525" s="7"/>
      <c r="J525" s="7"/>
      <c r="K525" s="7"/>
      <c r="L525" s="7"/>
      <c r="M525" s="7"/>
      <c r="N525" s="7"/>
      <c r="O525" s="7"/>
    </row>
    <row r="526">
      <c r="I526" s="7"/>
      <c r="J526" s="7"/>
      <c r="K526" s="7"/>
      <c r="L526" s="7"/>
      <c r="M526" s="7"/>
      <c r="N526" s="7"/>
      <c r="O526" s="7"/>
    </row>
    <row r="527">
      <c r="I527" s="7"/>
      <c r="J527" s="7"/>
      <c r="K527" s="7"/>
      <c r="L527" s="7"/>
      <c r="M527" s="7"/>
      <c r="N527" s="7"/>
      <c r="O527" s="7"/>
    </row>
    <row r="528">
      <c r="I528" s="7"/>
      <c r="J528" s="7"/>
      <c r="K528" s="7"/>
      <c r="L528" s="7"/>
      <c r="M528" s="7"/>
      <c r="N528" s="7"/>
      <c r="O528" s="7"/>
    </row>
    <row r="529">
      <c r="I529" s="7"/>
      <c r="J529" s="7"/>
      <c r="K529" s="7"/>
      <c r="L529" s="7"/>
      <c r="M529" s="7"/>
      <c r="N529" s="7"/>
      <c r="O529" s="7"/>
    </row>
    <row r="530">
      <c r="I530" s="7"/>
      <c r="J530" s="7"/>
      <c r="K530" s="7"/>
      <c r="L530" s="7"/>
      <c r="M530" s="7"/>
      <c r="N530" s="7"/>
      <c r="O530" s="7"/>
    </row>
    <row r="531">
      <c r="I531" s="7"/>
      <c r="J531" s="7"/>
      <c r="K531" s="7"/>
      <c r="L531" s="7"/>
      <c r="M531" s="7"/>
      <c r="N531" s="7"/>
      <c r="O531" s="7"/>
    </row>
    <row r="532">
      <c r="I532" s="7"/>
      <c r="J532" s="7"/>
      <c r="K532" s="7"/>
      <c r="L532" s="7"/>
      <c r="M532" s="7"/>
      <c r="N532" s="7"/>
      <c r="O532" s="7"/>
    </row>
    <row r="533">
      <c r="I533" s="7"/>
      <c r="J533" s="7"/>
      <c r="K533" s="7"/>
      <c r="L533" s="7"/>
      <c r="M533" s="7"/>
      <c r="N533" s="7"/>
      <c r="O533" s="7"/>
    </row>
    <row r="534">
      <c r="I534" s="7"/>
      <c r="J534" s="7"/>
      <c r="K534" s="7"/>
      <c r="L534" s="7"/>
      <c r="M534" s="7"/>
      <c r="N534" s="7"/>
      <c r="O534" s="7"/>
    </row>
    <row r="535">
      <c r="I535" s="7"/>
      <c r="J535" s="7"/>
      <c r="K535" s="7"/>
      <c r="L535" s="7"/>
      <c r="M535" s="7"/>
      <c r="N535" s="7"/>
      <c r="O535" s="7"/>
    </row>
    <row r="536">
      <c r="I536" s="7"/>
      <c r="J536" s="7"/>
      <c r="K536" s="7"/>
      <c r="L536" s="7"/>
      <c r="M536" s="7"/>
      <c r="N536" s="7"/>
      <c r="O536" s="7"/>
    </row>
    <row r="537">
      <c r="I537" s="7"/>
      <c r="J537" s="7"/>
      <c r="K537" s="7"/>
      <c r="L537" s="7"/>
      <c r="M537" s="7"/>
      <c r="N537" s="7"/>
      <c r="O537" s="7"/>
    </row>
    <row r="538">
      <c r="I538" s="7"/>
      <c r="J538" s="7"/>
      <c r="K538" s="7"/>
      <c r="L538" s="7"/>
      <c r="M538" s="7"/>
      <c r="N538" s="7"/>
      <c r="O538" s="7"/>
    </row>
    <row r="539">
      <c r="I539" s="7"/>
      <c r="J539" s="7"/>
      <c r="K539" s="7"/>
      <c r="L539" s="7"/>
      <c r="M539" s="7"/>
      <c r="N539" s="7"/>
      <c r="O539" s="7"/>
    </row>
    <row r="540">
      <c r="I540" s="7"/>
      <c r="J540" s="7"/>
      <c r="K540" s="7"/>
      <c r="L540" s="7"/>
      <c r="M540" s="7"/>
      <c r="N540" s="7"/>
      <c r="O540" s="7"/>
    </row>
    <row r="541">
      <c r="I541" s="7"/>
      <c r="J541" s="7"/>
      <c r="K541" s="7"/>
      <c r="L541" s="7"/>
      <c r="M541" s="7"/>
      <c r="N541" s="7"/>
      <c r="O541" s="7"/>
    </row>
    <row r="542">
      <c r="I542" s="7"/>
      <c r="J542" s="7"/>
      <c r="K542" s="7"/>
      <c r="L542" s="7"/>
      <c r="M542" s="7"/>
      <c r="N542" s="7"/>
      <c r="O542" s="7"/>
    </row>
    <row r="543">
      <c r="I543" s="7"/>
      <c r="J543" s="7"/>
      <c r="K543" s="7"/>
      <c r="L543" s="7"/>
      <c r="M543" s="7"/>
      <c r="N543" s="7"/>
      <c r="O543" s="7"/>
    </row>
    <row r="544">
      <c r="I544" s="7"/>
      <c r="J544" s="7"/>
      <c r="K544" s="7"/>
      <c r="L544" s="7"/>
      <c r="M544" s="7"/>
      <c r="N544" s="7"/>
      <c r="O544" s="7"/>
    </row>
    <row r="545">
      <c r="I545" s="7"/>
      <c r="J545" s="7"/>
      <c r="K545" s="7"/>
      <c r="L545" s="7"/>
      <c r="M545" s="7"/>
      <c r="N545" s="7"/>
      <c r="O545" s="7"/>
    </row>
    <row r="546">
      <c r="I546" s="7"/>
      <c r="J546" s="7"/>
      <c r="K546" s="7"/>
      <c r="L546" s="7"/>
      <c r="M546" s="7"/>
      <c r="N546" s="7"/>
      <c r="O546" s="7"/>
    </row>
    <row r="547">
      <c r="I547" s="7"/>
      <c r="J547" s="7"/>
      <c r="K547" s="7"/>
      <c r="L547" s="7"/>
      <c r="M547" s="7"/>
      <c r="N547" s="7"/>
      <c r="O547" s="7"/>
    </row>
    <row r="548">
      <c r="I548" s="7"/>
      <c r="J548" s="7"/>
      <c r="K548" s="7"/>
      <c r="L548" s="7"/>
      <c r="M548" s="7"/>
      <c r="N548" s="7"/>
      <c r="O548" s="7"/>
    </row>
    <row r="549">
      <c r="I549" s="7"/>
      <c r="J549" s="7"/>
      <c r="K549" s="7"/>
      <c r="L549" s="7"/>
      <c r="M549" s="7"/>
      <c r="N549" s="7"/>
      <c r="O549" s="7"/>
    </row>
    <row r="550">
      <c r="I550" s="7"/>
      <c r="J550" s="7"/>
      <c r="K550" s="7"/>
      <c r="L550" s="7"/>
      <c r="M550" s="7"/>
      <c r="N550" s="7"/>
      <c r="O550" s="7"/>
    </row>
    <row r="551">
      <c r="I551" s="7"/>
      <c r="J551" s="7"/>
      <c r="K551" s="7"/>
      <c r="L551" s="7"/>
      <c r="M551" s="7"/>
      <c r="N551" s="7"/>
      <c r="O551" s="7"/>
    </row>
    <row r="552">
      <c r="I552" s="7"/>
      <c r="J552" s="7"/>
      <c r="K552" s="7"/>
      <c r="L552" s="7"/>
      <c r="M552" s="7"/>
      <c r="N552" s="7"/>
      <c r="O552" s="7"/>
    </row>
    <row r="553">
      <c r="I553" s="7"/>
      <c r="J553" s="7"/>
      <c r="K553" s="7"/>
      <c r="L553" s="7"/>
      <c r="M553" s="7"/>
      <c r="N553" s="7"/>
      <c r="O553" s="7"/>
    </row>
    <row r="554">
      <c r="I554" s="7"/>
      <c r="J554" s="7"/>
      <c r="K554" s="7"/>
      <c r="L554" s="7"/>
      <c r="M554" s="7"/>
      <c r="N554" s="7"/>
      <c r="O554" s="7"/>
    </row>
    <row r="555">
      <c r="I555" s="7"/>
      <c r="J555" s="7"/>
      <c r="K555" s="7"/>
      <c r="L555" s="7"/>
      <c r="M555" s="7"/>
      <c r="N555" s="7"/>
      <c r="O555" s="7"/>
    </row>
    <row r="556">
      <c r="I556" s="7"/>
      <c r="J556" s="7"/>
      <c r="K556" s="7"/>
      <c r="L556" s="7"/>
      <c r="M556" s="7"/>
      <c r="N556" s="7"/>
      <c r="O556" s="7"/>
    </row>
    <row r="557">
      <c r="I557" s="7"/>
      <c r="J557" s="7"/>
      <c r="K557" s="7"/>
      <c r="L557" s="7"/>
      <c r="M557" s="7"/>
      <c r="N557" s="7"/>
      <c r="O557" s="7"/>
    </row>
    <row r="558">
      <c r="I558" s="7"/>
      <c r="J558" s="7"/>
      <c r="K558" s="7"/>
      <c r="L558" s="7"/>
      <c r="M558" s="7"/>
      <c r="N558" s="7"/>
      <c r="O558" s="7"/>
    </row>
    <row r="559">
      <c r="I559" s="7"/>
      <c r="J559" s="7"/>
      <c r="K559" s="7"/>
      <c r="L559" s="7"/>
      <c r="M559" s="7"/>
      <c r="N559" s="7"/>
      <c r="O559" s="7"/>
    </row>
    <row r="560">
      <c r="I560" s="7"/>
      <c r="J560" s="7"/>
      <c r="K560" s="7"/>
      <c r="L560" s="7"/>
      <c r="M560" s="7"/>
      <c r="N560" s="7"/>
      <c r="O560" s="7"/>
    </row>
    <row r="561">
      <c r="I561" s="7"/>
      <c r="J561" s="7"/>
      <c r="K561" s="7"/>
      <c r="L561" s="7"/>
      <c r="M561" s="7"/>
      <c r="N561" s="7"/>
      <c r="O561" s="7"/>
    </row>
    <row r="562">
      <c r="I562" s="7"/>
      <c r="J562" s="7"/>
      <c r="K562" s="7"/>
      <c r="L562" s="7"/>
      <c r="M562" s="7"/>
      <c r="N562" s="7"/>
      <c r="O562" s="7"/>
    </row>
    <row r="563">
      <c r="I563" s="7"/>
      <c r="J563" s="7"/>
      <c r="K563" s="7"/>
      <c r="L563" s="7"/>
      <c r="M563" s="7"/>
      <c r="N563" s="7"/>
      <c r="O563" s="7"/>
    </row>
    <row r="564">
      <c r="I564" s="7"/>
      <c r="J564" s="7"/>
      <c r="K564" s="7"/>
      <c r="L564" s="7"/>
      <c r="M564" s="7"/>
      <c r="N564" s="7"/>
      <c r="O564" s="7"/>
    </row>
    <row r="565">
      <c r="I565" s="7"/>
      <c r="J565" s="7"/>
      <c r="K565" s="7"/>
      <c r="L565" s="7"/>
      <c r="M565" s="7"/>
      <c r="N565" s="7"/>
      <c r="O565" s="7"/>
    </row>
    <row r="566">
      <c r="I566" s="7"/>
      <c r="J566" s="7"/>
      <c r="K566" s="7"/>
      <c r="L566" s="7"/>
      <c r="M566" s="7"/>
      <c r="N566" s="7"/>
      <c r="O566" s="7"/>
    </row>
    <row r="567">
      <c r="I567" s="7"/>
      <c r="J567" s="7"/>
      <c r="K567" s="7"/>
      <c r="L567" s="7"/>
      <c r="M567" s="7"/>
      <c r="N567" s="7"/>
      <c r="O567" s="7"/>
    </row>
    <row r="568">
      <c r="I568" s="7"/>
      <c r="J568" s="7"/>
      <c r="K568" s="7"/>
      <c r="L568" s="7"/>
      <c r="M568" s="7"/>
      <c r="N568" s="7"/>
      <c r="O568" s="7"/>
    </row>
    <row r="569">
      <c r="I569" s="7"/>
      <c r="J569" s="7"/>
      <c r="K569" s="7"/>
      <c r="L569" s="7"/>
      <c r="M569" s="7"/>
      <c r="N569" s="7"/>
      <c r="O569" s="7"/>
    </row>
    <row r="570">
      <c r="I570" s="7"/>
      <c r="J570" s="7"/>
      <c r="K570" s="7"/>
      <c r="L570" s="7"/>
      <c r="M570" s="7"/>
      <c r="N570" s="7"/>
      <c r="O570" s="7"/>
    </row>
    <row r="571">
      <c r="I571" s="7"/>
      <c r="J571" s="7"/>
      <c r="K571" s="7"/>
      <c r="L571" s="7"/>
      <c r="M571" s="7"/>
      <c r="N571" s="7"/>
      <c r="O571" s="7"/>
    </row>
    <row r="572">
      <c r="I572" s="7"/>
      <c r="J572" s="7"/>
      <c r="K572" s="7"/>
      <c r="L572" s="7"/>
      <c r="M572" s="7"/>
      <c r="N572" s="7"/>
      <c r="O572" s="7"/>
    </row>
    <row r="573">
      <c r="I573" s="7"/>
      <c r="J573" s="7"/>
      <c r="K573" s="7"/>
      <c r="L573" s="7"/>
      <c r="M573" s="7"/>
      <c r="N573" s="7"/>
      <c r="O573" s="7"/>
    </row>
    <row r="574">
      <c r="I574" s="7"/>
      <c r="J574" s="7"/>
      <c r="K574" s="7"/>
      <c r="L574" s="7"/>
      <c r="M574" s="7"/>
      <c r="N574" s="7"/>
      <c r="O574" s="7"/>
    </row>
    <row r="575">
      <c r="I575" s="7"/>
      <c r="J575" s="7"/>
      <c r="K575" s="7"/>
      <c r="L575" s="7"/>
      <c r="M575" s="7"/>
      <c r="N575" s="7"/>
      <c r="O575" s="7"/>
    </row>
    <row r="576">
      <c r="I576" s="7"/>
      <c r="J576" s="7"/>
      <c r="K576" s="7"/>
      <c r="L576" s="7"/>
      <c r="M576" s="7"/>
      <c r="N576" s="7"/>
      <c r="O576" s="7"/>
    </row>
    <row r="577">
      <c r="I577" s="7"/>
      <c r="J577" s="7"/>
      <c r="K577" s="7"/>
      <c r="L577" s="7"/>
      <c r="M577" s="7"/>
      <c r="N577" s="7"/>
      <c r="O577" s="7"/>
    </row>
    <row r="578">
      <c r="I578" s="7"/>
      <c r="J578" s="7"/>
      <c r="K578" s="7"/>
      <c r="L578" s="7"/>
      <c r="M578" s="7"/>
      <c r="N578" s="7"/>
      <c r="O578" s="7"/>
    </row>
    <row r="579">
      <c r="I579" s="7"/>
      <c r="J579" s="7"/>
      <c r="K579" s="7"/>
      <c r="L579" s="7"/>
      <c r="M579" s="7"/>
      <c r="N579" s="7"/>
      <c r="O579" s="7"/>
    </row>
    <row r="580">
      <c r="I580" s="7"/>
      <c r="J580" s="7"/>
      <c r="K580" s="7"/>
      <c r="L580" s="7"/>
      <c r="M580" s="7"/>
      <c r="N580" s="7"/>
      <c r="O580" s="7"/>
    </row>
    <row r="581">
      <c r="I581" s="7"/>
      <c r="J581" s="7"/>
      <c r="K581" s="7"/>
      <c r="L581" s="7"/>
      <c r="M581" s="7"/>
      <c r="N581" s="7"/>
      <c r="O581" s="7"/>
    </row>
    <row r="582">
      <c r="I582" s="7"/>
      <c r="J582" s="7"/>
      <c r="K582" s="7"/>
      <c r="L582" s="7"/>
      <c r="M582" s="7"/>
      <c r="N582" s="7"/>
      <c r="O582" s="7"/>
    </row>
    <row r="583">
      <c r="I583" s="7"/>
      <c r="J583" s="7"/>
      <c r="K583" s="7"/>
      <c r="L583" s="7"/>
      <c r="M583" s="7"/>
      <c r="N583" s="7"/>
      <c r="O583" s="7"/>
    </row>
    <row r="584">
      <c r="I584" s="7"/>
      <c r="J584" s="7"/>
      <c r="K584" s="7"/>
      <c r="L584" s="7"/>
      <c r="M584" s="7"/>
      <c r="N584" s="7"/>
      <c r="O584" s="7"/>
    </row>
    <row r="585">
      <c r="I585" s="7"/>
      <c r="J585" s="7"/>
      <c r="K585" s="7"/>
      <c r="L585" s="7"/>
      <c r="M585" s="7"/>
      <c r="N585" s="7"/>
      <c r="O585" s="7"/>
    </row>
    <row r="586">
      <c r="I586" s="7"/>
      <c r="J586" s="7"/>
      <c r="K586" s="7"/>
      <c r="L586" s="7"/>
      <c r="M586" s="7"/>
      <c r="N586" s="7"/>
      <c r="O586" s="7"/>
    </row>
    <row r="587">
      <c r="I587" s="7"/>
      <c r="J587" s="7"/>
      <c r="K587" s="7"/>
      <c r="L587" s="7"/>
      <c r="M587" s="7"/>
      <c r="N587" s="7"/>
      <c r="O587" s="7"/>
    </row>
    <row r="588">
      <c r="I588" s="7"/>
      <c r="J588" s="7"/>
      <c r="K588" s="7"/>
      <c r="L588" s="7"/>
      <c r="M588" s="7"/>
      <c r="N588" s="7"/>
      <c r="O588" s="7"/>
    </row>
    <row r="589">
      <c r="I589" s="7"/>
      <c r="J589" s="7"/>
      <c r="K589" s="7"/>
      <c r="L589" s="7"/>
      <c r="M589" s="7"/>
      <c r="N589" s="7"/>
      <c r="O589" s="7"/>
    </row>
    <row r="590">
      <c r="I590" s="7"/>
      <c r="J590" s="7"/>
      <c r="K590" s="7"/>
      <c r="L590" s="7"/>
      <c r="M590" s="7"/>
      <c r="N590" s="7"/>
      <c r="O590" s="7"/>
    </row>
    <row r="591">
      <c r="I591" s="7"/>
      <c r="J591" s="7"/>
      <c r="K591" s="7"/>
      <c r="L591" s="7"/>
      <c r="M591" s="7"/>
      <c r="N591" s="7"/>
      <c r="O591" s="7"/>
    </row>
    <row r="592">
      <c r="I592" s="7"/>
      <c r="J592" s="7"/>
      <c r="K592" s="7"/>
      <c r="L592" s="7"/>
      <c r="M592" s="7"/>
      <c r="N592" s="7"/>
      <c r="O592" s="7"/>
    </row>
    <row r="593">
      <c r="I593" s="7"/>
      <c r="J593" s="7"/>
      <c r="K593" s="7"/>
      <c r="L593" s="7"/>
      <c r="M593" s="7"/>
      <c r="N593" s="7"/>
      <c r="O593" s="7"/>
    </row>
    <row r="594">
      <c r="I594" s="7"/>
      <c r="J594" s="7"/>
      <c r="K594" s="7"/>
      <c r="L594" s="7"/>
      <c r="M594" s="7"/>
      <c r="N594" s="7"/>
      <c r="O594" s="7"/>
    </row>
    <row r="595">
      <c r="I595" s="7"/>
      <c r="J595" s="7"/>
      <c r="K595" s="7"/>
      <c r="L595" s="7"/>
      <c r="M595" s="7"/>
      <c r="N595" s="7"/>
      <c r="O595" s="7"/>
    </row>
    <row r="596">
      <c r="I596" s="7"/>
      <c r="J596" s="7"/>
      <c r="K596" s="7"/>
      <c r="L596" s="7"/>
      <c r="M596" s="7"/>
      <c r="N596" s="7"/>
      <c r="O596" s="7"/>
    </row>
    <row r="597">
      <c r="I597" s="7"/>
      <c r="J597" s="7"/>
      <c r="K597" s="7"/>
      <c r="L597" s="7"/>
      <c r="M597" s="7"/>
      <c r="N597" s="7"/>
      <c r="O597" s="7"/>
    </row>
    <row r="598">
      <c r="I598" s="7"/>
      <c r="J598" s="7"/>
      <c r="K598" s="7"/>
      <c r="L598" s="7"/>
      <c r="M598" s="7"/>
      <c r="N598" s="7"/>
      <c r="O598" s="7"/>
    </row>
    <row r="599">
      <c r="I599" s="7"/>
      <c r="J599" s="7"/>
      <c r="K599" s="7"/>
      <c r="L599" s="7"/>
      <c r="M599" s="7"/>
      <c r="N599" s="7"/>
      <c r="O599" s="7"/>
    </row>
    <row r="600">
      <c r="I600" s="7"/>
      <c r="J600" s="7"/>
      <c r="K600" s="7"/>
      <c r="L600" s="7"/>
      <c r="M600" s="7"/>
      <c r="N600" s="7"/>
      <c r="O600" s="7"/>
    </row>
    <row r="601">
      <c r="I601" s="7"/>
      <c r="J601" s="7"/>
      <c r="K601" s="7"/>
      <c r="L601" s="7"/>
      <c r="M601" s="7"/>
      <c r="N601" s="7"/>
      <c r="O601" s="7"/>
    </row>
    <row r="602">
      <c r="I602" s="7"/>
      <c r="J602" s="7"/>
      <c r="K602" s="7"/>
      <c r="L602" s="7"/>
      <c r="M602" s="7"/>
      <c r="N602" s="7"/>
      <c r="O602" s="7"/>
    </row>
    <row r="603">
      <c r="I603" s="7"/>
      <c r="J603" s="7"/>
      <c r="K603" s="7"/>
      <c r="L603" s="7"/>
      <c r="M603" s="7"/>
      <c r="N603" s="7"/>
      <c r="O603" s="7"/>
    </row>
    <row r="604">
      <c r="I604" s="7"/>
      <c r="J604" s="7"/>
      <c r="K604" s="7"/>
      <c r="L604" s="7"/>
      <c r="M604" s="7"/>
      <c r="N604" s="7"/>
      <c r="O604" s="7"/>
    </row>
    <row r="605">
      <c r="I605" s="7"/>
      <c r="J605" s="7"/>
      <c r="K605" s="7"/>
      <c r="L605" s="7"/>
      <c r="M605" s="7"/>
      <c r="N605" s="7"/>
      <c r="O605" s="7"/>
    </row>
    <row r="606">
      <c r="I606" s="7"/>
      <c r="J606" s="7"/>
      <c r="K606" s="7"/>
      <c r="L606" s="7"/>
      <c r="M606" s="7"/>
      <c r="N606" s="7"/>
      <c r="O606" s="7"/>
    </row>
    <row r="607">
      <c r="I607" s="7"/>
      <c r="J607" s="7"/>
      <c r="K607" s="7"/>
      <c r="L607" s="7"/>
      <c r="M607" s="7"/>
      <c r="N607" s="7"/>
      <c r="O607" s="7"/>
    </row>
    <row r="608">
      <c r="I608" s="7"/>
      <c r="J608" s="7"/>
      <c r="K608" s="7"/>
      <c r="L608" s="7"/>
      <c r="M608" s="7"/>
      <c r="N608" s="7"/>
      <c r="O608" s="7"/>
    </row>
    <row r="609">
      <c r="I609" s="7"/>
      <c r="J609" s="7"/>
      <c r="K609" s="7"/>
      <c r="L609" s="7"/>
      <c r="M609" s="7"/>
      <c r="N609" s="7"/>
      <c r="O609" s="7"/>
    </row>
    <row r="610">
      <c r="I610" s="7"/>
      <c r="J610" s="7"/>
      <c r="K610" s="7"/>
      <c r="L610" s="7"/>
      <c r="M610" s="7"/>
      <c r="N610" s="7"/>
      <c r="O610" s="7"/>
    </row>
    <row r="611">
      <c r="I611" s="7"/>
      <c r="J611" s="7"/>
      <c r="K611" s="7"/>
      <c r="L611" s="7"/>
      <c r="M611" s="7"/>
      <c r="N611" s="7"/>
      <c r="O611" s="7"/>
    </row>
    <row r="612">
      <c r="I612" s="7"/>
      <c r="J612" s="7"/>
      <c r="K612" s="7"/>
      <c r="L612" s="7"/>
      <c r="M612" s="7"/>
      <c r="N612" s="7"/>
      <c r="O612" s="7"/>
    </row>
    <row r="613">
      <c r="I613" s="7"/>
      <c r="J613" s="7"/>
      <c r="K613" s="7"/>
      <c r="L613" s="7"/>
      <c r="M613" s="7"/>
      <c r="N613" s="7"/>
      <c r="O613" s="7"/>
    </row>
    <row r="614">
      <c r="I614" s="7"/>
      <c r="J614" s="7"/>
      <c r="K614" s="7"/>
      <c r="L614" s="7"/>
      <c r="M614" s="7"/>
      <c r="N614" s="7"/>
      <c r="O614" s="7"/>
    </row>
    <row r="615">
      <c r="I615" s="7"/>
      <c r="J615" s="7"/>
      <c r="K615" s="7"/>
      <c r="L615" s="7"/>
      <c r="M615" s="7"/>
      <c r="N615" s="7"/>
      <c r="O615" s="7"/>
    </row>
    <row r="616">
      <c r="I616" s="7"/>
      <c r="J616" s="7"/>
      <c r="K616" s="7"/>
      <c r="L616" s="7"/>
      <c r="M616" s="7"/>
      <c r="N616" s="7"/>
      <c r="O616" s="7"/>
    </row>
    <row r="617">
      <c r="I617" s="7"/>
      <c r="J617" s="7"/>
      <c r="K617" s="7"/>
      <c r="L617" s="7"/>
      <c r="M617" s="7"/>
      <c r="N617" s="7"/>
      <c r="O617" s="7"/>
    </row>
    <row r="618">
      <c r="I618" s="7"/>
      <c r="J618" s="7"/>
      <c r="K618" s="7"/>
      <c r="L618" s="7"/>
      <c r="M618" s="7"/>
      <c r="N618" s="7"/>
      <c r="O618" s="7"/>
    </row>
    <row r="619">
      <c r="I619" s="7"/>
      <c r="J619" s="7"/>
      <c r="K619" s="7"/>
      <c r="L619" s="7"/>
      <c r="M619" s="7"/>
      <c r="N619" s="7"/>
      <c r="O619" s="7"/>
    </row>
    <row r="620">
      <c r="I620" s="7"/>
      <c r="J620" s="7"/>
      <c r="K620" s="7"/>
      <c r="L620" s="7"/>
      <c r="M620" s="7"/>
      <c r="N620" s="7"/>
      <c r="O620" s="7"/>
    </row>
    <row r="621">
      <c r="I621" s="7"/>
      <c r="J621" s="7"/>
      <c r="K621" s="7"/>
      <c r="L621" s="7"/>
      <c r="M621" s="7"/>
      <c r="N621" s="7"/>
      <c r="O621" s="7"/>
    </row>
    <row r="622">
      <c r="I622" s="7"/>
      <c r="J622" s="7"/>
      <c r="K622" s="7"/>
      <c r="L622" s="7"/>
      <c r="M622" s="7"/>
      <c r="N622" s="7"/>
      <c r="O622" s="7"/>
    </row>
    <row r="623">
      <c r="I623" s="7"/>
      <c r="J623" s="7"/>
      <c r="K623" s="7"/>
      <c r="L623" s="7"/>
      <c r="M623" s="7"/>
      <c r="N623" s="7"/>
      <c r="O623" s="7"/>
    </row>
    <row r="624">
      <c r="I624" s="7"/>
      <c r="J624" s="7"/>
      <c r="K624" s="7"/>
      <c r="L624" s="7"/>
      <c r="M624" s="7"/>
      <c r="N624" s="7"/>
      <c r="O624" s="7"/>
    </row>
    <row r="625">
      <c r="I625" s="7"/>
      <c r="J625" s="7"/>
      <c r="K625" s="7"/>
      <c r="L625" s="7"/>
      <c r="M625" s="7"/>
      <c r="N625" s="7"/>
      <c r="O625" s="7"/>
    </row>
    <row r="626">
      <c r="I626" s="7"/>
      <c r="J626" s="7"/>
      <c r="K626" s="7"/>
      <c r="L626" s="7"/>
      <c r="M626" s="7"/>
      <c r="N626" s="7"/>
      <c r="O626" s="7"/>
    </row>
    <row r="627">
      <c r="I627" s="7"/>
      <c r="J627" s="7"/>
      <c r="K627" s="7"/>
      <c r="L627" s="7"/>
      <c r="M627" s="7"/>
      <c r="N627" s="7"/>
      <c r="O627" s="7"/>
    </row>
    <row r="628">
      <c r="I628" s="7"/>
      <c r="J628" s="7"/>
      <c r="K628" s="7"/>
      <c r="L628" s="7"/>
      <c r="M628" s="7"/>
      <c r="N628" s="7"/>
      <c r="O628" s="7"/>
    </row>
    <row r="629">
      <c r="I629" s="7"/>
      <c r="J629" s="7"/>
      <c r="K629" s="7"/>
      <c r="L629" s="7"/>
      <c r="M629" s="7"/>
      <c r="N629" s="7"/>
      <c r="O629" s="7"/>
    </row>
    <row r="630">
      <c r="I630" s="7"/>
      <c r="J630" s="7"/>
      <c r="K630" s="7"/>
      <c r="L630" s="7"/>
      <c r="M630" s="7"/>
      <c r="N630" s="7"/>
      <c r="O630" s="7"/>
    </row>
    <row r="631">
      <c r="I631" s="7"/>
      <c r="J631" s="7"/>
      <c r="K631" s="7"/>
      <c r="L631" s="7"/>
      <c r="M631" s="7"/>
      <c r="N631" s="7"/>
      <c r="O631" s="7"/>
    </row>
    <row r="632">
      <c r="I632" s="7"/>
      <c r="J632" s="7"/>
      <c r="K632" s="7"/>
      <c r="L632" s="7"/>
      <c r="M632" s="7"/>
      <c r="N632" s="7"/>
      <c r="O632" s="7"/>
    </row>
    <row r="633">
      <c r="I633" s="7"/>
      <c r="J633" s="7"/>
      <c r="K633" s="7"/>
      <c r="L633" s="7"/>
      <c r="M633" s="7"/>
      <c r="N633" s="7"/>
      <c r="O633" s="7"/>
    </row>
    <row r="634">
      <c r="I634" s="7"/>
      <c r="J634" s="7"/>
      <c r="K634" s="7"/>
      <c r="L634" s="7"/>
      <c r="M634" s="7"/>
      <c r="N634" s="7"/>
      <c r="O634" s="7"/>
    </row>
    <row r="635">
      <c r="I635" s="7"/>
      <c r="J635" s="7"/>
      <c r="K635" s="7"/>
      <c r="L635" s="7"/>
      <c r="M635" s="7"/>
      <c r="N635" s="7"/>
      <c r="O635" s="7"/>
    </row>
    <row r="636">
      <c r="I636" s="7"/>
      <c r="J636" s="7"/>
      <c r="K636" s="7"/>
      <c r="L636" s="7"/>
      <c r="M636" s="7"/>
      <c r="N636" s="7"/>
      <c r="O636" s="7"/>
    </row>
    <row r="637">
      <c r="I637" s="7"/>
      <c r="J637" s="7"/>
      <c r="K637" s="7"/>
      <c r="L637" s="7"/>
      <c r="M637" s="7"/>
      <c r="N637" s="7"/>
      <c r="O637" s="7"/>
    </row>
    <row r="638">
      <c r="I638" s="7"/>
      <c r="J638" s="7"/>
      <c r="K638" s="7"/>
      <c r="L638" s="7"/>
      <c r="M638" s="7"/>
      <c r="N638" s="7"/>
      <c r="O638" s="7"/>
    </row>
    <row r="639">
      <c r="I639" s="7"/>
      <c r="J639" s="7"/>
      <c r="K639" s="7"/>
      <c r="L639" s="7"/>
      <c r="M639" s="7"/>
      <c r="N639" s="7"/>
      <c r="O639" s="7"/>
    </row>
    <row r="640">
      <c r="I640" s="7"/>
      <c r="J640" s="7"/>
      <c r="K640" s="7"/>
      <c r="L640" s="7"/>
      <c r="M640" s="7"/>
      <c r="N640" s="7"/>
      <c r="O640" s="7"/>
    </row>
    <row r="641">
      <c r="I641" s="7"/>
      <c r="J641" s="7"/>
      <c r="K641" s="7"/>
      <c r="L641" s="7"/>
      <c r="M641" s="7"/>
      <c r="N641" s="7"/>
      <c r="O641" s="7"/>
    </row>
    <row r="642">
      <c r="I642" s="7"/>
      <c r="J642" s="7"/>
      <c r="K642" s="7"/>
      <c r="L642" s="7"/>
      <c r="M642" s="7"/>
      <c r="N642" s="7"/>
      <c r="O642" s="7"/>
    </row>
    <row r="643">
      <c r="I643" s="7"/>
      <c r="J643" s="7"/>
      <c r="K643" s="7"/>
      <c r="L643" s="7"/>
      <c r="M643" s="7"/>
      <c r="N643" s="7"/>
      <c r="O643" s="7"/>
    </row>
    <row r="644">
      <c r="I644" s="7"/>
      <c r="J644" s="7"/>
      <c r="K644" s="7"/>
      <c r="L644" s="7"/>
      <c r="M644" s="7"/>
      <c r="N644" s="7"/>
      <c r="O644" s="7"/>
    </row>
    <row r="645">
      <c r="I645" s="7"/>
      <c r="J645" s="7"/>
      <c r="K645" s="7"/>
      <c r="L645" s="7"/>
      <c r="M645" s="7"/>
      <c r="N645" s="7"/>
      <c r="O645" s="7"/>
    </row>
    <row r="646">
      <c r="I646" s="7"/>
      <c r="J646" s="7"/>
      <c r="K646" s="7"/>
      <c r="L646" s="7"/>
      <c r="M646" s="7"/>
      <c r="N646" s="7"/>
      <c r="O646" s="7"/>
    </row>
    <row r="647">
      <c r="I647" s="7"/>
      <c r="J647" s="7"/>
      <c r="K647" s="7"/>
      <c r="L647" s="7"/>
      <c r="M647" s="7"/>
      <c r="N647" s="7"/>
      <c r="O647" s="7"/>
    </row>
    <row r="648">
      <c r="I648" s="7"/>
      <c r="J648" s="7"/>
      <c r="K648" s="7"/>
      <c r="L648" s="7"/>
      <c r="M648" s="7"/>
      <c r="N648" s="7"/>
      <c r="O648" s="7"/>
    </row>
    <row r="649">
      <c r="I649" s="7"/>
      <c r="J649" s="7"/>
      <c r="K649" s="7"/>
      <c r="L649" s="7"/>
      <c r="M649" s="7"/>
      <c r="N649" s="7"/>
      <c r="O649" s="7"/>
    </row>
    <row r="650">
      <c r="I650" s="7"/>
      <c r="J650" s="7"/>
      <c r="K650" s="7"/>
      <c r="L650" s="7"/>
      <c r="M650" s="7"/>
      <c r="N650" s="7"/>
      <c r="O650" s="7"/>
    </row>
    <row r="651">
      <c r="I651" s="7"/>
      <c r="J651" s="7"/>
      <c r="K651" s="7"/>
      <c r="L651" s="7"/>
      <c r="M651" s="7"/>
      <c r="N651" s="7"/>
      <c r="O651" s="7"/>
    </row>
    <row r="652">
      <c r="I652" s="7"/>
      <c r="J652" s="7"/>
      <c r="K652" s="7"/>
      <c r="L652" s="7"/>
      <c r="M652" s="7"/>
      <c r="N652" s="7"/>
      <c r="O652" s="7"/>
    </row>
    <row r="653">
      <c r="I653" s="7"/>
      <c r="J653" s="7"/>
      <c r="K653" s="7"/>
      <c r="L653" s="7"/>
      <c r="M653" s="7"/>
      <c r="N653" s="7"/>
      <c r="O653" s="7"/>
    </row>
    <row r="654">
      <c r="I654" s="7"/>
      <c r="J654" s="7"/>
      <c r="K654" s="7"/>
      <c r="L654" s="7"/>
      <c r="M654" s="7"/>
      <c r="N654" s="7"/>
      <c r="O654" s="7"/>
    </row>
    <row r="655">
      <c r="I655" s="7"/>
      <c r="J655" s="7"/>
      <c r="K655" s="7"/>
      <c r="L655" s="7"/>
      <c r="M655" s="7"/>
      <c r="N655" s="7"/>
      <c r="O655" s="7"/>
    </row>
    <row r="656">
      <c r="I656" s="7"/>
      <c r="J656" s="7"/>
      <c r="K656" s="7"/>
      <c r="L656" s="7"/>
      <c r="M656" s="7"/>
      <c r="N656" s="7"/>
      <c r="O656" s="7"/>
    </row>
    <row r="657">
      <c r="I657" s="7"/>
      <c r="J657" s="7"/>
      <c r="K657" s="7"/>
      <c r="L657" s="7"/>
      <c r="M657" s="7"/>
      <c r="N657" s="7"/>
      <c r="O657" s="7"/>
    </row>
    <row r="658">
      <c r="I658" s="7"/>
      <c r="J658" s="7"/>
      <c r="K658" s="7"/>
      <c r="L658" s="7"/>
      <c r="M658" s="7"/>
      <c r="N658" s="7"/>
      <c r="O658" s="7"/>
    </row>
    <row r="659">
      <c r="I659" s="7"/>
      <c r="J659" s="7"/>
      <c r="K659" s="7"/>
      <c r="L659" s="7"/>
      <c r="M659" s="7"/>
      <c r="N659" s="7"/>
      <c r="O659" s="7"/>
    </row>
    <row r="660">
      <c r="I660" s="7"/>
      <c r="J660" s="7"/>
      <c r="K660" s="7"/>
      <c r="L660" s="7"/>
      <c r="M660" s="7"/>
      <c r="N660" s="7"/>
      <c r="O660" s="7"/>
    </row>
    <row r="661">
      <c r="I661" s="7"/>
      <c r="J661" s="7"/>
      <c r="K661" s="7"/>
      <c r="L661" s="7"/>
      <c r="M661" s="7"/>
      <c r="N661" s="7"/>
      <c r="O661" s="7"/>
    </row>
    <row r="662">
      <c r="I662" s="7"/>
      <c r="J662" s="7"/>
      <c r="K662" s="7"/>
      <c r="L662" s="7"/>
      <c r="M662" s="7"/>
      <c r="N662" s="7"/>
      <c r="O662" s="7"/>
    </row>
    <row r="663">
      <c r="I663" s="7"/>
      <c r="J663" s="7"/>
      <c r="K663" s="7"/>
      <c r="L663" s="7"/>
      <c r="M663" s="7"/>
      <c r="N663" s="7"/>
      <c r="O663" s="7"/>
    </row>
    <row r="664">
      <c r="I664" s="7"/>
      <c r="J664" s="7"/>
      <c r="K664" s="7"/>
      <c r="L664" s="7"/>
      <c r="M664" s="7"/>
      <c r="N664" s="7"/>
      <c r="O664" s="7"/>
    </row>
    <row r="665">
      <c r="I665" s="7"/>
      <c r="J665" s="7"/>
      <c r="K665" s="7"/>
      <c r="L665" s="7"/>
      <c r="M665" s="7"/>
      <c r="N665" s="7"/>
      <c r="O665" s="7"/>
    </row>
    <row r="666">
      <c r="I666" s="7"/>
      <c r="J666" s="7"/>
      <c r="K666" s="7"/>
      <c r="L666" s="7"/>
      <c r="M666" s="7"/>
      <c r="N666" s="7"/>
      <c r="O666" s="7"/>
    </row>
    <row r="667">
      <c r="I667" s="7"/>
      <c r="J667" s="7"/>
      <c r="K667" s="7"/>
      <c r="L667" s="7"/>
      <c r="M667" s="7"/>
      <c r="N667" s="7"/>
      <c r="O667" s="7"/>
    </row>
    <row r="668">
      <c r="I668" s="7"/>
      <c r="J668" s="7"/>
      <c r="K668" s="7"/>
      <c r="L668" s="7"/>
      <c r="M668" s="7"/>
      <c r="N668" s="7"/>
      <c r="O668" s="7"/>
    </row>
    <row r="669">
      <c r="I669" s="7"/>
      <c r="J669" s="7"/>
      <c r="K669" s="7"/>
      <c r="L669" s="7"/>
      <c r="M669" s="7"/>
      <c r="N669" s="7"/>
      <c r="O669" s="7"/>
    </row>
    <row r="670">
      <c r="I670" s="7"/>
      <c r="J670" s="7"/>
      <c r="K670" s="7"/>
      <c r="L670" s="7"/>
      <c r="M670" s="7"/>
      <c r="N670" s="7"/>
      <c r="O670" s="7"/>
    </row>
    <row r="671">
      <c r="I671" s="7"/>
      <c r="J671" s="7"/>
      <c r="K671" s="7"/>
      <c r="L671" s="7"/>
      <c r="M671" s="7"/>
      <c r="N671" s="7"/>
      <c r="O671" s="7"/>
    </row>
    <row r="672">
      <c r="I672" s="7"/>
      <c r="J672" s="7"/>
      <c r="K672" s="7"/>
      <c r="L672" s="7"/>
      <c r="M672" s="7"/>
      <c r="N672" s="7"/>
      <c r="O672" s="7"/>
    </row>
    <row r="673">
      <c r="I673" s="7"/>
      <c r="J673" s="7"/>
      <c r="K673" s="7"/>
      <c r="L673" s="7"/>
      <c r="M673" s="7"/>
      <c r="N673" s="7"/>
      <c r="O673" s="7"/>
    </row>
    <row r="674">
      <c r="I674" s="7"/>
      <c r="J674" s="7"/>
      <c r="K674" s="7"/>
      <c r="L674" s="7"/>
      <c r="M674" s="7"/>
      <c r="N674" s="7"/>
      <c r="O674" s="7"/>
    </row>
    <row r="675">
      <c r="I675" s="7"/>
      <c r="J675" s="7"/>
      <c r="K675" s="7"/>
      <c r="L675" s="7"/>
      <c r="M675" s="7"/>
      <c r="N675" s="7"/>
      <c r="O675" s="7"/>
    </row>
    <row r="676">
      <c r="I676" s="7"/>
      <c r="J676" s="7"/>
      <c r="K676" s="7"/>
      <c r="L676" s="7"/>
      <c r="M676" s="7"/>
      <c r="N676" s="7"/>
      <c r="O676" s="7"/>
    </row>
    <row r="677">
      <c r="I677" s="7"/>
      <c r="J677" s="7"/>
      <c r="K677" s="7"/>
      <c r="L677" s="7"/>
      <c r="M677" s="7"/>
      <c r="N677" s="7"/>
      <c r="O677" s="7"/>
    </row>
    <row r="678">
      <c r="I678" s="7"/>
      <c r="J678" s="7"/>
      <c r="K678" s="7"/>
      <c r="L678" s="7"/>
      <c r="M678" s="7"/>
      <c r="N678" s="7"/>
      <c r="O678" s="7"/>
    </row>
    <row r="679">
      <c r="I679" s="7"/>
      <c r="J679" s="7"/>
      <c r="K679" s="7"/>
      <c r="L679" s="7"/>
      <c r="M679" s="7"/>
      <c r="N679" s="7"/>
      <c r="O679" s="7"/>
    </row>
    <row r="680">
      <c r="I680" s="7"/>
      <c r="J680" s="7"/>
      <c r="K680" s="7"/>
      <c r="L680" s="7"/>
      <c r="M680" s="7"/>
      <c r="N680" s="7"/>
      <c r="O680" s="7"/>
    </row>
    <row r="681">
      <c r="I681" s="7"/>
      <c r="J681" s="7"/>
      <c r="K681" s="7"/>
      <c r="L681" s="7"/>
      <c r="M681" s="7"/>
      <c r="N681" s="7"/>
      <c r="O681" s="7"/>
    </row>
    <row r="682">
      <c r="I682" s="7"/>
      <c r="J682" s="7"/>
      <c r="K682" s="7"/>
      <c r="L682" s="7"/>
      <c r="M682" s="7"/>
      <c r="N682" s="7"/>
      <c r="O682" s="7"/>
    </row>
    <row r="683">
      <c r="I683" s="7"/>
      <c r="J683" s="7"/>
      <c r="K683" s="7"/>
      <c r="L683" s="7"/>
      <c r="M683" s="7"/>
      <c r="N683" s="7"/>
      <c r="O683" s="7"/>
    </row>
    <row r="684">
      <c r="I684" s="7"/>
      <c r="J684" s="7"/>
      <c r="K684" s="7"/>
      <c r="L684" s="7"/>
      <c r="M684" s="7"/>
      <c r="N684" s="7"/>
      <c r="O684" s="7"/>
    </row>
    <row r="685">
      <c r="I685" s="7"/>
      <c r="J685" s="7"/>
      <c r="K685" s="7"/>
      <c r="L685" s="7"/>
      <c r="M685" s="7"/>
      <c r="N685" s="7"/>
      <c r="O685" s="7"/>
    </row>
    <row r="686">
      <c r="I686" s="7"/>
      <c r="J686" s="7"/>
      <c r="K686" s="7"/>
      <c r="L686" s="7"/>
      <c r="M686" s="7"/>
      <c r="N686" s="7"/>
      <c r="O686" s="7"/>
    </row>
    <row r="687">
      <c r="I687" s="7"/>
      <c r="J687" s="7"/>
      <c r="K687" s="7"/>
      <c r="L687" s="7"/>
      <c r="M687" s="7"/>
      <c r="N687" s="7"/>
      <c r="O687" s="7"/>
    </row>
    <row r="688">
      <c r="I688" s="7"/>
      <c r="J688" s="7"/>
      <c r="K688" s="7"/>
      <c r="L688" s="7"/>
      <c r="M688" s="7"/>
      <c r="N688" s="7"/>
      <c r="O688" s="7"/>
    </row>
    <row r="689">
      <c r="I689" s="7"/>
      <c r="J689" s="7"/>
      <c r="K689" s="7"/>
      <c r="L689" s="7"/>
      <c r="M689" s="7"/>
      <c r="N689" s="7"/>
      <c r="O689" s="7"/>
    </row>
    <row r="690">
      <c r="I690" s="7"/>
      <c r="J690" s="7"/>
      <c r="K690" s="7"/>
      <c r="L690" s="7"/>
      <c r="M690" s="7"/>
      <c r="N690" s="7"/>
      <c r="O690" s="7"/>
    </row>
    <row r="691">
      <c r="I691" s="7"/>
      <c r="J691" s="7"/>
      <c r="K691" s="7"/>
      <c r="L691" s="7"/>
      <c r="M691" s="7"/>
      <c r="N691" s="7"/>
      <c r="O691" s="7"/>
    </row>
    <row r="692">
      <c r="I692" s="7"/>
      <c r="J692" s="7"/>
      <c r="K692" s="7"/>
      <c r="L692" s="7"/>
      <c r="M692" s="7"/>
      <c r="N692" s="7"/>
      <c r="O692" s="7"/>
    </row>
    <row r="693">
      <c r="I693" s="7"/>
      <c r="J693" s="7"/>
      <c r="K693" s="7"/>
      <c r="L693" s="7"/>
      <c r="M693" s="7"/>
      <c r="N693" s="7"/>
      <c r="O693" s="7"/>
    </row>
    <row r="694">
      <c r="I694" s="7"/>
      <c r="J694" s="7"/>
      <c r="K694" s="7"/>
      <c r="L694" s="7"/>
      <c r="M694" s="7"/>
      <c r="N694" s="7"/>
      <c r="O694" s="7"/>
    </row>
    <row r="695">
      <c r="I695" s="7"/>
      <c r="J695" s="7"/>
      <c r="K695" s="7"/>
      <c r="L695" s="7"/>
      <c r="M695" s="7"/>
      <c r="N695" s="7"/>
      <c r="O695" s="7"/>
    </row>
    <row r="696">
      <c r="I696" s="7"/>
      <c r="J696" s="7"/>
      <c r="K696" s="7"/>
      <c r="L696" s="7"/>
      <c r="M696" s="7"/>
      <c r="N696" s="7"/>
      <c r="O696" s="7"/>
    </row>
    <row r="697">
      <c r="I697" s="7"/>
      <c r="J697" s="7"/>
      <c r="K697" s="7"/>
      <c r="L697" s="7"/>
      <c r="M697" s="7"/>
      <c r="N697" s="7"/>
      <c r="O697" s="7"/>
    </row>
    <row r="698">
      <c r="I698" s="7"/>
      <c r="J698" s="7"/>
      <c r="K698" s="7"/>
      <c r="L698" s="7"/>
      <c r="M698" s="7"/>
      <c r="N698" s="7"/>
      <c r="O698" s="7"/>
    </row>
    <row r="699">
      <c r="I699" s="7"/>
      <c r="J699" s="7"/>
      <c r="K699" s="7"/>
      <c r="L699" s="7"/>
      <c r="M699" s="7"/>
      <c r="N699" s="7"/>
      <c r="O699" s="7"/>
    </row>
    <row r="700">
      <c r="I700" s="7"/>
      <c r="J700" s="7"/>
      <c r="K700" s="7"/>
      <c r="L700" s="7"/>
      <c r="M700" s="7"/>
      <c r="N700" s="7"/>
      <c r="O700" s="7"/>
    </row>
    <row r="701">
      <c r="I701" s="7"/>
      <c r="J701" s="7"/>
      <c r="K701" s="7"/>
      <c r="L701" s="7"/>
      <c r="M701" s="7"/>
      <c r="N701" s="7"/>
      <c r="O701" s="7"/>
    </row>
    <row r="702">
      <c r="I702" s="7"/>
      <c r="J702" s="7"/>
      <c r="K702" s="7"/>
      <c r="L702" s="7"/>
      <c r="M702" s="7"/>
      <c r="N702" s="7"/>
      <c r="O702" s="7"/>
    </row>
    <row r="703">
      <c r="I703" s="7"/>
      <c r="J703" s="7"/>
      <c r="K703" s="7"/>
      <c r="L703" s="7"/>
      <c r="M703" s="7"/>
      <c r="N703" s="7"/>
      <c r="O703" s="7"/>
    </row>
    <row r="704">
      <c r="I704" s="7"/>
      <c r="J704" s="7"/>
      <c r="K704" s="7"/>
      <c r="L704" s="7"/>
      <c r="M704" s="7"/>
      <c r="N704" s="7"/>
      <c r="O704" s="7"/>
    </row>
    <row r="705">
      <c r="I705" s="7"/>
      <c r="J705" s="7"/>
      <c r="K705" s="7"/>
      <c r="L705" s="7"/>
      <c r="M705" s="7"/>
      <c r="N705" s="7"/>
      <c r="O705" s="7"/>
    </row>
    <row r="706">
      <c r="I706" s="7"/>
      <c r="J706" s="7"/>
      <c r="K706" s="7"/>
      <c r="L706" s="7"/>
      <c r="M706" s="7"/>
      <c r="N706" s="7"/>
      <c r="O706" s="7"/>
    </row>
    <row r="707">
      <c r="I707" s="7"/>
      <c r="J707" s="7"/>
      <c r="K707" s="7"/>
      <c r="L707" s="7"/>
      <c r="M707" s="7"/>
      <c r="N707" s="7"/>
      <c r="O707" s="7"/>
    </row>
    <row r="708">
      <c r="I708" s="7"/>
      <c r="J708" s="7"/>
      <c r="K708" s="7"/>
      <c r="L708" s="7"/>
      <c r="M708" s="7"/>
      <c r="N708" s="7"/>
      <c r="O708" s="7"/>
    </row>
    <row r="709">
      <c r="I709" s="7"/>
      <c r="J709" s="7"/>
      <c r="K709" s="7"/>
      <c r="L709" s="7"/>
      <c r="M709" s="7"/>
      <c r="N709" s="7"/>
      <c r="O709" s="7"/>
    </row>
    <row r="710">
      <c r="I710" s="7"/>
      <c r="J710" s="7"/>
      <c r="K710" s="7"/>
      <c r="L710" s="7"/>
      <c r="M710" s="7"/>
      <c r="N710" s="7"/>
      <c r="O710" s="7"/>
    </row>
    <row r="711">
      <c r="I711" s="7"/>
      <c r="J711" s="7"/>
      <c r="K711" s="7"/>
      <c r="L711" s="7"/>
      <c r="M711" s="7"/>
      <c r="N711" s="7"/>
      <c r="O711" s="7"/>
    </row>
    <row r="712">
      <c r="I712" s="7"/>
      <c r="J712" s="7"/>
      <c r="K712" s="7"/>
      <c r="L712" s="7"/>
      <c r="M712" s="7"/>
      <c r="N712" s="7"/>
      <c r="O712" s="7"/>
    </row>
    <row r="713">
      <c r="I713" s="7"/>
      <c r="J713" s="7"/>
      <c r="K713" s="7"/>
      <c r="L713" s="7"/>
      <c r="M713" s="7"/>
      <c r="N713" s="7"/>
      <c r="O713" s="7"/>
    </row>
    <row r="714">
      <c r="I714" s="7"/>
      <c r="J714" s="7"/>
      <c r="K714" s="7"/>
      <c r="L714" s="7"/>
      <c r="M714" s="7"/>
      <c r="N714" s="7"/>
      <c r="O714" s="7"/>
    </row>
    <row r="715">
      <c r="I715" s="7"/>
      <c r="J715" s="7"/>
      <c r="K715" s="7"/>
      <c r="L715" s="7"/>
      <c r="M715" s="7"/>
      <c r="N715" s="7"/>
      <c r="O715" s="7"/>
    </row>
    <row r="716">
      <c r="I716" s="7"/>
      <c r="J716" s="7"/>
      <c r="K716" s="7"/>
      <c r="L716" s="7"/>
      <c r="M716" s="7"/>
      <c r="N716" s="7"/>
      <c r="O716" s="7"/>
    </row>
    <row r="717">
      <c r="I717" s="7"/>
      <c r="J717" s="7"/>
      <c r="K717" s="7"/>
      <c r="L717" s="7"/>
      <c r="M717" s="7"/>
      <c r="N717" s="7"/>
      <c r="O717" s="7"/>
    </row>
    <row r="718">
      <c r="I718" s="7"/>
      <c r="J718" s="7"/>
      <c r="K718" s="7"/>
      <c r="L718" s="7"/>
      <c r="M718" s="7"/>
      <c r="N718" s="7"/>
      <c r="O718" s="7"/>
    </row>
    <row r="719">
      <c r="I719" s="7"/>
      <c r="J719" s="7"/>
      <c r="K719" s="7"/>
      <c r="L719" s="7"/>
      <c r="M719" s="7"/>
      <c r="N719" s="7"/>
      <c r="O719" s="7"/>
    </row>
    <row r="720">
      <c r="I720" s="7"/>
      <c r="J720" s="7"/>
      <c r="K720" s="7"/>
      <c r="L720" s="7"/>
      <c r="M720" s="7"/>
      <c r="N720" s="7"/>
      <c r="O720" s="7"/>
    </row>
    <row r="721">
      <c r="I721" s="7"/>
      <c r="J721" s="7"/>
      <c r="K721" s="7"/>
      <c r="L721" s="7"/>
      <c r="M721" s="7"/>
      <c r="N721" s="7"/>
      <c r="O721" s="7"/>
    </row>
    <row r="722">
      <c r="I722" s="7"/>
      <c r="J722" s="7"/>
      <c r="K722" s="7"/>
      <c r="L722" s="7"/>
      <c r="M722" s="7"/>
      <c r="N722" s="7"/>
      <c r="O722" s="7"/>
    </row>
    <row r="723">
      <c r="I723" s="7"/>
      <c r="J723" s="7"/>
      <c r="K723" s="7"/>
      <c r="L723" s="7"/>
      <c r="M723" s="7"/>
      <c r="N723" s="7"/>
      <c r="O723" s="7"/>
    </row>
    <row r="724">
      <c r="I724" s="7"/>
      <c r="J724" s="7"/>
      <c r="K724" s="7"/>
      <c r="L724" s="7"/>
      <c r="M724" s="7"/>
      <c r="N724" s="7"/>
      <c r="O724" s="7"/>
    </row>
    <row r="725">
      <c r="I725" s="7"/>
      <c r="J725" s="7"/>
      <c r="K725" s="7"/>
      <c r="L725" s="7"/>
      <c r="M725" s="7"/>
      <c r="N725" s="7"/>
      <c r="O725" s="7"/>
    </row>
    <row r="726">
      <c r="I726" s="7"/>
      <c r="J726" s="7"/>
      <c r="K726" s="7"/>
      <c r="L726" s="7"/>
      <c r="M726" s="7"/>
      <c r="N726" s="7"/>
      <c r="O726" s="7"/>
    </row>
    <row r="727">
      <c r="I727" s="7"/>
      <c r="J727" s="7"/>
      <c r="K727" s="7"/>
      <c r="L727" s="7"/>
      <c r="M727" s="7"/>
      <c r="N727" s="7"/>
      <c r="O727" s="7"/>
    </row>
    <row r="728">
      <c r="I728" s="7"/>
      <c r="J728" s="7"/>
      <c r="K728" s="7"/>
      <c r="L728" s="7"/>
      <c r="M728" s="7"/>
      <c r="N728" s="7"/>
      <c r="O728" s="7"/>
    </row>
    <row r="729">
      <c r="I729" s="7"/>
      <c r="J729" s="7"/>
      <c r="K729" s="7"/>
      <c r="L729" s="7"/>
      <c r="M729" s="7"/>
      <c r="N729" s="7"/>
      <c r="O729" s="7"/>
    </row>
    <row r="730">
      <c r="I730" s="7"/>
      <c r="J730" s="7"/>
      <c r="K730" s="7"/>
      <c r="L730" s="7"/>
      <c r="M730" s="7"/>
      <c r="N730" s="7"/>
      <c r="O730" s="7"/>
    </row>
    <row r="731">
      <c r="I731" s="7"/>
      <c r="J731" s="7"/>
      <c r="K731" s="7"/>
      <c r="L731" s="7"/>
      <c r="M731" s="7"/>
      <c r="N731" s="7"/>
      <c r="O731" s="7"/>
    </row>
    <row r="732">
      <c r="I732" s="7"/>
      <c r="J732" s="7"/>
      <c r="K732" s="7"/>
      <c r="L732" s="7"/>
      <c r="M732" s="7"/>
      <c r="N732" s="7"/>
      <c r="O732" s="7"/>
    </row>
    <row r="733">
      <c r="I733" s="7"/>
      <c r="J733" s="7"/>
      <c r="K733" s="7"/>
      <c r="L733" s="7"/>
      <c r="M733" s="7"/>
      <c r="N733" s="7"/>
      <c r="O733" s="7"/>
    </row>
    <row r="734">
      <c r="I734" s="7"/>
      <c r="J734" s="7"/>
      <c r="K734" s="7"/>
      <c r="L734" s="7"/>
      <c r="M734" s="7"/>
      <c r="N734" s="7"/>
      <c r="O734" s="7"/>
    </row>
    <row r="735">
      <c r="I735" s="7"/>
      <c r="J735" s="7"/>
      <c r="K735" s="7"/>
      <c r="L735" s="7"/>
      <c r="M735" s="7"/>
      <c r="N735" s="7"/>
      <c r="O735" s="7"/>
    </row>
    <row r="736">
      <c r="I736" s="7"/>
      <c r="J736" s="7"/>
      <c r="K736" s="7"/>
      <c r="L736" s="7"/>
      <c r="M736" s="7"/>
      <c r="N736" s="7"/>
      <c r="O736" s="7"/>
    </row>
    <row r="737">
      <c r="I737" s="7"/>
      <c r="J737" s="7"/>
      <c r="K737" s="7"/>
      <c r="L737" s="7"/>
      <c r="M737" s="7"/>
      <c r="N737" s="7"/>
      <c r="O737" s="7"/>
    </row>
    <row r="738">
      <c r="I738" s="7"/>
      <c r="J738" s="7"/>
      <c r="K738" s="7"/>
      <c r="L738" s="7"/>
      <c r="M738" s="7"/>
      <c r="N738" s="7"/>
      <c r="O738" s="7"/>
    </row>
    <row r="739">
      <c r="I739" s="7"/>
      <c r="J739" s="7"/>
      <c r="K739" s="7"/>
      <c r="L739" s="7"/>
      <c r="M739" s="7"/>
      <c r="N739" s="7"/>
      <c r="O739" s="7"/>
    </row>
    <row r="740">
      <c r="I740" s="7"/>
      <c r="J740" s="7"/>
      <c r="K740" s="7"/>
      <c r="L740" s="7"/>
      <c r="M740" s="7"/>
      <c r="N740" s="7"/>
      <c r="O740" s="7"/>
    </row>
    <row r="741">
      <c r="I741" s="7"/>
      <c r="J741" s="7"/>
      <c r="K741" s="7"/>
      <c r="L741" s="7"/>
      <c r="M741" s="7"/>
      <c r="N741" s="7"/>
      <c r="O741" s="7"/>
    </row>
    <row r="742">
      <c r="I742" s="7"/>
      <c r="J742" s="7"/>
      <c r="K742" s="7"/>
      <c r="L742" s="7"/>
      <c r="M742" s="7"/>
      <c r="N742" s="7"/>
      <c r="O742" s="7"/>
    </row>
    <row r="743">
      <c r="I743" s="7"/>
      <c r="J743" s="7"/>
      <c r="K743" s="7"/>
      <c r="L743" s="7"/>
      <c r="M743" s="7"/>
      <c r="N743" s="7"/>
      <c r="O743" s="7"/>
    </row>
    <row r="744">
      <c r="I744" s="7"/>
      <c r="J744" s="7"/>
      <c r="K744" s="7"/>
      <c r="L744" s="7"/>
      <c r="M744" s="7"/>
      <c r="N744" s="7"/>
      <c r="O744" s="7"/>
    </row>
    <row r="745">
      <c r="I745" s="7"/>
      <c r="J745" s="7"/>
      <c r="K745" s="7"/>
      <c r="L745" s="7"/>
      <c r="M745" s="7"/>
      <c r="N745" s="7"/>
      <c r="O745" s="7"/>
    </row>
    <row r="746">
      <c r="I746" s="7"/>
      <c r="J746" s="7"/>
      <c r="K746" s="7"/>
      <c r="L746" s="7"/>
      <c r="M746" s="7"/>
      <c r="N746" s="7"/>
      <c r="O746" s="7"/>
    </row>
    <row r="747">
      <c r="I747" s="7"/>
      <c r="J747" s="7"/>
      <c r="K747" s="7"/>
      <c r="L747" s="7"/>
      <c r="M747" s="7"/>
      <c r="N747" s="7"/>
      <c r="O747" s="7"/>
    </row>
    <row r="748">
      <c r="I748" s="7"/>
      <c r="J748" s="7"/>
      <c r="K748" s="7"/>
      <c r="L748" s="7"/>
      <c r="M748" s="7"/>
      <c r="N748" s="7"/>
      <c r="O748" s="7"/>
    </row>
    <row r="749">
      <c r="I749" s="7"/>
      <c r="J749" s="7"/>
      <c r="K749" s="7"/>
      <c r="L749" s="7"/>
      <c r="M749" s="7"/>
      <c r="N749" s="7"/>
      <c r="O749" s="7"/>
    </row>
    <row r="750">
      <c r="I750" s="7"/>
      <c r="J750" s="7"/>
      <c r="K750" s="7"/>
      <c r="L750" s="7"/>
      <c r="M750" s="7"/>
      <c r="N750" s="7"/>
      <c r="O750" s="7"/>
    </row>
    <row r="751">
      <c r="I751" s="7"/>
      <c r="J751" s="7"/>
      <c r="K751" s="7"/>
      <c r="L751" s="7"/>
      <c r="M751" s="7"/>
      <c r="N751" s="7"/>
      <c r="O751" s="7"/>
    </row>
    <row r="752">
      <c r="I752" s="7"/>
      <c r="J752" s="7"/>
      <c r="K752" s="7"/>
      <c r="L752" s="7"/>
      <c r="M752" s="7"/>
      <c r="N752" s="7"/>
      <c r="O752" s="7"/>
    </row>
    <row r="753">
      <c r="I753" s="7"/>
      <c r="J753" s="7"/>
      <c r="K753" s="7"/>
      <c r="L753" s="7"/>
      <c r="M753" s="7"/>
      <c r="N753" s="7"/>
      <c r="O753" s="7"/>
    </row>
    <row r="754">
      <c r="I754" s="7"/>
      <c r="J754" s="7"/>
      <c r="K754" s="7"/>
      <c r="L754" s="7"/>
      <c r="M754" s="7"/>
      <c r="N754" s="7"/>
      <c r="O754" s="7"/>
    </row>
    <row r="755">
      <c r="I755" s="7"/>
      <c r="J755" s="7"/>
      <c r="K755" s="7"/>
      <c r="L755" s="7"/>
      <c r="M755" s="7"/>
      <c r="N755" s="7"/>
      <c r="O755" s="7"/>
    </row>
    <row r="756">
      <c r="I756" s="7"/>
      <c r="J756" s="7"/>
      <c r="K756" s="7"/>
      <c r="L756" s="7"/>
      <c r="M756" s="7"/>
      <c r="N756" s="7"/>
      <c r="O756" s="7"/>
    </row>
    <row r="757">
      <c r="I757" s="7"/>
      <c r="J757" s="7"/>
      <c r="K757" s="7"/>
      <c r="L757" s="7"/>
      <c r="M757" s="7"/>
      <c r="N757" s="7"/>
      <c r="O757" s="7"/>
    </row>
    <row r="758">
      <c r="I758" s="7"/>
      <c r="J758" s="7"/>
      <c r="K758" s="7"/>
      <c r="L758" s="7"/>
      <c r="M758" s="7"/>
      <c r="N758" s="7"/>
      <c r="O758" s="7"/>
    </row>
    <row r="759">
      <c r="I759" s="7"/>
      <c r="J759" s="7"/>
      <c r="K759" s="7"/>
      <c r="L759" s="7"/>
      <c r="M759" s="7"/>
      <c r="N759" s="7"/>
      <c r="O759" s="7"/>
    </row>
    <row r="760">
      <c r="I760" s="7"/>
      <c r="J760" s="7"/>
      <c r="K760" s="7"/>
      <c r="L760" s="7"/>
      <c r="M760" s="7"/>
      <c r="N760" s="7"/>
      <c r="O760" s="7"/>
    </row>
    <row r="761">
      <c r="I761" s="7"/>
      <c r="J761" s="7"/>
      <c r="K761" s="7"/>
      <c r="L761" s="7"/>
      <c r="M761" s="7"/>
      <c r="N761" s="7"/>
      <c r="O761" s="7"/>
    </row>
    <row r="762">
      <c r="I762" s="7"/>
      <c r="J762" s="7"/>
      <c r="K762" s="7"/>
      <c r="L762" s="7"/>
      <c r="M762" s="7"/>
      <c r="N762" s="7"/>
      <c r="O762" s="7"/>
    </row>
    <row r="763">
      <c r="I763" s="7"/>
      <c r="J763" s="7"/>
      <c r="K763" s="7"/>
      <c r="L763" s="7"/>
      <c r="M763" s="7"/>
      <c r="N763" s="7"/>
      <c r="O763" s="7"/>
    </row>
    <row r="764">
      <c r="I764" s="7"/>
      <c r="J764" s="7"/>
      <c r="K764" s="7"/>
      <c r="L764" s="7"/>
      <c r="M764" s="7"/>
      <c r="N764" s="7"/>
      <c r="O764" s="7"/>
    </row>
    <row r="765">
      <c r="I765" s="7"/>
      <c r="J765" s="7"/>
      <c r="K765" s="7"/>
      <c r="L765" s="7"/>
      <c r="M765" s="7"/>
      <c r="N765" s="7"/>
      <c r="O765" s="7"/>
    </row>
    <row r="766">
      <c r="I766" s="7"/>
      <c r="J766" s="7"/>
      <c r="K766" s="7"/>
      <c r="L766" s="7"/>
      <c r="M766" s="7"/>
      <c r="N766" s="7"/>
      <c r="O766" s="7"/>
    </row>
    <row r="767">
      <c r="I767" s="7"/>
      <c r="J767" s="7"/>
      <c r="K767" s="7"/>
      <c r="L767" s="7"/>
      <c r="M767" s="7"/>
      <c r="N767" s="7"/>
      <c r="O767" s="7"/>
    </row>
    <row r="768">
      <c r="I768" s="7"/>
      <c r="J768" s="7"/>
      <c r="K768" s="7"/>
      <c r="L768" s="7"/>
      <c r="M768" s="7"/>
      <c r="N768" s="7"/>
      <c r="O768" s="7"/>
    </row>
    <row r="769">
      <c r="I769" s="7"/>
      <c r="J769" s="7"/>
      <c r="K769" s="7"/>
      <c r="L769" s="7"/>
      <c r="M769" s="7"/>
      <c r="N769" s="7"/>
      <c r="O769" s="7"/>
    </row>
    <row r="770">
      <c r="I770" s="7"/>
      <c r="J770" s="7"/>
      <c r="K770" s="7"/>
      <c r="L770" s="7"/>
      <c r="M770" s="7"/>
      <c r="N770" s="7"/>
      <c r="O770" s="7"/>
    </row>
    <row r="771">
      <c r="I771" s="7"/>
      <c r="J771" s="7"/>
      <c r="K771" s="7"/>
      <c r="L771" s="7"/>
      <c r="M771" s="7"/>
      <c r="N771" s="7"/>
      <c r="O771" s="7"/>
    </row>
    <row r="772">
      <c r="I772" s="7"/>
      <c r="J772" s="7"/>
      <c r="K772" s="7"/>
      <c r="L772" s="7"/>
      <c r="M772" s="7"/>
      <c r="N772" s="7"/>
      <c r="O772" s="7"/>
    </row>
    <row r="773">
      <c r="I773" s="7"/>
      <c r="J773" s="7"/>
      <c r="K773" s="7"/>
      <c r="L773" s="7"/>
      <c r="M773" s="7"/>
      <c r="N773" s="7"/>
      <c r="O773" s="7"/>
    </row>
    <row r="774">
      <c r="I774" s="7"/>
      <c r="J774" s="7"/>
      <c r="K774" s="7"/>
      <c r="L774" s="7"/>
      <c r="M774" s="7"/>
      <c r="N774" s="7"/>
      <c r="O774" s="7"/>
    </row>
    <row r="775">
      <c r="I775" s="7"/>
      <c r="J775" s="7"/>
      <c r="K775" s="7"/>
      <c r="L775" s="7"/>
      <c r="M775" s="7"/>
      <c r="N775" s="7"/>
      <c r="O775" s="7"/>
    </row>
    <row r="776">
      <c r="I776" s="7"/>
      <c r="J776" s="7"/>
      <c r="K776" s="7"/>
      <c r="L776" s="7"/>
      <c r="M776" s="7"/>
      <c r="N776" s="7"/>
      <c r="O776" s="7"/>
    </row>
    <row r="777">
      <c r="I777" s="7"/>
      <c r="J777" s="7"/>
      <c r="K777" s="7"/>
      <c r="L777" s="7"/>
      <c r="M777" s="7"/>
      <c r="N777" s="7"/>
      <c r="O777" s="7"/>
    </row>
    <row r="778">
      <c r="I778" s="7"/>
      <c r="J778" s="7"/>
      <c r="K778" s="7"/>
      <c r="L778" s="7"/>
      <c r="M778" s="7"/>
      <c r="N778" s="7"/>
      <c r="O778" s="7"/>
    </row>
    <row r="779">
      <c r="I779" s="7"/>
      <c r="J779" s="7"/>
      <c r="K779" s="7"/>
      <c r="L779" s="7"/>
      <c r="M779" s="7"/>
      <c r="N779" s="7"/>
      <c r="O779" s="7"/>
    </row>
    <row r="780">
      <c r="I780" s="7"/>
      <c r="J780" s="7"/>
      <c r="K780" s="7"/>
      <c r="L780" s="7"/>
      <c r="M780" s="7"/>
      <c r="N780" s="7"/>
      <c r="O780" s="7"/>
    </row>
    <row r="781">
      <c r="I781" s="7"/>
      <c r="J781" s="7"/>
      <c r="K781" s="7"/>
      <c r="L781" s="7"/>
      <c r="M781" s="7"/>
      <c r="N781" s="7"/>
      <c r="O781" s="7"/>
    </row>
    <row r="782">
      <c r="I782" s="7"/>
      <c r="J782" s="7"/>
      <c r="K782" s="7"/>
      <c r="L782" s="7"/>
      <c r="M782" s="7"/>
      <c r="N782" s="7"/>
      <c r="O782" s="7"/>
    </row>
    <row r="783">
      <c r="I783" s="7"/>
      <c r="J783" s="7"/>
      <c r="K783" s="7"/>
      <c r="L783" s="7"/>
      <c r="M783" s="7"/>
      <c r="N783" s="7"/>
      <c r="O783" s="7"/>
    </row>
    <row r="784">
      <c r="I784" s="7"/>
      <c r="J784" s="7"/>
      <c r="K784" s="7"/>
      <c r="L784" s="7"/>
      <c r="M784" s="7"/>
      <c r="N784" s="7"/>
      <c r="O784" s="7"/>
    </row>
    <row r="785">
      <c r="I785" s="7"/>
      <c r="J785" s="7"/>
      <c r="K785" s="7"/>
      <c r="L785" s="7"/>
      <c r="M785" s="7"/>
      <c r="N785" s="7"/>
      <c r="O785" s="7"/>
    </row>
    <row r="786">
      <c r="I786" s="7"/>
      <c r="J786" s="7"/>
      <c r="K786" s="7"/>
      <c r="L786" s="7"/>
      <c r="M786" s="7"/>
      <c r="N786" s="7"/>
      <c r="O786" s="7"/>
    </row>
    <row r="787">
      <c r="I787" s="7"/>
      <c r="J787" s="7"/>
      <c r="K787" s="7"/>
      <c r="L787" s="7"/>
      <c r="M787" s="7"/>
      <c r="N787" s="7"/>
      <c r="O787" s="7"/>
    </row>
    <row r="788">
      <c r="I788" s="7"/>
      <c r="J788" s="7"/>
      <c r="K788" s="7"/>
      <c r="L788" s="7"/>
      <c r="M788" s="7"/>
      <c r="N788" s="7"/>
      <c r="O788" s="7"/>
    </row>
    <row r="789">
      <c r="I789" s="7"/>
      <c r="J789" s="7"/>
      <c r="K789" s="7"/>
      <c r="L789" s="7"/>
      <c r="M789" s="7"/>
      <c r="N789" s="7"/>
      <c r="O789" s="7"/>
    </row>
    <row r="790">
      <c r="I790" s="7"/>
      <c r="J790" s="7"/>
      <c r="K790" s="7"/>
      <c r="L790" s="7"/>
      <c r="M790" s="7"/>
      <c r="N790" s="7"/>
      <c r="O790" s="7"/>
    </row>
    <row r="791">
      <c r="I791" s="7"/>
      <c r="J791" s="7"/>
      <c r="K791" s="7"/>
      <c r="L791" s="7"/>
      <c r="M791" s="7"/>
      <c r="N791" s="7"/>
      <c r="O791" s="7"/>
    </row>
    <row r="792">
      <c r="I792" s="7"/>
      <c r="J792" s="7"/>
      <c r="K792" s="7"/>
      <c r="L792" s="7"/>
      <c r="M792" s="7"/>
      <c r="N792" s="7"/>
      <c r="O792" s="7"/>
    </row>
    <row r="793">
      <c r="I793" s="7"/>
      <c r="J793" s="7"/>
      <c r="K793" s="7"/>
      <c r="L793" s="7"/>
      <c r="M793" s="7"/>
      <c r="N793" s="7"/>
      <c r="O793" s="7"/>
    </row>
    <row r="794">
      <c r="I794" s="7"/>
      <c r="J794" s="7"/>
      <c r="K794" s="7"/>
      <c r="L794" s="7"/>
      <c r="M794" s="7"/>
      <c r="N794" s="7"/>
      <c r="O794" s="7"/>
    </row>
    <row r="795">
      <c r="I795" s="7"/>
      <c r="J795" s="7"/>
      <c r="K795" s="7"/>
      <c r="L795" s="7"/>
      <c r="M795" s="7"/>
      <c r="N795" s="7"/>
      <c r="O795" s="7"/>
    </row>
    <row r="796">
      <c r="I796" s="7"/>
      <c r="J796" s="7"/>
      <c r="K796" s="7"/>
      <c r="L796" s="7"/>
      <c r="M796" s="7"/>
      <c r="N796" s="7"/>
      <c r="O796" s="7"/>
    </row>
    <row r="797">
      <c r="I797" s="7"/>
      <c r="J797" s="7"/>
      <c r="K797" s="7"/>
      <c r="L797" s="7"/>
      <c r="M797" s="7"/>
      <c r="N797" s="7"/>
      <c r="O797" s="7"/>
    </row>
    <row r="798">
      <c r="I798" s="7"/>
      <c r="J798" s="7"/>
      <c r="K798" s="7"/>
      <c r="L798" s="7"/>
      <c r="M798" s="7"/>
      <c r="N798" s="7"/>
      <c r="O798" s="7"/>
    </row>
    <row r="799">
      <c r="I799" s="7"/>
      <c r="J799" s="7"/>
      <c r="K799" s="7"/>
      <c r="L799" s="7"/>
      <c r="M799" s="7"/>
      <c r="N799" s="7"/>
      <c r="O799" s="7"/>
    </row>
    <row r="800">
      <c r="I800" s="7"/>
      <c r="J800" s="7"/>
      <c r="K800" s="7"/>
      <c r="L800" s="7"/>
      <c r="M800" s="7"/>
      <c r="N800" s="7"/>
      <c r="O800" s="7"/>
    </row>
    <row r="801">
      <c r="I801" s="7"/>
      <c r="J801" s="7"/>
      <c r="K801" s="7"/>
      <c r="L801" s="7"/>
      <c r="M801" s="7"/>
      <c r="N801" s="7"/>
      <c r="O801" s="7"/>
    </row>
    <row r="802">
      <c r="I802" s="7"/>
      <c r="J802" s="7"/>
      <c r="K802" s="7"/>
      <c r="L802" s="7"/>
      <c r="M802" s="7"/>
      <c r="N802" s="7"/>
      <c r="O802" s="7"/>
    </row>
    <row r="803">
      <c r="I803" s="7"/>
      <c r="J803" s="7"/>
      <c r="K803" s="7"/>
      <c r="L803" s="7"/>
      <c r="M803" s="7"/>
      <c r="N803" s="7"/>
      <c r="O803" s="7"/>
    </row>
    <row r="804">
      <c r="I804" s="7"/>
      <c r="J804" s="7"/>
      <c r="K804" s="7"/>
      <c r="L804" s="7"/>
      <c r="M804" s="7"/>
      <c r="N804" s="7"/>
      <c r="O804" s="7"/>
    </row>
    <row r="805">
      <c r="I805" s="7"/>
      <c r="J805" s="7"/>
      <c r="K805" s="7"/>
      <c r="L805" s="7"/>
      <c r="M805" s="7"/>
      <c r="N805" s="7"/>
      <c r="O805" s="7"/>
    </row>
    <row r="806">
      <c r="I806" s="7"/>
      <c r="J806" s="7"/>
      <c r="K806" s="7"/>
      <c r="L806" s="7"/>
      <c r="M806" s="7"/>
      <c r="N806" s="7"/>
      <c r="O806" s="7"/>
    </row>
    <row r="807">
      <c r="I807" s="7"/>
      <c r="J807" s="7"/>
      <c r="K807" s="7"/>
      <c r="L807" s="7"/>
      <c r="M807" s="7"/>
      <c r="N807" s="7"/>
      <c r="O807" s="7"/>
    </row>
    <row r="808">
      <c r="I808" s="7"/>
      <c r="J808" s="7"/>
      <c r="K808" s="7"/>
      <c r="L808" s="7"/>
      <c r="M808" s="7"/>
      <c r="N808" s="7"/>
      <c r="O808" s="7"/>
    </row>
    <row r="809">
      <c r="I809" s="7"/>
      <c r="J809" s="7"/>
      <c r="K809" s="7"/>
      <c r="L809" s="7"/>
      <c r="M809" s="7"/>
      <c r="N809" s="7"/>
      <c r="O809" s="7"/>
    </row>
    <row r="810">
      <c r="I810" s="7"/>
      <c r="J810" s="7"/>
      <c r="K810" s="7"/>
      <c r="L810" s="7"/>
      <c r="M810" s="7"/>
      <c r="N810" s="7"/>
      <c r="O810" s="7"/>
    </row>
    <row r="811">
      <c r="I811" s="7"/>
      <c r="J811" s="7"/>
      <c r="K811" s="7"/>
      <c r="L811" s="7"/>
      <c r="M811" s="7"/>
      <c r="N811" s="7"/>
      <c r="O811" s="7"/>
    </row>
    <row r="812">
      <c r="I812" s="7"/>
      <c r="J812" s="7"/>
      <c r="K812" s="7"/>
      <c r="L812" s="7"/>
      <c r="M812" s="7"/>
      <c r="N812" s="7"/>
      <c r="O812" s="7"/>
    </row>
    <row r="813">
      <c r="I813" s="7"/>
      <c r="J813" s="7"/>
      <c r="K813" s="7"/>
      <c r="L813" s="7"/>
      <c r="M813" s="7"/>
      <c r="N813" s="7"/>
      <c r="O813" s="7"/>
    </row>
    <row r="814">
      <c r="I814" s="7"/>
      <c r="J814" s="7"/>
      <c r="K814" s="7"/>
      <c r="L814" s="7"/>
      <c r="M814" s="7"/>
      <c r="N814" s="7"/>
      <c r="O814" s="7"/>
    </row>
    <row r="815">
      <c r="I815" s="7"/>
      <c r="J815" s="7"/>
      <c r="K815" s="7"/>
      <c r="L815" s="7"/>
      <c r="M815" s="7"/>
      <c r="N815" s="7"/>
      <c r="O815" s="7"/>
    </row>
    <row r="816">
      <c r="I816" s="7"/>
      <c r="J816" s="7"/>
      <c r="K816" s="7"/>
      <c r="L816" s="7"/>
      <c r="M816" s="7"/>
      <c r="N816" s="7"/>
      <c r="O816" s="7"/>
    </row>
    <row r="817">
      <c r="I817" s="7"/>
      <c r="J817" s="7"/>
      <c r="K817" s="7"/>
      <c r="L817" s="7"/>
      <c r="M817" s="7"/>
      <c r="N817" s="7"/>
      <c r="O817" s="7"/>
    </row>
    <row r="818">
      <c r="I818" s="7"/>
      <c r="J818" s="7"/>
      <c r="K818" s="7"/>
      <c r="L818" s="7"/>
      <c r="M818" s="7"/>
      <c r="N818" s="7"/>
      <c r="O818" s="7"/>
    </row>
    <row r="819">
      <c r="I819" s="7"/>
      <c r="J819" s="7"/>
      <c r="K819" s="7"/>
      <c r="L819" s="7"/>
      <c r="M819" s="7"/>
      <c r="N819" s="7"/>
      <c r="O819" s="7"/>
    </row>
    <row r="820">
      <c r="I820" s="7"/>
      <c r="J820" s="7"/>
      <c r="K820" s="7"/>
      <c r="L820" s="7"/>
      <c r="M820" s="7"/>
      <c r="N820" s="7"/>
      <c r="O820" s="7"/>
    </row>
    <row r="821">
      <c r="I821" s="7"/>
      <c r="J821" s="7"/>
      <c r="K821" s="7"/>
      <c r="L821" s="7"/>
      <c r="M821" s="7"/>
      <c r="N821" s="7"/>
      <c r="O821" s="7"/>
    </row>
    <row r="822">
      <c r="I822" s="7"/>
      <c r="J822" s="7"/>
      <c r="K822" s="7"/>
      <c r="L822" s="7"/>
      <c r="M822" s="7"/>
      <c r="N822" s="7"/>
      <c r="O822" s="7"/>
    </row>
    <row r="823">
      <c r="I823" s="7"/>
      <c r="J823" s="7"/>
      <c r="K823" s="7"/>
      <c r="L823" s="7"/>
      <c r="M823" s="7"/>
      <c r="N823" s="7"/>
      <c r="O823" s="7"/>
    </row>
    <row r="824">
      <c r="I824" s="7"/>
      <c r="J824" s="7"/>
      <c r="K824" s="7"/>
      <c r="L824" s="7"/>
      <c r="M824" s="7"/>
      <c r="N824" s="7"/>
      <c r="O824" s="7"/>
    </row>
    <row r="825">
      <c r="I825" s="7"/>
      <c r="J825" s="7"/>
      <c r="K825" s="7"/>
      <c r="L825" s="7"/>
      <c r="M825" s="7"/>
      <c r="N825" s="7"/>
      <c r="O825" s="7"/>
    </row>
    <row r="826">
      <c r="I826" s="7"/>
      <c r="J826" s="7"/>
      <c r="K826" s="7"/>
      <c r="L826" s="7"/>
      <c r="M826" s="7"/>
      <c r="N826" s="7"/>
      <c r="O826" s="7"/>
    </row>
    <row r="827">
      <c r="I827" s="7"/>
      <c r="J827" s="7"/>
      <c r="K827" s="7"/>
      <c r="L827" s="7"/>
      <c r="M827" s="7"/>
      <c r="N827" s="7"/>
      <c r="O827" s="7"/>
    </row>
    <row r="828">
      <c r="I828" s="7"/>
      <c r="J828" s="7"/>
      <c r="K828" s="7"/>
      <c r="L828" s="7"/>
      <c r="M828" s="7"/>
      <c r="N828" s="7"/>
      <c r="O828" s="7"/>
    </row>
    <row r="829">
      <c r="I829" s="7"/>
      <c r="J829" s="7"/>
      <c r="K829" s="7"/>
      <c r="L829" s="7"/>
      <c r="M829" s="7"/>
      <c r="N829" s="7"/>
      <c r="O829" s="7"/>
    </row>
    <row r="830">
      <c r="I830" s="7"/>
      <c r="J830" s="7"/>
      <c r="K830" s="7"/>
      <c r="L830" s="7"/>
      <c r="M830" s="7"/>
      <c r="N830" s="7"/>
      <c r="O830" s="7"/>
    </row>
    <row r="831">
      <c r="I831" s="7"/>
      <c r="J831" s="7"/>
      <c r="K831" s="7"/>
      <c r="L831" s="7"/>
      <c r="M831" s="7"/>
      <c r="N831" s="7"/>
      <c r="O831" s="7"/>
    </row>
    <row r="832">
      <c r="I832" s="7"/>
      <c r="J832" s="7"/>
      <c r="K832" s="7"/>
      <c r="L832" s="7"/>
      <c r="M832" s="7"/>
      <c r="N832" s="7"/>
      <c r="O832" s="7"/>
    </row>
    <row r="833">
      <c r="I833" s="7"/>
      <c r="J833" s="7"/>
      <c r="K833" s="7"/>
      <c r="L833" s="7"/>
      <c r="M833" s="7"/>
      <c r="N833" s="7"/>
      <c r="O833" s="7"/>
    </row>
    <row r="834">
      <c r="I834" s="7"/>
      <c r="J834" s="7"/>
      <c r="K834" s="7"/>
      <c r="L834" s="7"/>
      <c r="M834" s="7"/>
      <c r="N834" s="7"/>
      <c r="O834" s="7"/>
    </row>
    <row r="835">
      <c r="I835" s="7"/>
      <c r="J835" s="7"/>
      <c r="K835" s="7"/>
      <c r="L835" s="7"/>
      <c r="M835" s="7"/>
      <c r="N835" s="7"/>
      <c r="O835" s="7"/>
    </row>
    <row r="836">
      <c r="I836" s="7"/>
      <c r="J836" s="7"/>
      <c r="K836" s="7"/>
      <c r="L836" s="7"/>
      <c r="M836" s="7"/>
      <c r="N836" s="7"/>
      <c r="O836" s="7"/>
    </row>
    <row r="837">
      <c r="I837" s="7"/>
      <c r="J837" s="7"/>
      <c r="K837" s="7"/>
      <c r="L837" s="7"/>
      <c r="M837" s="7"/>
      <c r="N837" s="7"/>
      <c r="O837" s="7"/>
    </row>
    <row r="838">
      <c r="I838" s="7"/>
      <c r="J838" s="7"/>
      <c r="K838" s="7"/>
      <c r="L838" s="7"/>
      <c r="M838" s="7"/>
      <c r="N838" s="7"/>
      <c r="O838" s="7"/>
    </row>
    <row r="839">
      <c r="I839" s="7"/>
      <c r="J839" s="7"/>
      <c r="K839" s="7"/>
      <c r="L839" s="7"/>
      <c r="M839" s="7"/>
      <c r="N839" s="7"/>
      <c r="O839" s="7"/>
    </row>
    <row r="840">
      <c r="I840" s="7"/>
      <c r="J840" s="7"/>
      <c r="K840" s="7"/>
      <c r="L840" s="7"/>
      <c r="M840" s="7"/>
      <c r="N840" s="7"/>
      <c r="O840" s="7"/>
    </row>
    <row r="841">
      <c r="I841" s="7"/>
      <c r="J841" s="7"/>
      <c r="K841" s="7"/>
      <c r="L841" s="7"/>
      <c r="M841" s="7"/>
      <c r="N841" s="7"/>
      <c r="O841" s="7"/>
    </row>
    <row r="842">
      <c r="I842" s="7"/>
      <c r="J842" s="7"/>
      <c r="K842" s="7"/>
      <c r="L842" s="7"/>
      <c r="M842" s="7"/>
      <c r="N842" s="7"/>
      <c r="O842" s="7"/>
    </row>
    <row r="843">
      <c r="I843" s="7"/>
      <c r="J843" s="7"/>
      <c r="K843" s="7"/>
      <c r="L843" s="7"/>
      <c r="M843" s="7"/>
      <c r="N843" s="7"/>
      <c r="O843" s="7"/>
    </row>
    <row r="844">
      <c r="I844" s="7"/>
      <c r="J844" s="7"/>
      <c r="K844" s="7"/>
      <c r="L844" s="7"/>
      <c r="M844" s="7"/>
      <c r="N844" s="7"/>
      <c r="O844" s="7"/>
    </row>
    <row r="845">
      <c r="I845" s="7"/>
      <c r="J845" s="7"/>
      <c r="K845" s="7"/>
      <c r="L845" s="7"/>
      <c r="M845" s="7"/>
      <c r="N845" s="7"/>
      <c r="O845" s="7"/>
    </row>
    <row r="846">
      <c r="I846" s="7"/>
      <c r="J846" s="7"/>
      <c r="K846" s="7"/>
      <c r="L846" s="7"/>
      <c r="M846" s="7"/>
      <c r="N846" s="7"/>
      <c r="O846" s="7"/>
    </row>
    <row r="847">
      <c r="I847" s="7"/>
      <c r="J847" s="7"/>
      <c r="K847" s="7"/>
      <c r="L847" s="7"/>
      <c r="M847" s="7"/>
      <c r="N847" s="7"/>
      <c r="O847" s="7"/>
    </row>
    <row r="848">
      <c r="I848" s="7"/>
      <c r="J848" s="7"/>
      <c r="K848" s="7"/>
      <c r="L848" s="7"/>
      <c r="M848" s="7"/>
      <c r="N848" s="7"/>
      <c r="O848" s="7"/>
    </row>
    <row r="849">
      <c r="I849" s="7"/>
      <c r="J849" s="7"/>
      <c r="K849" s="7"/>
      <c r="L849" s="7"/>
      <c r="M849" s="7"/>
      <c r="N849" s="7"/>
      <c r="O849" s="7"/>
    </row>
    <row r="850">
      <c r="I850" s="7"/>
      <c r="J850" s="7"/>
      <c r="K850" s="7"/>
      <c r="L850" s="7"/>
      <c r="M850" s="7"/>
      <c r="N850" s="7"/>
      <c r="O850" s="7"/>
    </row>
    <row r="851">
      <c r="I851" s="7"/>
      <c r="J851" s="7"/>
      <c r="K851" s="7"/>
      <c r="L851" s="7"/>
      <c r="M851" s="7"/>
      <c r="N851" s="7"/>
      <c r="O851" s="7"/>
    </row>
    <row r="852">
      <c r="I852" s="7"/>
      <c r="J852" s="7"/>
      <c r="K852" s="7"/>
      <c r="L852" s="7"/>
      <c r="M852" s="7"/>
      <c r="N852" s="7"/>
      <c r="O852" s="7"/>
    </row>
    <row r="853">
      <c r="I853" s="7"/>
      <c r="J853" s="7"/>
      <c r="K853" s="7"/>
      <c r="L853" s="7"/>
      <c r="M853" s="7"/>
      <c r="N853" s="7"/>
      <c r="O853" s="7"/>
    </row>
    <row r="854">
      <c r="I854" s="7"/>
      <c r="J854" s="7"/>
      <c r="K854" s="7"/>
      <c r="L854" s="7"/>
      <c r="M854" s="7"/>
      <c r="N854" s="7"/>
      <c r="O854" s="7"/>
    </row>
    <row r="855">
      <c r="I855" s="7"/>
      <c r="J855" s="7"/>
      <c r="K855" s="7"/>
      <c r="L855" s="7"/>
      <c r="M855" s="7"/>
      <c r="N855" s="7"/>
      <c r="O855" s="7"/>
    </row>
    <row r="856">
      <c r="I856" s="7"/>
      <c r="J856" s="7"/>
      <c r="K856" s="7"/>
      <c r="L856" s="7"/>
      <c r="M856" s="7"/>
      <c r="N856" s="7"/>
      <c r="O856" s="7"/>
    </row>
    <row r="857">
      <c r="I857" s="7"/>
      <c r="J857" s="7"/>
      <c r="K857" s="7"/>
      <c r="L857" s="7"/>
      <c r="M857" s="7"/>
      <c r="N857" s="7"/>
      <c r="O857" s="7"/>
    </row>
    <row r="858">
      <c r="I858" s="7"/>
      <c r="J858" s="7"/>
      <c r="K858" s="7"/>
      <c r="L858" s="7"/>
      <c r="M858" s="7"/>
      <c r="N858" s="7"/>
      <c r="O858" s="7"/>
    </row>
    <row r="859">
      <c r="I859" s="7"/>
      <c r="J859" s="7"/>
      <c r="K859" s="7"/>
      <c r="L859" s="7"/>
      <c r="M859" s="7"/>
      <c r="N859" s="7"/>
      <c r="O859" s="7"/>
    </row>
    <row r="860">
      <c r="I860" s="7"/>
      <c r="J860" s="7"/>
      <c r="K860" s="7"/>
      <c r="L860" s="7"/>
      <c r="M860" s="7"/>
      <c r="N860" s="7"/>
      <c r="O860" s="7"/>
    </row>
    <row r="861">
      <c r="I861" s="7"/>
      <c r="J861" s="7"/>
      <c r="K861" s="7"/>
      <c r="L861" s="7"/>
      <c r="M861" s="7"/>
      <c r="N861" s="7"/>
      <c r="O861" s="7"/>
    </row>
    <row r="862">
      <c r="I862" s="7"/>
      <c r="J862" s="7"/>
      <c r="K862" s="7"/>
      <c r="L862" s="7"/>
      <c r="M862" s="7"/>
      <c r="N862" s="7"/>
      <c r="O862" s="7"/>
    </row>
    <row r="863">
      <c r="I863" s="7"/>
      <c r="J863" s="7"/>
      <c r="K863" s="7"/>
      <c r="L863" s="7"/>
      <c r="M863" s="7"/>
      <c r="N863" s="7"/>
      <c r="O863" s="7"/>
    </row>
    <row r="864">
      <c r="I864" s="7"/>
      <c r="J864" s="7"/>
      <c r="K864" s="7"/>
      <c r="L864" s="7"/>
      <c r="M864" s="7"/>
      <c r="N864" s="7"/>
      <c r="O864" s="7"/>
    </row>
    <row r="865">
      <c r="I865" s="7"/>
      <c r="J865" s="7"/>
      <c r="K865" s="7"/>
      <c r="L865" s="7"/>
      <c r="M865" s="7"/>
      <c r="N865" s="7"/>
      <c r="O865" s="7"/>
    </row>
    <row r="866">
      <c r="I866" s="7"/>
      <c r="J866" s="7"/>
      <c r="K866" s="7"/>
      <c r="L866" s="7"/>
      <c r="M866" s="7"/>
      <c r="N866" s="7"/>
      <c r="O866" s="7"/>
    </row>
    <row r="867">
      <c r="I867" s="7"/>
      <c r="J867" s="7"/>
      <c r="K867" s="7"/>
      <c r="L867" s="7"/>
      <c r="M867" s="7"/>
      <c r="N867" s="7"/>
      <c r="O867" s="7"/>
    </row>
    <row r="868">
      <c r="I868" s="7"/>
      <c r="J868" s="7"/>
      <c r="K868" s="7"/>
      <c r="L868" s="7"/>
      <c r="M868" s="7"/>
      <c r="N868" s="7"/>
      <c r="O868" s="7"/>
    </row>
    <row r="869">
      <c r="I869" s="7"/>
      <c r="J869" s="7"/>
      <c r="K869" s="7"/>
      <c r="L869" s="7"/>
      <c r="M869" s="7"/>
      <c r="N869" s="7"/>
      <c r="O869" s="7"/>
    </row>
    <row r="870">
      <c r="I870" s="7"/>
      <c r="J870" s="7"/>
      <c r="K870" s="7"/>
      <c r="L870" s="7"/>
      <c r="M870" s="7"/>
      <c r="N870" s="7"/>
      <c r="O870" s="7"/>
    </row>
    <row r="871">
      <c r="I871" s="7"/>
      <c r="J871" s="7"/>
      <c r="K871" s="7"/>
      <c r="L871" s="7"/>
      <c r="M871" s="7"/>
      <c r="N871" s="7"/>
      <c r="O871" s="7"/>
    </row>
    <row r="872">
      <c r="I872" s="7"/>
      <c r="J872" s="7"/>
      <c r="K872" s="7"/>
      <c r="L872" s="7"/>
      <c r="M872" s="7"/>
      <c r="N872" s="7"/>
      <c r="O872" s="7"/>
    </row>
    <row r="873">
      <c r="I873" s="7"/>
      <c r="J873" s="7"/>
      <c r="K873" s="7"/>
      <c r="L873" s="7"/>
      <c r="M873" s="7"/>
      <c r="N873" s="7"/>
      <c r="O873" s="7"/>
    </row>
    <row r="874">
      <c r="I874" s="7"/>
      <c r="J874" s="7"/>
      <c r="K874" s="7"/>
      <c r="L874" s="7"/>
      <c r="M874" s="7"/>
      <c r="N874" s="7"/>
      <c r="O874" s="7"/>
    </row>
    <row r="875">
      <c r="I875" s="7"/>
      <c r="J875" s="7"/>
      <c r="K875" s="7"/>
      <c r="L875" s="7"/>
      <c r="M875" s="7"/>
      <c r="N875" s="7"/>
      <c r="O875" s="7"/>
    </row>
    <row r="876">
      <c r="I876" s="7"/>
      <c r="J876" s="7"/>
      <c r="K876" s="7"/>
      <c r="L876" s="7"/>
      <c r="M876" s="7"/>
      <c r="N876" s="7"/>
      <c r="O876" s="7"/>
    </row>
    <row r="877">
      <c r="I877" s="7"/>
      <c r="J877" s="7"/>
      <c r="K877" s="7"/>
      <c r="L877" s="7"/>
      <c r="M877" s="7"/>
      <c r="N877" s="7"/>
      <c r="O877" s="7"/>
    </row>
    <row r="878">
      <c r="I878" s="7"/>
      <c r="J878" s="7"/>
      <c r="K878" s="7"/>
      <c r="L878" s="7"/>
      <c r="M878" s="7"/>
      <c r="N878" s="7"/>
      <c r="O878" s="7"/>
    </row>
    <row r="879">
      <c r="I879" s="7"/>
      <c r="J879" s="7"/>
      <c r="K879" s="7"/>
      <c r="L879" s="7"/>
      <c r="M879" s="7"/>
      <c r="N879" s="7"/>
      <c r="O879" s="7"/>
    </row>
    <row r="880">
      <c r="I880" s="7"/>
      <c r="J880" s="7"/>
      <c r="K880" s="7"/>
      <c r="L880" s="7"/>
      <c r="M880" s="7"/>
      <c r="N880" s="7"/>
      <c r="O880" s="7"/>
    </row>
    <row r="881">
      <c r="I881" s="7"/>
      <c r="J881" s="7"/>
      <c r="K881" s="7"/>
      <c r="L881" s="7"/>
      <c r="M881" s="7"/>
      <c r="N881" s="7"/>
      <c r="O881" s="7"/>
    </row>
    <row r="882">
      <c r="I882" s="7"/>
      <c r="J882" s="7"/>
      <c r="K882" s="7"/>
      <c r="L882" s="7"/>
      <c r="M882" s="7"/>
      <c r="N882" s="7"/>
      <c r="O882" s="7"/>
    </row>
    <row r="883">
      <c r="I883" s="7"/>
      <c r="J883" s="7"/>
      <c r="K883" s="7"/>
      <c r="L883" s="7"/>
      <c r="M883" s="7"/>
      <c r="N883" s="7"/>
      <c r="O883" s="7"/>
    </row>
    <row r="884">
      <c r="I884" s="7"/>
      <c r="J884" s="7"/>
      <c r="K884" s="7"/>
      <c r="L884" s="7"/>
      <c r="M884" s="7"/>
      <c r="N884" s="7"/>
      <c r="O884" s="7"/>
    </row>
    <row r="885">
      <c r="I885" s="7"/>
      <c r="J885" s="7"/>
      <c r="K885" s="7"/>
      <c r="L885" s="7"/>
      <c r="M885" s="7"/>
      <c r="N885" s="7"/>
      <c r="O885" s="7"/>
    </row>
    <row r="886">
      <c r="I886" s="7"/>
      <c r="J886" s="7"/>
      <c r="K886" s="7"/>
      <c r="L886" s="7"/>
      <c r="M886" s="7"/>
      <c r="N886" s="7"/>
      <c r="O886" s="7"/>
    </row>
    <row r="887">
      <c r="I887" s="7"/>
      <c r="J887" s="7"/>
      <c r="K887" s="7"/>
      <c r="L887" s="7"/>
      <c r="M887" s="7"/>
      <c r="N887" s="7"/>
      <c r="O887" s="7"/>
    </row>
    <row r="888">
      <c r="I888" s="7"/>
      <c r="J888" s="7"/>
      <c r="K888" s="7"/>
      <c r="L888" s="7"/>
      <c r="M888" s="7"/>
      <c r="N888" s="7"/>
      <c r="O888" s="7"/>
    </row>
    <row r="889">
      <c r="I889" s="7"/>
      <c r="J889" s="7"/>
      <c r="K889" s="7"/>
      <c r="L889" s="7"/>
      <c r="M889" s="7"/>
      <c r="N889" s="7"/>
      <c r="O889" s="7"/>
    </row>
    <row r="890">
      <c r="I890" s="7"/>
      <c r="J890" s="7"/>
      <c r="K890" s="7"/>
      <c r="L890" s="7"/>
      <c r="M890" s="7"/>
      <c r="N890" s="7"/>
      <c r="O890" s="7"/>
    </row>
    <row r="891">
      <c r="I891" s="7"/>
      <c r="J891" s="7"/>
      <c r="K891" s="7"/>
      <c r="L891" s="7"/>
      <c r="M891" s="7"/>
      <c r="N891" s="7"/>
      <c r="O891" s="7"/>
    </row>
    <row r="892">
      <c r="I892" s="7"/>
      <c r="J892" s="7"/>
      <c r="K892" s="7"/>
      <c r="L892" s="7"/>
      <c r="M892" s="7"/>
      <c r="N892" s="7"/>
      <c r="O892" s="7"/>
    </row>
    <row r="893">
      <c r="I893" s="7"/>
      <c r="J893" s="7"/>
      <c r="K893" s="7"/>
      <c r="L893" s="7"/>
      <c r="M893" s="7"/>
      <c r="N893" s="7"/>
      <c r="O893" s="7"/>
    </row>
    <row r="894">
      <c r="I894" s="7"/>
      <c r="J894" s="7"/>
      <c r="K894" s="7"/>
      <c r="L894" s="7"/>
      <c r="M894" s="7"/>
      <c r="N894" s="7"/>
      <c r="O894" s="7"/>
    </row>
    <row r="895">
      <c r="I895" s="7"/>
      <c r="J895" s="7"/>
      <c r="K895" s="7"/>
      <c r="L895" s="7"/>
      <c r="M895" s="7"/>
      <c r="N895" s="7"/>
      <c r="O895" s="7"/>
    </row>
    <row r="896">
      <c r="I896" s="7"/>
      <c r="J896" s="7"/>
      <c r="K896" s="7"/>
      <c r="L896" s="7"/>
      <c r="M896" s="7"/>
      <c r="N896" s="7"/>
      <c r="O896" s="7"/>
    </row>
    <row r="897">
      <c r="I897" s="7"/>
      <c r="J897" s="7"/>
      <c r="K897" s="7"/>
      <c r="L897" s="7"/>
      <c r="M897" s="7"/>
      <c r="N897" s="7"/>
      <c r="O897" s="7"/>
    </row>
    <row r="898">
      <c r="I898" s="7"/>
      <c r="J898" s="7"/>
      <c r="K898" s="7"/>
      <c r="L898" s="7"/>
      <c r="M898" s="7"/>
      <c r="N898" s="7"/>
      <c r="O898" s="7"/>
    </row>
    <row r="899">
      <c r="I899" s="7"/>
      <c r="J899" s="7"/>
      <c r="K899" s="7"/>
      <c r="L899" s="7"/>
      <c r="M899" s="7"/>
      <c r="N899" s="7"/>
      <c r="O899" s="7"/>
    </row>
    <row r="900">
      <c r="I900" s="7"/>
      <c r="J900" s="7"/>
      <c r="K900" s="7"/>
      <c r="L900" s="7"/>
      <c r="M900" s="7"/>
      <c r="N900" s="7"/>
      <c r="O900" s="7"/>
    </row>
    <row r="901">
      <c r="I901" s="7"/>
      <c r="J901" s="7"/>
      <c r="K901" s="7"/>
      <c r="L901" s="7"/>
      <c r="M901" s="7"/>
      <c r="N901" s="7"/>
      <c r="O901" s="7"/>
    </row>
    <row r="902">
      <c r="I902" s="7"/>
      <c r="J902" s="7"/>
      <c r="K902" s="7"/>
      <c r="L902" s="7"/>
      <c r="M902" s="7"/>
      <c r="N902" s="7"/>
      <c r="O902" s="7"/>
    </row>
    <row r="903">
      <c r="I903" s="7"/>
      <c r="J903" s="7"/>
      <c r="K903" s="7"/>
      <c r="L903" s="7"/>
      <c r="M903" s="7"/>
      <c r="N903" s="7"/>
      <c r="O903" s="7"/>
    </row>
    <row r="904">
      <c r="I904" s="7"/>
      <c r="J904" s="7"/>
      <c r="K904" s="7"/>
      <c r="L904" s="7"/>
      <c r="M904" s="7"/>
      <c r="N904" s="7"/>
      <c r="O904" s="7"/>
    </row>
    <row r="905">
      <c r="I905" s="7"/>
      <c r="J905" s="7"/>
      <c r="K905" s="7"/>
      <c r="L905" s="7"/>
      <c r="M905" s="7"/>
      <c r="N905" s="7"/>
      <c r="O905" s="7"/>
    </row>
    <row r="906">
      <c r="I906" s="7"/>
      <c r="J906" s="7"/>
      <c r="K906" s="7"/>
      <c r="L906" s="7"/>
      <c r="M906" s="7"/>
      <c r="N906" s="7"/>
      <c r="O906" s="7"/>
    </row>
    <row r="907">
      <c r="I907" s="7"/>
      <c r="J907" s="7"/>
      <c r="K907" s="7"/>
      <c r="L907" s="7"/>
      <c r="M907" s="7"/>
      <c r="N907" s="7"/>
      <c r="O907" s="7"/>
    </row>
    <row r="908">
      <c r="I908" s="7"/>
      <c r="J908" s="7"/>
      <c r="K908" s="7"/>
      <c r="L908" s="7"/>
      <c r="M908" s="7"/>
      <c r="N908" s="7"/>
      <c r="O908" s="7"/>
    </row>
    <row r="909">
      <c r="I909" s="7"/>
      <c r="J909" s="7"/>
      <c r="K909" s="7"/>
      <c r="L909" s="7"/>
      <c r="M909" s="7"/>
      <c r="N909" s="7"/>
      <c r="O909" s="7"/>
    </row>
    <row r="910">
      <c r="I910" s="7"/>
      <c r="J910" s="7"/>
      <c r="K910" s="7"/>
      <c r="L910" s="7"/>
      <c r="M910" s="7"/>
      <c r="N910" s="7"/>
      <c r="O910" s="7"/>
    </row>
    <row r="911">
      <c r="I911" s="7"/>
      <c r="J911" s="7"/>
      <c r="K911" s="7"/>
      <c r="L911" s="7"/>
      <c r="M911" s="7"/>
      <c r="N911" s="7"/>
      <c r="O911" s="7"/>
    </row>
    <row r="912">
      <c r="I912" s="7"/>
      <c r="J912" s="7"/>
      <c r="K912" s="7"/>
      <c r="L912" s="7"/>
      <c r="M912" s="7"/>
      <c r="N912" s="7"/>
      <c r="O912" s="7"/>
    </row>
    <row r="913">
      <c r="I913" s="7"/>
      <c r="J913" s="7"/>
      <c r="K913" s="7"/>
      <c r="L913" s="7"/>
      <c r="M913" s="7"/>
      <c r="N913" s="7"/>
      <c r="O913" s="7"/>
    </row>
    <row r="914">
      <c r="I914" s="7"/>
      <c r="J914" s="7"/>
      <c r="K914" s="7"/>
      <c r="L914" s="7"/>
      <c r="M914" s="7"/>
      <c r="N914" s="7"/>
      <c r="O914" s="7"/>
    </row>
    <row r="915">
      <c r="I915" s="7"/>
      <c r="J915" s="7"/>
      <c r="K915" s="7"/>
      <c r="L915" s="7"/>
      <c r="M915" s="7"/>
      <c r="N915" s="7"/>
      <c r="O915" s="7"/>
    </row>
    <row r="916">
      <c r="I916" s="7"/>
      <c r="J916" s="7"/>
      <c r="K916" s="7"/>
      <c r="L916" s="7"/>
      <c r="M916" s="7"/>
      <c r="N916" s="7"/>
      <c r="O916" s="7"/>
    </row>
    <row r="917">
      <c r="I917" s="7"/>
      <c r="J917" s="7"/>
      <c r="K917" s="7"/>
      <c r="L917" s="7"/>
      <c r="M917" s="7"/>
      <c r="N917" s="7"/>
      <c r="O917" s="7"/>
    </row>
    <row r="918">
      <c r="I918" s="7"/>
      <c r="J918" s="7"/>
      <c r="K918" s="7"/>
      <c r="L918" s="7"/>
      <c r="M918" s="7"/>
      <c r="N918" s="7"/>
      <c r="O918" s="7"/>
    </row>
    <row r="919">
      <c r="I919" s="7"/>
      <c r="J919" s="7"/>
      <c r="K919" s="7"/>
      <c r="L919" s="7"/>
      <c r="M919" s="7"/>
      <c r="N919" s="7"/>
      <c r="O919" s="7"/>
    </row>
    <row r="920">
      <c r="I920" s="7"/>
      <c r="J920" s="7"/>
      <c r="K920" s="7"/>
      <c r="L920" s="7"/>
      <c r="M920" s="7"/>
      <c r="N920" s="7"/>
      <c r="O920" s="7"/>
    </row>
    <row r="921">
      <c r="I921" s="7"/>
      <c r="J921" s="7"/>
      <c r="K921" s="7"/>
      <c r="L921" s="7"/>
      <c r="M921" s="7"/>
      <c r="N921" s="7"/>
      <c r="O921" s="7"/>
    </row>
    <row r="922">
      <c r="I922" s="7"/>
      <c r="J922" s="7"/>
      <c r="K922" s="7"/>
      <c r="L922" s="7"/>
      <c r="M922" s="7"/>
      <c r="N922" s="7"/>
      <c r="O922" s="7"/>
    </row>
    <row r="923">
      <c r="I923" s="7"/>
      <c r="J923" s="7"/>
      <c r="K923" s="7"/>
      <c r="L923" s="7"/>
      <c r="M923" s="7"/>
      <c r="N923" s="7"/>
      <c r="O923" s="7"/>
    </row>
    <row r="924">
      <c r="I924" s="7"/>
      <c r="J924" s="7"/>
      <c r="K924" s="7"/>
      <c r="L924" s="7"/>
      <c r="M924" s="7"/>
      <c r="N924" s="7"/>
      <c r="O924" s="7"/>
    </row>
    <row r="925">
      <c r="I925" s="7"/>
      <c r="J925" s="7"/>
      <c r="K925" s="7"/>
      <c r="L925" s="7"/>
      <c r="M925" s="7"/>
      <c r="N925" s="7"/>
      <c r="O925" s="7"/>
    </row>
    <row r="926">
      <c r="I926" s="7"/>
      <c r="J926" s="7"/>
      <c r="K926" s="7"/>
      <c r="L926" s="7"/>
      <c r="M926" s="7"/>
      <c r="N926" s="7"/>
      <c r="O926" s="7"/>
    </row>
    <row r="927">
      <c r="I927" s="7"/>
      <c r="J927" s="7"/>
      <c r="K927" s="7"/>
      <c r="L927" s="7"/>
      <c r="M927" s="7"/>
      <c r="N927" s="7"/>
      <c r="O927" s="7"/>
    </row>
    <row r="928">
      <c r="I928" s="7"/>
      <c r="J928" s="7"/>
      <c r="K928" s="7"/>
      <c r="L928" s="7"/>
      <c r="M928" s="7"/>
      <c r="N928" s="7"/>
      <c r="O928" s="7"/>
    </row>
    <row r="929">
      <c r="I929" s="7"/>
      <c r="J929" s="7"/>
      <c r="K929" s="7"/>
      <c r="L929" s="7"/>
      <c r="M929" s="7"/>
      <c r="N929" s="7"/>
      <c r="O929" s="7"/>
    </row>
    <row r="930">
      <c r="I930" s="7"/>
      <c r="J930" s="7"/>
      <c r="K930" s="7"/>
      <c r="L930" s="7"/>
      <c r="M930" s="7"/>
      <c r="N930" s="7"/>
      <c r="O930" s="7"/>
    </row>
    <row r="931">
      <c r="I931" s="7"/>
      <c r="J931" s="7"/>
      <c r="K931" s="7"/>
      <c r="L931" s="7"/>
      <c r="M931" s="7"/>
      <c r="N931" s="7"/>
      <c r="O931" s="7"/>
    </row>
    <row r="932">
      <c r="I932" s="7"/>
      <c r="J932" s="7"/>
      <c r="K932" s="7"/>
      <c r="L932" s="7"/>
      <c r="M932" s="7"/>
      <c r="N932" s="7"/>
      <c r="O932" s="7"/>
    </row>
    <row r="933">
      <c r="I933" s="7"/>
      <c r="J933" s="7"/>
      <c r="K933" s="7"/>
      <c r="L933" s="7"/>
      <c r="M933" s="7"/>
      <c r="N933" s="7"/>
      <c r="O933" s="7"/>
    </row>
    <row r="934">
      <c r="I934" s="7"/>
      <c r="J934" s="7"/>
      <c r="K934" s="7"/>
      <c r="L934" s="7"/>
      <c r="M934" s="7"/>
      <c r="N934" s="7"/>
      <c r="O934" s="7"/>
    </row>
    <row r="935">
      <c r="I935" s="7"/>
      <c r="J935" s="7"/>
      <c r="K935" s="7"/>
      <c r="L935" s="7"/>
      <c r="M935" s="7"/>
      <c r="N935" s="7"/>
      <c r="O935" s="7"/>
    </row>
    <row r="936">
      <c r="I936" s="7"/>
      <c r="J936" s="7"/>
      <c r="K936" s="7"/>
      <c r="L936" s="7"/>
      <c r="M936" s="7"/>
      <c r="N936" s="7"/>
      <c r="O936" s="7"/>
    </row>
    <row r="937">
      <c r="I937" s="7"/>
      <c r="J937" s="7"/>
      <c r="K937" s="7"/>
      <c r="L937" s="7"/>
      <c r="M937" s="7"/>
      <c r="N937" s="7"/>
      <c r="O937" s="7"/>
    </row>
    <row r="938">
      <c r="I938" s="7"/>
      <c r="J938" s="7"/>
      <c r="K938" s="7"/>
      <c r="L938" s="7"/>
      <c r="M938" s="7"/>
      <c r="N938" s="7"/>
      <c r="O938" s="7"/>
    </row>
    <row r="939">
      <c r="I939" s="7"/>
      <c r="J939" s="7"/>
      <c r="K939" s="7"/>
      <c r="L939" s="7"/>
      <c r="M939" s="7"/>
      <c r="N939" s="7"/>
      <c r="O939" s="7"/>
    </row>
    <row r="940">
      <c r="I940" s="7"/>
      <c r="J940" s="7"/>
      <c r="K940" s="7"/>
      <c r="L940" s="7"/>
      <c r="M940" s="7"/>
      <c r="N940" s="7"/>
      <c r="O940" s="7"/>
    </row>
    <row r="941">
      <c r="I941" s="7"/>
      <c r="J941" s="7"/>
      <c r="K941" s="7"/>
      <c r="L941" s="7"/>
      <c r="M941" s="7"/>
      <c r="N941" s="7"/>
      <c r="O941" s="7"/>
    </row>
    <row r="942">
      <c r="I942" s="7"/>
      <c r="J942" s="7"/>
      <c r="K942" s="7"/>
      <c r="L942" s="7"/>
      <c r="M942" s="7"/>
      <c r="N942" s="7"/>
      <c r="O942" s="7"/>
    </row>
    <row r="943">
      <c r="I943" s="7"/>
      <c r="J943" s="7"/>
      <c r="K943" s="7"/>
      <c r="L943" s="7"/>
      <c r="M943" s="7"/>
      <c r="N943" s="7"/>
      <c r="O943" s="7"/>
    </row>
    <row r="944">
      <c r="I944" s="7"/>
      <c r="J944" s="7"/>
      <c r="K944" s="7"/>
      <c r="L944" s="7"/>
      <c r="M944" s="7"/>
      <c r="N944" s="7"/>
      <c r="O944" s="7"/>
    </row>
    <row r="945">
      <c r="I945" s="7"/>
      <c r="J945" s="7"/>
      <c r="K945" s="7"/>
      <c r="L945" s="7"/>
      <c r="M945" s="7"/>
      <c r="N945" s="7"/>
      <c r="O945" s="7"/>
    </row>
    <row r="946">
      <c r="I946" s="7"/>
      <c r="J946" s="7"/>
      <c r="K946" s="7"/>
      <c r="L946" s="7"/>
      <c r="M946" s="7"/>
      <c r="N946" s="7"/>
      <c r="O946" s="7"/>
    </row>
    <row r="947">
      <c r="I947" s="7"/>
      <c r="J947" s="7"/>
      <c r="K947" s="7"/>
      <c r="L947" s="7"/>
      <c r="M947" s="7"/>
      <c r="N947" s="7"/>
      <c r="O947" s="7"/>
    </row>
    <row r="948">
      <c r="I948" s="7"/>
      <c r="J948" s="7"/>
      <c r="K948" s="7"/>
      <c r="L948" s="7"/>
      <c r="M948" s="7"/>
      <c r="N948" s="7"/>
      <c r="O948" s="7"/>
    </row>
    <row r="949">
      <c r="I949" s="7"/>
      <c r="J949" s="7"/>
      <c r="K949" s="7"/>
      <c r="L949" s="7"/>
      <c r="M949" s="7"/>
      <c r="N949" s="7"/>
      <c r="O949" s="7"/>
    </row>
    <row r="950">
      <c r="I950" s="7"/>
      <c r="J950" s="7"/>
      <c r="K950" s="7"/>
      <c r="L950" s="7"/>
      <c r="M950" s="7"/>
      <c r="N950" s="7"/>
      <c r="O950" s="7"/>
    </row>
    <row r="951">
      <c r="I951" s="7"/>
      <c r="J951" s="7"/>
      <c r="K951" s="7"/>
      <c r="L951" s="7"/>
      <c r="M951" s="7"/>
      <c r="N951" s="7"/>
      <c r="O951" s="7"/>
    </row>
    <row r="952">
      <c r="I952" s="7"/>
      <c r="J952" s="7"/>
      <c r="K952" s="7"/>
      <c r="L952" s="7"/>
      <c r="M952" s="7"/>
      <c r="N952" s="7"/>
      <c r="O952" s="7"/>
    </row>
    <row r="953">
      <c r="I953" s="7"/>
      <c r="J953" s="7"/>
      <c r="K953" s="7"/>
      <c r="L953" s="7"/>
      <c r="M953" s="7"/>
      <c r="N953" s="7"/>
      <c r="O953" s="7"/>
    </row>
    <row r="954">
      <c r="I954" s="7"/>
      <c r="J954" s="7"/>
      <c r="K954" s="7"/>
      <c r="L954" s="7"/>
      <c r="M954" s="7"/>
      <c r="N954" s="7"/>
      <c r="O954" s="7"/>
    </row>
    <row r="955">
      <c r="I955" s="7"/>
      <c r="J955" s="7"/>
      <c r="K955" s="7"/>
      <c r="L955" s="7"/>
      <c r="M955" s="7"/>
      <c r="N955" s="7"/>
      <c r="O955" s="7"/>
    </row>
    <row r="956">
      <c r="I956" s="7"/>
      <c r="J956" s="7"/>
      <c r="K956" s="7"/>
      <c r="L956" s="7"/>
      <c r="M956" s="7"/>
      <c r="N956" s="7"/>
      <c r="O956" s="7"/>
    </row>
    <row r="957">
      <c r="I957" s="7"/>
      <c r="J957" s="7"/>
      <c r="K957" s="7"/>
      <c r="L957" s="7"/>
      <c r="M957" s="7"/>
      <c r="N957" s="7"/>
      <c r="O957" s="7"/>
    </row>
    <row r="958">
      <c r="I958" s="7"/>
      <c r="J958" s="7"/>
      <c r="K958" s="7"/>
      <c r="L958" s="7"/>
      <c r="M958" s="7"/>
      <c r="N958" s="7"/>
      <c r="O958" s="7"/>
    </row>
    <row r="959">
      <c r="I959" s="7"/>
      <c r="J959" s="7"/>
      <c r="K959" s="7"/>
      <c r="L959" s="7"/>
      <c r="M959" s="7"/>
      <c r="N959" s="7"/>
      <c r="O959" s="7"/>
    </row>
    <row r="960">
      <c r="I960" s="7"/>
      <c r="J960" s="7"/>
      <c r="K960" s="7"/>
      <c r="L960" s="7"/>
      <c r="M960" s="7"/>
      <c r="N960" s="7"/>
      <c r="O960" s="7"/>
    </row>
    <row r="961">
      <c r="I961" s="7"/>
      <c r="J961" s="7"/>
      <c r="K961" s="7"/>
      <c r="L961" s="7"/>
      <c r="M961" s="7"/>
      <c r="N961" s="7"/>
      <c r="O961" s="7"/>
    </row>
    <row r="962">
      <c r="I962" s="7"/>
      <c r="J962" s="7"/>
      <c r="K962" s="7"/>
      <c r="L962" s="7"/>
      <c r="M962" s="7"/>
      <c r="N962" s="7"/>
      <c r="O962" s="7"/>
    </row>
    <row r="963">
      <c r="I963" s="7"/>
      <c r="J963" s="7"/>
      <c r="K963" s="7"/>
      <c r="L963" s="7"/>
      <c r="M963" s="7"/>
      <c r="N963" s="7"/>
      <c r="O963" s="7"/>
    </row>
    <row r="964">
      <c r="I964" s="7"/>
      <c r="J964" s="7"/>
      <c r="K964" s="7"/>
      <c r="L964" s="7"/>
      <c r="M964" s="7"/>
      <c r="N964" s="7"/>
      <c r="O964" s="7"/>
    </row>
    <row r="965">
      <c r="I965" s="7"/>
      <c r="J965" s="7"/>
      <c r="K965" s="7"/>
      <c r="L965" s="7"/>
      <c r="M965" s="7"/>
      <c r="N965" s="7"/>
      <c r="O965" s="7"/>
    </row>
    <row r="966">
      <c r="I966" s="7"/>
      <c r="J966" s="7"/>
      <c r="K966" s="7"/>
      <c r="L966" s="7"/>
      <c r="M966" s="7"/>
      <c r="N966" s="7"/>
      <c r="O966" s="7"/>
    </row>
    <row r="967">
      <c r="I967" s="7"/>
      <c r="J967" s="7"/>
      <c r="K967" s="7"/>
      <c r="L967" s="7"/>
      <c r="M967" s="7"/>
      <c r="N967" s="7"/>
      <c r="O967" s="7"/>
    </row>
    <row r="968">
      <c r="I968" s="7"/>
      <c r="J968" s="7"/>
      <c r="K968" s="7"/>
      <c r="L968" s="7"/>
      <c r="M968" s="7"/>
      <c r="N968" s="7"/>
      <c r="O968" s="7"/>
    </row>
    <row r="969">
      <c r="I969" s="7"/>
      <c r="J969" s="7"/>
      <c r="K969" s="7"/>
      <c r="L969" s="7"/>
      <c r="M969" s="7"/>
      <c r="N969" s="7"/>
      <c r="O969" s="7"/>
    </row>
    <row r="970">
      <c r="I970" s="7"/>
      <c r="J970" s="7"/>
      <c r="K970" s="7"/>
      <c r="L970" s="7"/>
      <c r="M970" s="7"/>
      <c r="N970" s="7"/>
      <c r="O970" s="7"/>
    </row>
    <row r="971">
      <c r="I971" s="7"/>
      <c r="J971" s="7"/>
      <c r="K971" s="7"/>
      <c r="L971" s="7"/>
      <c r="M971" s="7"/>
      <c r="N971" s="7"/>
      <c r="O971" s="7"/>
    </row>
    <row r="972">
      <c r="I972" s="7"/>
      <c r="J972" s="7"/>
      <c r="K972" s="7"/>
      <c r="L972" s="7"/>
      <c r="M972" s="7"/>
      <c r="N972" s="7"/>
      <c r="O972" s="7"/>
    </row>
    <row r="973">
      <c r="I973" s="7"/>
      <c r="J973" s="7"/>
      <c r="K973" s="7"/>
      <c r="L973" s="7"/>
      <c r="M973" s="7"/>
      <c r="N973" s="7"/>
      <c r="O973" s="7"/>
    </row>
    <row r="974">
      <c r="I974" s="7"/>
      <c r="J974" s="7"/>
      <c r="K974" s="7"/>
      <c r="L974" s="7"/>
      <c r="M974" s="7"/>
      <c r="N974" s="7"/>
      <c r="O974" s="7"/>
    </row>
    <row r="975">
      <c r="I975" s="7"/>
      <c r="J975" s="7"/>
      <c r="K975" s="7"/>
      <c r="L975" s="7"/>
      <c r="M975" s="7"/>
      <c r="N975" s="7"/>
      <c r="O975" s="7"/>
    </row>
    <row r="976">
      <c r="I976" s="7"/>
      <c r="J976" s="7"/>
      <c r="K976" s="7"/>
      <c r="L976" s="7"/>
      <c r="M976" s="7"/>
      <c r="N976" s="7"/>
      <c r="O976" s="7"/>
    </row>
    <row r="977">
      <c r="I977" s="7"/>
      <c r="J977" s="7"/>
      <c r="K977" s="7"/>
      <c r="L977" s="7"/>
      <c r="M977" s="7"/>
      <c r="N977" s="7"/>
      <c r="O977" s="7"/>
    </row>
    <row r="978">
      <c r="I978" s="7"/>
      <c r="J978" s="7"/>
      <c r="K978" s="7"/>
      <c r="L978" s="7"/>
      <c r="M978" s="7"/>
      <c r="N978" s="7"/>
      <c r="O978" s="7"/>
    </row>
    <row r="979">
      <c r="I979" s="7"/>
      <c r="J979" s="7"/>
      <c r="K979" s="7"/>
      <c r="L979" s="7"/>
      <c r="M979" s="7"/>
      <c r="N979" s="7"/>
      <c r="O979" s="7"/>
    </row>
    <row r="980">
      <c r="I980" s="7"/>
      <c r="J980" s="7"/>
      <c r="K980" s="7"/>
      <c r="L980" s="7"/>
      <c r="M980" s="7"/>
      <c r="N980" s="7"/>
      <c r="O980" s="7"/>
    </row>
    <row r="981">
      <c r="I981" s="7"/>
      <c r="J981" s="7"/>
      <c r="K981" s="7"/>
      <c r="L981" s="7"/>
      <c r="M981" s="7"/>
      <c r="N981" s="7"/>
      <c r="O981" s="7"/>
    </row>
    <row r="982">
      <c r="I982" s="7"/>
      <c r="J982" s="7"/>
      <c r="K982" s="7"/>
      <c r="L982" s="7"/>
      <c r="M982" s="7"/>
      <c r="N982" s="7"/>
      <c r="O982" s="7"/>
    </row>
    <row r="983">
      <c r="I983" s="7"/>
      <c r="J983" s="7"/>
      <c r="K983" s="7"/>
      <c r="L983" s="7"/>
      <c r="M983" s="7"/>
      <c r="N983" s="7"/>
      <c r="O983" s="7"/>
    </row>
    <row r="984">
      <c r="I984" s="7"/>
      <c r="J984" s="7"/>
      <c r="K984" s="7"/>
      <c r="L984" s="7"/>
      <c r="M984" s="7"/>
      <c r="N984" s="7"/>
      <c r="O984" s="7"/>
    </row>
    <row r="985">
      <c r="I985" s="7"/>
      <c r="J985" s="7"/>
      <c r="K985" s="7"/>
      <c r="L985" s="7"/>
      <c r="M985" s="7"/>
      <c r="N985" s="7"/>
      <c r="O985" s="7"/>
    </row>
    <row r="986">
      <c r="I986" s="7"/>
      <c r="J986" s="7"/>
      <c r="K986" s="7"/>
      <c r="L986" s="7"/>
      <c r="M986" s="7"/>
      <c r="N986" s="7"/>
      <c r="O986" s="7"/>
    </row>
    <row r="987">
      <c r="I987" s="7"/>
      <c r="J987" s="7"/>
      <c r="K987" s="7"/>
      <c r="L987" s="7"/>
      <c r="M987" s="7"/>
      <c r="N987" s="7"/>
      <c r="O987" s="7"/>
    </row>
    <row r="988">
      <c r="I988" s="7"/>
      <c r="J988" s="7"/>
      <c r="K988" s="7"/>
      <c r="L988" s="7"/>
      <c r="M988" s="7"/>
      <c r="N988" s="7"/>
      <c r="O988" s="7"/>
    </row>
    <row r="989">
      <c r="I989" s="7"/>
      <c r="J989" s="7"/>
      <c r="K989" s="7"/>
      <c r="L989" s="7"/>
      <c r="M989" s="7"/>
      <c r="N989" s="7"/>
      <c r="O989" s="7"/>
    </row>
    <row r="990">
      <c r="I990" s="7"/>
      <c r="J990" s="7"/>
      <c r="K990" s="7"/>
      <c r="L990" s="7"/>
      <c r="M990" s="7"/>
      <c r="N990" s="7"/>
      <c r="O990" s="7"/>
    </row>
    <row r="991">
      <c r="I991" s="7"/>
      <c r="J991" s="7"/>
      <c r="K991" s="7"/>
      <c r="L991" s="7"/>
      <c r="M991" s="7"/>
      <c r="N991" s="7"/>
      <c r="O991" s="7"/>
    </row>
    <row r="992">
      <c r="I992" s="7"/>
      <c r="J992" s="7"/>
      <c r="K992" s="7"/>
      <c r="L992" s="7"/>
      <c r="M992" s="7"/>
      <c r="N992" s="7"/>
      <c r="O992" s="7"/>
    </row>
    <row r="993">
      <c r="I993" s="7"/>
      <c r="J993" s="7"/>
      <c r="K993" s="7"/>
      <c r="L993" s="7"/>
      <c r="M993" s="7"/>
      <c r="N993" s="7"/>
      <c r="O993" s="7"/>
    </row>
    <row r="994">
      <c r="I994" s="7"/>
      <c r="J994" s="7"/>
      <c r="K994" s="7"/>
      <c r="L994" s="7"/>
      <c r="M994" s="7"/>
      <c r="N994" s="7"/>
      <c r="O994" s="7"/>
    </row>
    <row r="995">
      <c r="I995" s="7"/>
      <c r="J995" s="7"/>
      <c r="K995" s="7"/>
      <c r="L995" s="7"/>
      <c r="M995" s="7"/>
      <c r="N995" s="7"/>
      <c r="O995" s="7"/>
    </row>
    <row r="996">
      <c r="I996" s="7"/>
      <c r="J996" s="7"/>
      <c r="K996" s="7"/>
      <c r="L996" s="7"/>
      <c r="M996" s="7"/>
      <c r="N996" s="7"/>
      <c r="O996" s="7"/>
    </row>
    <row r="997">
      <c r="I997" s="7"/>
      <c r="J997" s="7"/>
      <c r="K997" s="7"/>
      <c r="L997" s="7"/>
      <c r="M997" s="7"/>
      <c r="N997" s="7"/>
      <c r="O997" s="7"/>
    </row>
    <row r="998">
      <c r="I998" s="7"/>
      <c r="J998" s="7"/>
      <c r="K998" s="7"/>
      <c r="L998" s="7"/>
      <c r="M998" s="7"/>
      <c r="N998" s="7"/>
      <c r="O998" s="7"/>
    </row>
    <row r="999">
      <c r="I999" s="7"/>
      <c r="J999" s="7"/>
      <c r="K999" s="7"/>
      <c r="L999" s="7"/>
      <c r="M999" s="7"/>
      <c r="N999" s="7"/>
      <c r="O999" s="7"/>
    </row>
    <row r="1000">
      <c r="I1000" s="7"/>
      <c r="J1000" s="7"/>
      <c r="K1000" s="7"/>
      <c r="L1000" s="7"/>
      <c r="M1000" s="7"/>
      <c r="N1000" s="7"/>
      <c r="O1000" s="7"/>
    </row>
    <row r="1001">
      <c r="I1001" s="7"/>
      <c r="J1001" s="7"/>
      <c r="K1001" s="7"/>
      <c r="L1001" s="7"/>
      <c r="M1001" s="7"/>
      <c r="N1001" s="7"/>
      <c r="O1001" s="7"/>
    </row>
    <row r="1002">
      <c r="I1002" s="7"/>
      <c r="J1002" s="7"/>
      <c r="K1002" s="7"/>
      <c r="L1002" s="7"/>
      <c r="M1002" s="7"/>
      <c r="N1002" s="7"/>
      <c r="O1002" s="7"/>
    </row>
    <row r="1003">
      <c r="I1003" s="7"/>
      <c r="J1003" s="7"/>
      <c r="K1003" s="7"/>
      <c r="L1003" s="7"/>
      <c r="M1003" s="7"/>
      <c r="N1003" s="7"/>
      <c r="O1003" s="7"/>
    </row>
    <row r="1004">
      <c r="I1004" s="7"/>
      <c r="J1004" s="7"/>
      <c r="K1004" s="7"/>
      <c r="L1004" s="7"/>
      <c r="M1004" s="7"/>
      <c r="N1004" s="7"/>
      <c r="O1004" s="7"/>
    </row>
    <row r="1005">
      <c r="I1005" s="7"/>
      <c r="J1005" s="7"/>
      <c r="K1005" s="7"/>
      <c r="L1005" s="7"/>
      <c r="M1005" s="7"/>
      <c r="N1005" s="7"/>
      <c r="O1005" s="7"/>
    </row>
    <row r="1006">
      <c r="I1006" s="7"/>
      <c r="J1006" s="7"/>
      <c r="K1006" s="7"/>
      <c r="L1006" s="7"/>
      <c r="M1006" s="7"/>
      <c r="N1006" s="7"/>
      <c r="O1006" s="7"/>
    </row>
    <row r="1007">
      <c r="I1007" s="7"/>
      <c r="J1007" s="7"/>
      <c r="K1007" s="7"/>
      <c r="L1007" s="7"/>
      <c r="M1007" s="7"/>
      <c r="N1007" s="7"/>
      <c r="O1007" s="7"/>
    </row>
    <row r="1008">
      <c r="I1008" s="7"/>
      <c r="J1008" s="7"/>
      <c r="K1008" s="7"/>
      <c r="L1008" s="7"/>
      <c r="M1008" s="7"/>
      <c r="N1008" s="7"/>
      <c r="O1008" s="7"/>
    </row>
    <row r="1009">
      <c r="I1009" s="7"/>
      <c r="J1009" s="7"/>
      <c r="K1009" s="7"/>
      <c r="L1009" s="7"/>
      <c r="M1009" s="7"/>
      <c r="N1009" s="7"/>
      <c r="O1009" s="7"/>
    </row>
    <row r="1010">
      <c r="I1010" s="7"/>
      <c r="J1010" s="7"/>
      <c r="K1010" s="7"/>
      <c r="L1010" s="7"/>
      <c r="M1010" s="7"/>
      <c r="N1010" s="7"/>
      <c r="O1010" s="7"/>
    </row>
    <row r="1011">
      <c r="I1011" s="7"/>
      <c r="J1011" s="7"/>
      <c r="K1011" s="7"/>
      <c r="L1011" s="7"/>
      <c r="M1011" s="7"/>
      <c r="N1011" s="7"/>
      <c r="O1011" s="7"/>
    </row>
    <row r="1012">
      <c r="I1012" s="7"/>
      <c r="J1012" s="7"/>
      <c r="K1012" s="7"/>
      <c r="L1012" s="7"/>
      <c r="M1012" s="7"/>
      <c r="N1012" s="7"/>
      <c r="O1012" s="7"/>
    </row>
    <row r="1013">
      <c r="I1013" s="7"/>
      <c r="J1013" s="7"/>
      <c r="K1013" s="7"/>
      <c r="L1013" s="7"/>
      <c r="M1013" s="7"/>
      <c r="N1013" s="7"/>
      <c r="O1013" s="7"/>
    </row>
    <row r="1014">
      <c r="I1014" s="7"/>
      <c r="J1014" s="7"/>
      <c r="K1014" s="7"/>
      <c r="L1014" s="7"/>
      <c r="M1014" s="7"/>
      <c r="N1014" s="7"/>
      <c r="O1014" s="7"/>
    </row>
    <row r="1015">
      <c r="I1015" s="7"/>
      <c r="J1015" s="7"/>
      <c r="K1015" s="7"/>
      <c r="L1015" s="7"/>
      <c r="M1015" s="7"/>
      <c r="N1015" s="7"/>
      <c r="O1015" s="7"/>
    </row>
    <row r="1016">
      <c r="I1016" s="7"/>
      <c r="J1016" s="7"/>
      <c r="K1016" s="7"/>
      <c r="L1016" s="7"/>
      <c r="M1016" s="7"/>
      <c r="N1016" s="7"/>
      <c r="O1016" s="7"/>
    </row>
    <row r="1017">
      <c r="I1017" s="7"/>
      <c r="J1017" s="7"/>
      <c r="K1017" s="7"/>
      <c r="L1017" s="7"/>
      <c r="M1017" s="7"/>
      <c r="N1017" s="7"/>
      <c r="O1017" s="7"/>
    </row>
    <row r="1018">
      <c r="I1018" s="7"/>
      <c r="J1018" s="7"/>
      <c r="K1018" s="7"/>
      <c r="L1018" s="7"/>
      <c r="M1018" s="7"/>
      <c r="N1018" s="7"/>
      <c r="O1018" s="7"/>
    </row>
    <row r="1019">
      <c r="I1019" s="7"/>
      <c r="J1019" s="7"/>
      <c r="K1019" s="7"/>
      <c r="L1019" s="7"/>
      <c r="M1019" s="7"/>
      <c r="N1019" s="7"/>
      <c r="O1019" s="7"/>
    </row>
    <row r="1020">
      <c r="I1020" s="7"/>
      <c r="J1020" s="7"/>
      <c r="K1020" s="7"/>
      <c r="L1020" s="7"/>
      <c r="M1020" s="7"/>
      <c r="N1020" s="7"/>
      <c r="O1020" s="7"/>
    </row>
    <row r="1021">
      <c r="I1021" s="7"/>
      <c r="J1021" s="7"/>
      <c r="K1021" s="7"/>
      <c r="L1021" s="7"/>
      <c r="M1021" s="7"/>
      <c r="N1021" s="7"/>
      <c r="O1021" s="7"/>
    </row>
    <row r="1022">
      <c r="I1022" s="7"/>
      <c r="J1022" s="7"/>
      <c r="K1022" s="7"/>
      <c r="L1022" s="7"/>
      <c r="M1022" s="7"/>
      <c r="N1022" s="7"/>
      <c r="O1022" s="7"/>
    </row>
    <row r="1023">
      <c r="I1023" s="7"/>
      <c r="J1023" s="7"/>
      <c r="K1023" s="7"/>
      <c r="L1023" s="7"/>
      <c r="M1023" s="7"/>
      <c r="N1023" s="7"/>
      <c r="O1023" s="7"/>
    </row>
    <row r="1024">
      <c r="I1024" s="7"/>
      <c r="J1024" s="7"/>
      <c r="K1024" s="7"/>
      <c r="L1024" s="7"/>
      <c r="M1024" s="7"/>
      <c r="N1024" s="7"/>
      <c r="O1024" s="7"/>
    </row>
    <row r="1025">
      <c r="I1025" s="7"/>
      <c r="J1025" s="7"/>
      <c r="K1025" s="7"/>
      <c r="L1025" s="7"/>
      <c r="M1025" s="7"/>
      <c r="N1025" s="7"/>
      <c r="O1025" s="7"/>
    </row>
    <row r="1026">
      <c r="I1026" s="7"/>
      <c r="J1026" s="7"/>
      <c r="K1026" s="7"/>
      <c r="L1026" s="7"/>
      <c r="M1026" s="7"/>
      <c r="N1026" s="7"/>
      <c r="O1026" s="7"/>
    </row>
    <row r="1027">
      <c r="I1027" s="7"/>
      <c r="J1027" s="7"/>
      <c r="K1027" s="7"/>
      <c r="L1027" s="7"/>
      <c r="M1027" s="7"/>
      <c r="N1027" s="7"/>
      <c r="O1027" s="7"/>
    </row>
    <row r="1028">
      <c r="I1028" s="7"/>
      <c r="J1028" s="7"/>
      <c r="K1028" s="7"/>
      <c r="L1028" s="7"/>
      <c r="M1028" s="7"/>
      <c r="N1028" s="7"/>
      <c r="O1028" s="7"/>
    </row>
    <row r="1029">
      <c r="I1029" s="7"/>
      <c r="J1029" s="7"/>
      <c r="K1029" s="7"/>
      <c r="L1029" s="7"/>
      <c r="M1029" s="7"/>
      <c r="N1029" s="7"/>
      <c r="O1029" s="7"/>
    </row>
    <row r="1030">
      <c r="I1030" s="7"/>
      <c r="J1030" s="7"/>
      <c r="K1030" s="7"/>
      <c r="L1030" s="7"/>
      <c r="M1030" s="7"/>
      <c r="N1030" s="7"/>
      <c r="O1030" s="7"/>
    </row>
    <row r="1031">
      <c r="I1031" s="7"/>
      <c r="J1031" s="7"/>
      <c r="K1031" s="7"/>
      <c r="L1031" s="7"/>
      <c r="M1031" s="7"/>
      <c r="N1031" s="7"/>
      <c r="O1031" s="7"/>
    </row>
    <row r="1032">
      <c r="I1032" s="7"/>
      <c r="J1032" s="7"/>
      <c r="K1032" s="7"/>
      <c r="L1032" s="7"/>
      <c r="M1032" s="7"/>
      <c r="N1032" s="7"/>
      <c r="O1032" s="7"/>
    </row>
    <row r="1033">
      <c r="I1033" s="7"/>
      <c r="J1033" s="7"/>
      <c r="K1033" s="7"/>
      <c r="L1033" s="7"/>
      <c r="M1033" s="7"/>
      <c r="N1033" s="7"/>
      <c r="O1033" s="7"/>
    </row>
    <row r="1034">
      <c r="I1034" s="7"/>
      <c r="J1034" s="7"/>
      <c r="K1034" s="7"/>
      <c r="L1034" s="7"/>
      <c r="M1034" s="7"/>
      <c r="N1034" s="7"/>
      <c r="O1034" s="7"/>
    </row>
    <row r="1035">
      <c r="I1035" s="7"/>
      <c r="J1035" s="7"/>
      <c r="K1035" s="7"/>
      <c r="L1035" s="7"/>
      <c r="M1035" s="7"/>
      <c r="N1035" s="7"/>
      <c r="O1035" s="7"/>
    </row>
    <row r="1036">
      <c r="I1036" s="7"/>
      <c r="J1036" s="7"/>
      <c r="K1036" s="7"/>
      <c r="L1036" s="7"/>
      <c r="M1036" s="7"/>
      <c r="N1036" s="7"/>
      <c r="O1036" s="7"/>
    </row>
    <row r="1037">
      <c r="I1037" s="7"/>
      <c r="J1037" s="7"/>
      <c r="K1037" s="7"/>
      <c r="L1037" s="7"/>
      <c r="M1037" s="7"/>
      <c r="N1037" s="7"/>
      <c r="O1037" s="7"/>
    </row>
    <row r="1038">
      <c r="I1038" s="7"/>
      <c r="J1038" s="7"/>
      <c r="K1038" s="7"/>
      <c r="L1038" s="7"/>
      <c r="M1038" s="7"/>
      <c r="N1038" s="7"/>
      <c r="O1038" s="7"/>
    </row>
    <row r="1039">
      <c r="I1039" s="7"/>
      <c r="J1039" s="7"/>
      <c r="K1039" s="7"/>
      <c r="L1039" s="7"/>
      <c r="M1039" s="7"/>
      <c r="N1039" s="7"/>
      <c r="O1039" s="7"/>
    </row>
    <row r="1040">
      <c r="I1040" s="7"/>
      <c r="J1040" s="7"/>
      <c r="K1040" s="7"/>
      <c r="L1040" s="7"/>
      <c r="M1040" s="7"/>
      <c r="N1040" s="7"/>
      <c r="O1040" s="7"/>
    </row>
    <row r="1041">
      <c r="I1041" s="7"/>
      <c r="J1041" s="7"/>
      <c r="K1041" s="7"/>
      <c r="L1041" s="7"/>
      <c r="M1041" s="7"/>
      <c r="N1041" s="7"/>
      <c r="O1041" s="7"/>
    </row>
    <row r="1042">
      <c r="I1042" s="7"/>
      <c r="J1042" s="7"/>
      <c r="K1042" s="7"/>
      <c r="L1042" s="7"/>
      <c r="M1042" s="7"/>
      <c r="N1042" s="7"/>
      <c r="O1042" s="7"/>
    </row>
    <row r="1043">
      <c r="I1043" s="7"/>
      <c r="J1043" s="7"/>
      <c r="K1043" s="7"/>
      <c r="L1043" s="7"/>
      <c r="M1043" s="7"/>
      <c r="N1043" s="7"/>
      <c r="O1043" s="7"/>
    </row>
    <row r="1044">
      <c r="I1044" s="7"/>
      <c r="J1044" s="7"/>
      <c r="K1044" s="7"/>
      <c r="L1044" s="7"/>
      <c r="M1044" s="7"/>
      <c r="N1044" s="7"/>
      <c r="O1044" s="7"/>
    </row>
    <row r="1045">
      <c r="I1045" s="7"/>
      <c r="J1045" s="7"/>
      <c r="K1045" s="7"/>
      <c r="L1045" s="7"/>
      <c r="M1045" s="7"/>
      <c r="N1045" s="7"/>
      <c r="O1045" s="7"/>
    </row>
    <row r="1046">
      <c r="I1046" s="7"/>
      <c r="J1046" s="7"/>
      <c r="K1046" s="7"/>
      <c r="L1046" s="7"/>
      <c r="M1046" s="7"/>
      <c r="N1046" s="7"/>
      <c r="O1046" s="7"/>
    </row>
    <row r="1047">
      <c r="I1047" s="7"/>
      <c r="J1047" s="7"/>
      <c r="K1047" s="7"/>
      <c r="L1047" s="7"/>
      <c r="M1047" s="7"/>
      <c r="N1047" s="7"/>
      <c r="O1047" s="7"/>
    </row>
    <row r="1048">
      <c r="I1048" s="7"/>
      <c r="J1048" s="7"/>
      <c r="K1048" s="7"/>
      <c r="L1048" s="7"/>
      <c r="M1048" s="7"/>
      <c r="N1048" s="7"/>
      <c r="O1048" s="7"/>
    </row>
    <row r="1049">
      <c r="I1049" s="7"/>
      <c r="J1049" s="7"/>
      <c r="K1049" s="7"/>
      <c r="L1049" s="7"/>
      <c r="M1049" s="7"/>
      <c r="N1049" s="7"/>
      <c r="O1049" s="7"/>
    </row>
    <row r="1050">
      <c r="I1050" s="7"/>
      <c r="J1050" s="7"/>
      <c r="K1050" s="7"/>
      <c r="L1050" s="7"/>
      <c r="M1050" s="7"/>
      <c r="N1050" s="7"/>
      <c r="O1050" s="7"/>
    </row>
    <row r="1051">
      <c r="I1051" s="7"/>
      <c r="J1051" s="7"/>
      <c r="K1051" s="7"/>
      <c r="L1051" s="7"/>
      <c r="M1051" s="7"/>
      <c r="N1051" s="7"/>
      <c r="O1051" s="7"/>
    </row>
    <row r="1052">
      <c r="I1052" s="7"/>
      <c r="J1052" s="7"/>
      <c r="K1052" s="7"/>
      <c r="L1052" s="7"/>
      <c r="M1052" s="7"/>
      <c r="N1052" s="7"/>
      <c r="O1052" s="7"/>
    </row>
    <row r="1053">
      <c r="I1053" s="7"/>
      <c r="J1053" s="7"/>
      <c r="K1053" s="7"/>
      <c r="L1053" s="7"/>
      <c r="M1053" s="7"/>
      <c r="N1053" s="7"/>
      <c r="O1053" s="7"/>
    </row>
    <row r="1054">
      <c r="I1054" s="7"/>
      <c r="J1054" s="7"/>
      <c r="K1054" s="7"/>
      <c r="L1054" s="7"/>
      <c r="M1054" s="7"/>
      <c r="N1054" s="7"/>
      <c r="O1054" s="7"/>
    </row>
    <row r="1055">
      <c r="I1055" s="7"/>
      <c r="J1055" s="7"/>
      <c r="K1055" s="7"/>
      <c r="L1055" s="7"/>
      <c r="M1055" s="7"/>
      <c r="N1055" s="7"/>
      <c r="O1055" s="7"/>
    </row>
    <row r="1056">
      <c r="I1056" s="7"/>
      <c r="J1056" s="7"/>
      <c r="K1056" s="7"/>
      <c r="L1056" s="7"/>
      <c r="M1056" s="7"/>
      <c r="N1056" s="7"/>
      <c r="O1056" s="7"/>
    </row>
    <row r="1057">
      <c r="I1057" s="7"/>
      <c r="J1057" s="7"/>
      <c r="K1057" s="7"/>
      <c r="L1057" s="7"/>
      <c r="M1057" s="7"/>
      <c r="N1057" s="7"/>
      <c r="O1057" s="7"/>
    </row>
    <row r="1058">
      <c r="I1058" s="7"/>
      <c r="J1058" s="7"/>
      <c r="K1058" s="7"/>
      <c r="L1058" s="7"/>
      <c r="M1058" s="7"/>
      <c r="N1058" s="7"/>
      <c r="O1058" s="7"/>
    </row>
    <row r="1059">
      <c r="I1059" s="7"/>
      <c r="J1059" s="7"/>
      <c r="K1059" s="7"/>
      <c r="L1059" s="7"/>
      <c r="M1059" s="7"/>
      <c r="N1059" s="7"/>
      <c r="O1059" s="7"/>
    </row>
    <row r="1060">
      <c r="I1060" s="7"/>
      <c r="J1060" s="7"/>
      <c r="K1060" s="7"/>
      <c r="L1060" s="7"/>
      <c r="M1060" s="7"/>
      <c r="N1060" s="7"/>
      <c r="O1060" s="7"/>
    </row>
    <row r="1061">
      <c r="I1061" s="7"/>
      <c r="J1061" s="7"/>
      <c r="K1061" s="7"/>
      <c r="L1061" s="7"/>
      <c r="M1061" s="7"/>
      <c r="N1061" s="7"/>
      <c r="O1061" s="7"/>
    </row>
    <row r="1062">
      <c r="I1062" s="7"/>
      <c r="J1062" s="7"/>
      <c r="K1062" s="7"/>
      <c r="L1062" s="7"/>
      <c r="M1062" s="7"/>
      <c r="N1062" s="7"/>
      <c r="O1062" s="7"/>
    </row>
    <row r="1063">
      <c r="I1063" s="7"/>
      <c r="J1063" s="7"/>
      <c r="K1063" s="7"/>
      <c r="L1063" s="7"/>
      <c r="M1063" s="7"/>
      <c r="N1063" s="7"/>
      <c r="O1063" s="7"/>
    </row>
    <row r="1064">
      <c r="I1064" s="7"/>
      <c r="J1064" s="7"/>
      <c r="K1064" s="7"/>
      <c r="L1064" s="7"/>
      <c r="M1064" s="7"/>
      <c r="N1064" s="7"/>
      <c r="O1064" s="7"/>
    </row>
    <row r="1065">
      <c r="I1065" s="7"/>
      <c r="J1065" s="7"/>
      <c r="K1065" s="7"/>
      <c r="L1065" s="7"/>
      <c r="M1065" s="7"/>
      <c r="N1065" s="7"/>
      <c r="O1065" s="7"/>
    </row>
    <row r="1066">
      <c r="I1066" s="7"/>
      <c r="J1066" s="7"/>
      <c r="K1066" s="7"/>
      <c r="L1066" s="7"/>
      <c r="M1066" s="7"/>
      <c r="N1066" s="7"/>
      <c r="O1066" s="7"/>
    </row>
  </sheetData>
  <mergeCells count="790">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F313:H313"/>
    <mergeCell ref="F314:H314"/>
    <mergeCell ref="F315:H315"/>
    <mergeCell ref="F316:H316"/>
    <mergeCell ref="F317:H317"/>
    <mergeCell ref="F318:H318"/>
    <mergeCell ref="F319:H319"/>
    <mergeCell ref="F320:H320"/>
    <mergeCell ref="F321:H321"/>
    <mergeCell ref="F322:H322"/>
    <mergeCell ref="F323:H323"/>
    <mergeCell ref="F324:H324"/>
    <mergeCell ref="F325:H325"/>
    <mergeCell ref="F326:H326"/>
    <mergeCell ref="F327:H327"/>
    <mergeCell ref="F328:H328"/>
    <mergeCell ref="F329:H329"/>
    <mergeCell ref="F330:H330"/>
    <mergeCell ref="F331:H331"/>
    <mergeCell ref="F332:H332"/>
    <mergeCell ref="F333:H333"/>
    <mergeCell ref="F334:H334"/>
    <mergeCell ref="G406:I406"/>
    <mergeCell ref="G407:I407"/>
    <mergeCell ref="G399:I399"/>
    <mergeCell ref="G400:I400"/>
    <mergeCell ref="G401:I401"/>
    <mergeCell ref="G402:I402"/>
    <mergeCell ref="G403:I403"/>
    <mergeCell ref="G404:I404"/>
    <mergeCell ref="G405:I405"/>
    <mergeCell ref="G409:I409"/>
    <mergeCell ref="G410:I410"/>
    <mergeCell ref="A405:B405"/>
    <mergeCell ref="A406:B406"/>
    <mergeCell ref="A407:B407"/>
    <mergeCell ref="A408:B408"/>
    <mergeCell ref="G408:I408"/>
    <mergeCell ref="A409:B409"/>
    <mergeCell ref="A410:B410"/>
    <mergeCell ref="G415:I415"/>
    <mergeCell ref="G416:I416"/>
    <mergeCell ref="A411:B411"/>
    <mergeCell ref="G411:I411"/>
    <mergeCell ref="A412:B412"/>
    <mergeCell ref="G412:I412"/>
    <mergeCell ref="A413:B413"/>
    <mergeCell ref="G413:I413"/>
    <mergeCell ref="G414:I414"/>
    <mergeCell ref="G418:I418"/>
    <mergeCell ref="G419:I419"/>
    <mergeCell ref="A414:B414"/>
    <mergeCell ref="A415:B415"/>
    <mergeCell ref="A416:B416"/>
    <mergeCell ref="A417:B417"/>
    <mergeCell ref="G417:I417"/>
    <mergeCell ref="A418:B418"/>
    <mergeCell ref="A419:B419"/>
    <mergeCell ref="A447:B447"/>
    <mergeCell ref="G447:I447"/>
    <mergeCell ref="A448:B448"/>
    <mergeCell ref="G448:I448"/>
    <mergeCell ref="A449:B449"/>
    <mergeCell ref="G449:I449"/>
    <mergeCell ref="A450:B450"/>
    <mergeCell ref="G450:I450"/>
    <mergeCell ref="B453:I453"/>
    <mergeCell ref="A454:I454"/>
    <mergeCell ref="E456:H456"/>
    <mergeCell ref="E457:H457"/>
    <mergeCell ref="E458:H458"/>
    <mergeCell ref="E459:H459"/>
    <mergeCell ref="F335:H335"/>
    <mergeCell ref="F336:H336"/>
    <mergeCell ref="F337:H337"/>
    <mergeCell ref="G382:I382"/>
    <mergeCell ref="A383:B383"/>
    <mergeCell ref="G383:I383"/>
    <mergeCell ref="G384:I384"/>
    <mergeCell ref="A384:B384"/>
    <mergeCell ref="A385:B385"/>
    <mergeCell ref="A386:B386"/>
    <mergeCell ref="A387:B387"/>
    <mergeCell ref="A388:B388"/>
    <mergeCell ref="A389:B389"/>
    <mergeCell ref="A390:B390"/>
    <mergeCell ref="G385:I385"/>
    <mergeCell ref="G386:I386"/>
    <mergeCell ref="G387:I387"/>
    <mergeCell ref="G388:I388"/>
    <mergeCell ref="G389:I389"/>
    <mergeCell ref="G390:I390"/>
    <mergeCell ref="G391:I391"/>
    <mergeCell ref="A391:B391"/>
    <mergeCell ref="A392:B392"/>
    <mergeCell ref="A393:B393"/>
    <mergeCell ref="A394:B394"/>
    <mergeCell ref="A395:B395"/>
    <mergeCell ref="A396:B396"/>
    <mergeCell ref="A397:B397"/>
    <mergeCell ref="G392:I392"/>
    <mergeCell ref="G393:I393"/>
    <mergeCell ref="G394:I394"/>
    <mergeCell ref="G395:I395"/>
    <mergeCell ref="G396:I396"/>
    <mergeCell ref="G397:I397"/>
    <mergeCell ref="G398:I398"/>
    <mergeCell ref="A398:B398"/>
    <mergeCell ref="A399:B399"/>
    <mergeCell ref="A400:B400"/>
    <mergeCell ref="A401:B401"/>
    <mergeCell ref="A402:B402"/>
    <mergeCell ref="A403:B403"/>
    <mergeCell ref="A404:B404"/>
    <mergeCell ref="E460:H460"/>
    <mergeCell ref="E461:H461"/>
    <mergeCell ref="E462:H462"/>
    <mergeCell ref="E463:H463"/>
    <mergeCell ref="E464:H464"/>
    <mergeCell ref="E465:H465"/>
    <mergeCell ref="E466:H466"/>
    <mergeCell ref="G424:I424"/>
    <mergeCell ref="G425:I425"/>
    <mergeCell ref="A420:B420"/>
    <mergeCell ref="G420:I420"/>
    <mergeCell ref="A421:B421"/>
    <mergeCell ref="G421:I421"/>
    <mergeCell ref="A422:B422"/>
    <mergeCell ref="G422:I422"/>
    <mergeCell ref="G423:I423"/>
    <mergeCell ref="G427:I427"/>
    <mergeCell ref="G428:I428"/>
    <mergeCell ref="A423:B423"/>
    <mergeCell ref="A424:B424"/>
    <mergeCell ref="A425:B425"/>
    <mergeCell ref="A426:B426"/>
    <mergeCell ref="G426:I426"/>
    <mergeCell ref="A427:B427"/>
    <mergeCell ref="A428:B428"/>
    <mergeCell ref="G433:I433"/>
    <mergeCell ref="G434:I434"/>
    <mergeCell ref="A429:B429"/>
    <mergeCell ref="G429:I429"/>
    <mergeCell ref="A430:B430"/>
    <mergeCell ref="G430:I430"/>
    <mergeCell ref="A431:B431"/>
    <mergeCell ref="G431:I431"/>
    <mergeCell ref="G432:I432"/>
    <mergeCell ref="G436:I436"/>
    <mergeCell ref="G437:I437"/>
    <mergeCell ref="A432:B432"/>
    <mergeCell ref="A433:B433"/>
    <mergeCell ref="A434:B434"/>
    <mergeCell ref="A435:B435"/>
    <mergeCell ref="G435:I435"/>
    <mergeCell ref="A436:B436"/>
    <mergeCell ref="A437:B437"/>
    <mergeCell ref="G442:I442"/>
    <mergeCell ref="G443:I443"/>
    <mergeCell ref="A438:B438"/>
    <mergeCell ref="G438:I438"/>
    <mergeCell ref="A439:B439"/>
    <mergeCell ref="G439:I439"/>
    <mergeCell ref="A440:B440"/>
    <mergeCell ref="G440:I440"/>
    <mergeCell ref="G441:I441"/>
    <mergeCell ref="G445:I445"/>
    <mergeCell ref="G446:I446"/>
    <mergeCell ref="A441:B441"/>
    <mergeCell ref="A442:B442"/>
    <mergeCell ref="A443:B443"/>
    <mergeCell ref="A444:B444"/>
    <mergeCell ref="G444:I444"/>
    <mergeCell ref="A445:B445"/>
    <mergeCell ref="A446:B446"/>
    <mergeCell ref="E467:H467"/>
    <mergeCell ref="E468:H468"/>
    <mergeCell ref="E469:H469"/>
    <mergeCell ref="E470:H470"/>
    <mergeCell ref="E471:H471"/>
    <mergeCell ref="E472:H472"/>
    <mergeCell ref="E473:H473"/>
    <mergeCell ref="E474:H474"/>
    <mergeCell ref="E475:H475"/>
    <mergeCell ref="E476:H476"/>
    <mergeCell ref="E477:H477"/>
    <mergeCell ref="E478:H478"/>
    <mergeCell ref="E479:H479"/>
    <mergeCell ref="E480:H480"/>
    <mergeCell ref="B499:H499"/>
    <mergeCell ref="B500:H500"/>
    <mergeCell ref="B501:H501"/>
    <mergeCell ref="B502:H502"/>
    <mergeCell ref="B503:H503"/>
    <mergeCell ref="A504:H504"/>
    <mergeCell ref="A505:H505"/>
    <mergeCell ref="A506:H506"/>
    <mergeCell ref="E481:H481"/>
    <mergeCell ref="E482:H482"/>
    <mergeCell ref="A493:H493"/>
    <mergeCell ref="B495:H495"/>
    <mergeCell ref="B496:H496"/>
    <mergeCell ref="B497:H497"/>
    <mergeCell ref="B498:H498"/>
    <mergeCell ref="D12:E12"/>
    <mergeCell ref="F12:H12"/>
    <mergeCell ref="B10:C10"/>
    <mergeCell ref="D10:E10"/>
    <mergeCell ref="F10:H10"/>
    <mergeCell ref="B11:C11"/>
    <mergeCell ref="D11:E11"/>
    <mergeCell ref="F11:H11"/>
    <mergeCell ref="B12:C12"/>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19:C19"/>
    <mergeCell ref="D19:E19"/>
    <mergeCell ref="F19:H19"/>
    <mergeCell ref="B20:C20"/>
    <mergeCell ref="D20:E20"/>
    <mergeCell ref="F20:H20"/>
    <mergeCell ref="B21:C21"/>
    <mergeCell ref="D24:E24"/>
    <mergeCell ref="F24:H24"/>
    <mergeCell ref="B22:C22"/>
    <mergeCell ref="D22:E22"/>
    <mergeCell ref="F22:H22"/>
    <mergeCell ref="B23:C23"/>
    <mergeCell ref="D23:E23"/>
    <mergeCell ref="F23:H23"/>
    <mergeCell ref="B24:C24"/>
    <mergeCell ref="D27:E27"/>
    <mergeCell ref="F27:H27"/>
    <mergeCell ref="B25:C25"/>
    <mergeCell ref="D25:E25"/>
    <mergeCell ref="F25:H25"/>
    <mergeCell ref="B26:C26"/>
    <mergeCell ref="D26:E26"/>
    <mergeCell ref="F26:H26"/>
    <mergeCell ref="B27:C27"/>
    <mergeCell ref="D30:E30"/>
    <mergeCell ref="F30:H30"/>
    <mergeCell ref="B28:C28"/>
    <mergeCell ref="D28:E28"/>
    <mergeCell ref="F28:H28"/>
    <mergeCell ref="B29:C29"/>
    <mergeCell ref="D29:E29"/>
    <mergeCell ref="F29:H29"/>
    <mergeCell ref="B30:C30"/>
    <mergeCell ref="D33:E33"/>
    <mergeCell ref="F33:H33"/>
    <mergeCell ref="B31:C31"/>
    <mergeCell ref="D31:E31"/>
    <mergeCell ref="F31:H31"/>
    <mergeCell ref="B32:C32"/>
    <mergeCell ref="D32:E32"/>
    <mergeCell ref="F32:H32"/>
    <mergeCell ref="B33:C33"/>
    <mergeCell ref="D36:E36"/>
    <mergeCell ref="F36:H36"/>
    <mergeCell ref="B34:C34"/>
    <mergeCell ref="D34:E34"/>
    <mergeCell ref="F34:H34"/>
    <mergeCell ref="B35:C35"/>
    <mergeCell ref="D35:E35"/>
    <mergeCell ref="F35:H35"/>
    <mergeCell ref="B36:C36"/>
    <mergeCell ref="D39:E39"/>
    <mergeCell ref="F39:H39"/>
    <mergeCell ref="B37:C37"/>
    <mergeCell ref="D37:E37"/>
    <mergeCell ref="F37:H37"/>
    <mergeCell ref="B38:C38"/>
    <mergeCell ref="D38:E38"/>
    <mergeCell ref="F38:H38"/>
    <mergeCell ref="B39:C39"/>
    <mergeCell ref="D42:E42"/>
    <mergeCell ref="F42:H42"/>
    <mergeCell ref="B40:C40"/>
    <mergeCell ref="D40:E40"/>
    <mergeCell ref="F40:H40"/>
    <mergeCell ref="B41:C41"/>
    <mergeCell ref="D41:E41"/>
    <mergeCell ref="F41:H41"/>
    <mergeCell ref="B42:C42"/>
    <mergeCell ref="D45:E45"/>
    <mergeCell ref="F45:H45"/>
    <mergeCell ref="B43:C43"/>
    <mergeCell ref="D43:E43"/>
    <mergeCell ref="F43:H43"/>
    <mergeCell ref="B44:C44"/>
    <mergeCell ref="D44:E44"/>
    <mergeCell ref="F44:H44"/>
    <mergeCell ref="B45:C45"/>
    <mergeCell ref="D48:E48"/>
    <mergeCell ref="F48:H48"/>
    <mergeCell ref="B46:C46"/>
    <mergeCell ref="D46:E46"/>
    <mergeCell ref="F46:H46"/>
    <mergeCell ref="B47:C47"/>
    <mergeCell ref="D47:E47"/>
    <mergeCell ref="F47:H47"/>
    <mergeCell ref="B48:C48"/>
    <mergeCell ref="D51:E51"/>
    <mergeCell ref="F51:H51"/>
    <mergeCell ref="B49:C49"/>
    <mergeCell ref="D49:E49"/>
    <mergeCell ref="F49:H49"/>
    <mergeCell ref="B50:C50"/>
    <mergeCell ref="D50:E50"/>
    <mergeCell ref="F50:H50"/>
    <mergeCell ref="B51:C51"/>
    <mergeCell ref="D54:E54"/>
    <mergeCell ref="F54:H54"/>
    <mergeCell ref="B52:C52"/>
    <mergeCell ref="D52:E52"/>
    <mergeCell ref="F52:H52"/>
    <mergeCell ref="B53:C53"/>
    <mergeCell ref="D53:E53"/>
    <mergeCell ref="F53:H53"/>
    <mergeCell ref="B54:C54"/>
    <mergeCell ref="D57:E57"/>
    <mergeCell ref="F57:H57"/>
    <mergeCell ref="B55:C55"/>
    <mergeCell ref="D55:E55"/>
    <mergeCell ref="F55:H55"/>
    <mergeCell ref="B56:C56"/>
    <mergeCell ref="D56:E56"/>
    <mergeCell ref="F56:H56"/>
    <mergeCell ref="B57:C57"/>
    <mergeCell ref="D60:E60"/>
    <mergeCell ref="F60:H60"/>
    <mergeCell ref="B58:C58"/>
    <mergeCell ref="D58:E58"/>
    <mergeCell ref="F58:H58"/>
    <mergeCell ref="B59:C59"/>
    <mergeCell ref="D59:E59"/>
    <mergeCell ref="F59:H59"/>
    <mergeCell ref="B60:C60"/>
    <mergeCell ref="D63:E63"/>
    <mergeCell ref="F63:H63"/>
    <mergeCell ref="B61:C61"/>
    <mergeCell ref="D61:E61"/>
    <mergeCell ref="F61:H61"/>
    <mergeCell ref="B62:C62"/>
    <mergeCell ref="D62:E62"/>
    <mergeCell ref="F62:H62"/>
    <mergeCell ref="B63:C63"/>
    <mergeCell ref="D66:E66"/>
    <mergeCell ref="F66:H66"/>
    <mergeCell ref="B64:C64"/>
    <mergeCell ref="D64:E64"/>
    <mergeCell ref="F64:H64"/>
    <mergeCell ref="B65:C65"/>
    <mergeCell ref="D65:E65"/>
    <mergeCell ref="F65:H65"/>
    <mergeCell ref="B66:C66"/>
    <mergeCell ref="D69:E69"/>
    <mergeCell ref="F69:H69"/>
    <mergeCell ref="B67:C67"/>
    <mergeCell ref="D67:E67"/>
    <mergeCell ref="F67:H67"/>
    <mergeCell ref="B68:C68"/>
    <mergeCell ref="D68:E68"/>
    <mergeCell ref="F68:H68"/>
    <mergeCell ref="B69:C69"/>
    <mergeCell ref="D72:E72"/>
    <mergeCell ref="F72:H72"/>
    <mergeCell ref="B70:C70"/>
    <mergeCell ref="D70:E70"/>
    <mergeCell ref="F70:H70"/>
    <mergeCell ref="B71:C71"/>
    <mergeCell ref="D71:E71"/>
    <mergeCell ref="F71:H71"/>
    <mergeCell ref="B72:C72"/>
    <mergeCell ref="D75:E75"/>
    <mergeCell ref="F75:H75"/>
    <mergeCell ref="B73:C73"/>
    <mergeCell ref="D73:E73"/>
    <mergeCell ref="F73:H73"/>
    <mergeCell ref="B74:C74"/>
    <mergeCell ref="D74:E74"/>
    <mergeCell ref="F74:H74"/>
    <mergeCell ref="B75:C75"/>
    <mergeCell ref="D78:E78"/>
    <mergeCell ref="F78:H78"/>
    <mergeCell ref="B76:C76"/>
    <mergeCell ref="D76:E76"/>
    <mergeCell ref="F76:H76"/>
    <mergeCell ref="B77:C77"/>
    <mergeCell ref="D77:E77"/>
    <mergeCell ref="F77:H77"/>
    <mergeCell ref="B78:C78"/>
    <mergeCell ref="D81:E81"/>
    <mergeCell ref="F81:H81"/>
    <mergeCell ref="B79:C79"/>
    <mergeCell ref="D79:E79"/>
    <mergeCell ref="F79:H79"/>
    <mergeCell ref="B80:C80"/>
    <mergeCell ref="D80:E80"/>
    <mergeCell ref="F80:H80"/>
    <mergeCell ref="B81:C81"/>
    <mergeCell ref="D84:E84"/>
    <mergeCell ref="F84:H84"/>
    <mergeCell ref="B82:C82"/>
    <mergeCell ref="D82:E82"/>
    <mergeCell ref="F82:H82"/>
    <mergeCell ref="B83:C83"/>
    <mergeCell ref="D83:E83"/>
    <mergeCell ref="F83:H83"/>
    <mergeCell ref="B84:C84"/>
    <mergeCell ref="D87:E87"/>
    <mergeCell ref="F87:H87"/>
    <mergeCell ref="B85:C85"/>
    <mergeCell ref="D85:E85"/>
    <mergeCell ref="F85:H85"/>
    <mergeCell ref="B86:C86"/>
    <mergeCell ref="D86:E86"/>
    <mergeCell ref="F86:H86"/>
    <mergeCell ref="B87:C87"/>
    <mergeCell ref="D90:E90"/>
    <mergeCell ref="F90:H90"/>
    <mergeCell ref="B88:C88"/>
    <mergeCell ref="D88:E88"/>
    <mergeCell ref="F88:H88"/>
    <mergeCell ref="B89:C89"/>
    <mergeCell ref="D89:E89"/>
    <mergeCell ref="F89:H89"/>
    <mergeCell ref="B90:C90"/>
    <mergeCell ref="D93:E93"/>
    <mergeCell ref="F93:H93"/>
    <mergeCell ref="B91:C91"/>
    <mergeCell ref="D91:E91"/>
    <mergeCell ref="F91:H91"/>
    <mergeCell ref="B92:C92"/>
    <mergeCell ref="D92:E92"/>
    <mergeCell ref="F92:H92"/>
    <mergeCell ref="B93:C93"/>
    <mergeCell ref="D96:E96"/>
    <mergeCell ref="F96:H96"/>
    <mergeCell ref="B94:C94"/>
    <mergeCell ref="D94:E94"/>
    <mergeCell ref="F94:H94"/>
    <mergeCell ref="B95:C95"/>
    <mergeCell ref="D95:E95"/>
    <mergeCell ref="F95:H95"/>
    <mergeCell ref="B96:C96"/>
    <mergeCell ref="D99:E99"/>
    <mergeCell ref="F99:H99"/>
    <mergeCell ref="B97:C97"/>
    <mergeCell ref="D97:E97"/>
    <mergeCell ref="F97:H97"/>
    <mergeCell ref="B98:C98"/>
    <mergeCell ref="D98:E98"/>
    <mergeCell ref="F98:H98"/>
    <mergeCell ref="B99:C99"/>
    <mergeCell ref="D102:E102"/>
    <mergeCell ref="F102:H102"/>
    <mergeCell ref="B100:C100"/>
    <mergeCell ref="D100:E100"/>
    <mergeCell ref="F100:H100"/>
    <mergeCell ref="B101:C101"/>
    <mergeCell ref="D101:E101"/>
    <mergeCell ref="F101:H101"/>
    <mergeCell ref="B102:C102"/>
    <mergeCell ref="D105:E105"/>
    <mergeCell ref="F105:H105"/>
    <mergeCell ref="B103:C103"/>
    <mergeCell ref="D103:E103"/>
    <mergeCell ref="F103:H103"/>
    <mergeCell ref="B104:C104"/>
    <mergeCell ref="D104:E104"/>
    <mergeCell ref="F104:H104"/>
    <mergeCell ref="B105:C105"/>
    <mergeCell ref="D108:E108"/>
    <mergeCell ref="F108:H108"/>
    <mergeCell ref="B106:C106"/>
    <mergeCell ref="D106:E106"/>
    <mergeCell ref="F106:H106"/>
    <mergeCell ref="B107:C107"/>
    <mergeCell ref="D107:E107"/>
    <mergeCell ref="F107:H107"/>
    <mergeCell ref="B108:C108"/>
    <mergeCell ref="D111:E111"/>
    <mergeCell ref="F111:H111"/>
    <mergeCell ref="B109:C109"/>
    <mergeCell ref="D109:E109"/>
    <mergeCell ref="F109:H109"/>
    <mergeCell ref="B110:C110"/>
    <mergeCell ref="D110:E110"/>
    <mergeCell ref="F110:H110"/>
    <mergeCell ref="B111:C111"/>
    <mergeCell ref="D114:E114"/>
    <mergeCell ref="F114:H114"/>
    <mergeCell ref="B112:C112"/>
    <mergeCell ref="D112:E112"/>
    <mergeCell ref="F112:H112"/>
    <mergeCell ref="B113:C113"/>
    <mergeCell ref="D113:E113"/>
    <mergeCell ref="F113:H113"/>
    <mergeCell ref="B114:C114"/>
    <mergeCell ref="D135:E135"/>
    <mergeCell ref="F135:H135"/>
    <mergeCell ref="B133:C133"/>
    <mergeCell ref="D133:E133"/>
    <mergeCell ref="F133:H133"/>
    <mergeCell ref="B134:C134"/>
    <mergeCell ref="D134:E134"/>
    <mergeCell ref="F134:H134"/>
    <mergeCell ref="B135:C135"/>
    <mergeCell ref="D3:E3"/>
    <mergeCell ref="F3:H3"/>
    <mergeCell ref="B1:C1"/>
    <mergeCell ref="D1:E1"/>
    <mergeCell ref="F1:H1"/>
    <mergeCell ref="B2:C2"/>
    <mergeCell ref="D2:E2"/>
    <mergeCell ref="F2:H2"/>
    <mergeCell ref="B3:C3"/>
    <mergeCell ref="D6:E6"/>
    <mergeCell ref="F6:H6"/>
    <mergeCell ref="B4:C4"/>
    <mergeCell ref="D4:E4"/>
    <mergeCell ref="F4:H4"/>
    <mergeCell ref="B5:C5"/>
    <mergeCell ref="D5:E5"/>
    <mergeCell ref="F5:H5"/>
    <mergeCell ref="B6:C6"/>
    <mergeCell ref="D9:E9"/>
    <mergeCell ref="F9:H9"/>
    <mergeCell ref="B7:C7"/>
    <mergeCell ref="D7:E7"/>
    <mergeCell ref="F7:H7"/>
    <mergeCell ref="B8:C8"/>
    <mergeCell ref="D8:E8"/>
    <mergeCell ref="F8:H8"/>
    <mergeCell ref="B9:C9"/>
    <mergeCell ref="B136:C136"/>
    <mergeCell ref="D136:E136"/>
    <mergeCell ref="F136:H136"/>
    <mergeCell ref="B137:C137"/>
    <mergeCell ref="D137:E137"/>
    <mergeCell ref="F137:H137"/>
    <mergeCell ref="B138:C138"/>
    <mergeCell ref="D117:E117"/>
    <mergeCell ref="F117:H117"/>
    <mergeCell ref="B115:C115"/>
    <mergeCell ref="D115:E115"/>
    <mergeCell ref="F115:H115"/>
    <mergeCell ref="B116:C116"/>
    <mergeCell ref="D116:E116"/>
    <mergeCell ref="F116:H116"/>
    <mergeCell ref="B117:C117"/>
    <mergeCell ref="D120:E120"/>
    <mergeCell ref="F120:H120"/>
    <mergeCell ref="B118:C118"/>
    <mergeCell ref="D118:E118"/>
    <mergeCell ref="F118:H118"/>
    <mergeCell ref="B119:C119"/>
    <mergeCell ref="D119:E119"/>
    <mergeCell ref="F119:H119"/>
    <mergeCell ref="B120:C120"/>
    <mergeCell ref="D123:E123"/>
    <mergeCell ref="F123:H123"/>
    <mergeCell ref="B121:C121"/>
    <mergeCell ref="D121:E121"/>
    <mergeCell ref="F121:H121"/>
    <mergeCell ref="B122:C122"/>
    <mergeCell ref="D122:E122"/>
    <mergeCell ref="F122:H122"/>
    <mergeCell ref="B123:C123"/>
    <mergeCell ref="D126:E126"/>
    <mergeCell ref="F126:H126"/>
    <mergeCell ref="B124:C124"/>
    <mergeCell ref="D124:E124"/>
    <mergeCell ref="F124:H124"/>
    <mergeCell ref="B125:C125"/>
    <mergeCell ref="D125:E125"/>
    <mergeCell ref="F125:H125"/>
    <mergeCell ref="B126:C126"/>
    <mergeCell ref="D129:E129"/>
    <mergeCell ref="F129:H129"/>
    <mergeCell ref="B127:C127"/>
    <mergeCell ref="D127:E127"/>
    <mergeCell ref="F127:H127"/>
    <mergeCell ref="B128:C128"/>
    <mergeCell ref="D128:E128"/>
    <mergeCell ref="F128:H128"/>
    <mergeCell ref="B129:C129"/>
    <mergeCell ref="D132:E132"/>
    <mergeCell ref="F132:H132"/>
    <mergeCell ref="B130:C130"/>
    <mergeCell ref="D130:E130"/>
    <mergeCell ref="F130:H130"/>
    <mergeCell ref="B131:C131"/>
    <mergeCell ref="D131:E131"/>
    <mergeCell ref="F131:H131"/>
    <mergeCell ref="B132:C132"/>
    <mergeCell ref="D138:E138"/>
    <mergeCell ref="F138:H138"/>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s>
  <conditionalFormatting sqref="A1:Z1">
    <cfRule type="notContainsBlanks" dxfId="0" priority="1">
      <formula>LEN(TRIM(A1))&gt;0</formula>
    </cfRule>
  </conditionalFormatting>
  <conditionalFormatting sqref="J383:J450">
    <cfRule type="containsText" dxfId="0" priority="2" operator="containsText" text="Yes">
      <formula>NOT(ISERROR(SEARCH(("Yes"),(J383))))</formula>
    </cfRule>
  </conditionalFormatting>
  <conditionalFormatting sqref="J383:J450">
    <cfRule type="containsText" dxfId="1" priority="3" operator="containsText" text="No">
      <formula>NOT(ISERROR(SEARCH(("No"),(J383))))</formula>
    </cfRule>
  </conditionalFormatting>
  <conditionalFormatting sqref="J383:J450">
    <cfRule type="containsText" dxfId="2" priority="4" operator="containsText" text="Changes">
      <formula>NOT(ISERROR(SEARCH(("Changes"),(J383))))</formula>
    </cfRule>
  </conditionalFormatting>
  <hyperlinks>
    <hyperlink r:id="rId4" ref="A2"/>
    <hyperlink r:id="rId5" location="Hats" ref="D2"/>
    <hyperlink r:id="rId6" ref="A3"/>
    <hyperlink r:id="rId7" location="Hats" ref="D3"/>
    <hyperlink r:id="rId8" ref="A4"/>
    <hyperlink r:id="rId9" ref="A5"/>
    <hyperlink r:id="rId10" location="Hats" ref="D5"/>
    <hyperlink r:id="rId11" ref="A6"/>
    <hyperlink r:id="rId12" ref="D6"/>
    <hyperlink r:id="rId13" ref="A7"/>
    <hyperlink r:id="rId14" location="Hats" ref="D7"/>
    <hyperlink r:id="rId15" ref="A8"/>
    <hyperlink r:id="rId16" ref="D8"/>
    <hyperlink r:id="rId17" ref="A9"/>
    <hyperlink r:id="rId18" ref="A10"/>
    <hyperlink r:id="rId19" location="Villager_Shops" ref="D10"/>
    <hyperlink r:id="rId20" ref="A11"/>
    <hyperlink r:id="rId21" location="Hats" ref="D11"/>
    <hyperlink r:id="rId22" ref="A12"/>
    <hyperlink r:id="rId23" ref="D12"/>
    <hyperlink r:id="rId24" ref="A13"/>
    <hyperlink r:id="rId25" ref="D13"/>
    <hyperlink r:id="rId26" ref="A14"/>
    <hyperlink r:id="rId27" ref="D14"/>
    <hyperlink r:id="rId28" ref="A15"/>
    <hyperlink r:id="rId29" location="Hats" ref="D15"/>
    <hyperlink r:id="rId30" ref="A16"/>
    <hyperlink r:id="rId31" location="Hats" ref="D16"/>
    <hyperlink r:id="rId32" ref="A17"/>
    <hyperlink r:id="rId33" ref="D17"/>
    <hyperlink r:id="rId34" ref="A18"/>
    <hyperlink r:id="rId35" ref="D18"/>
    <hyperlink r:id="rId36" location="Hats" ref="D19"/>
    <hyperlink r:id="rId37" ref="A20"/>
    <hyperlink r:id="rId38" ref="D20"/>
    <hyperlink r:id="rId39" ref="A21"/>
    <hyperlink r:id="rId40" ref="D21"/>
    <hyperlink r:id="rId41" ref="A22"/>
    <hyperlink r:id="rId42" location="Hats" ref="D22"/>
    <hyperlink r:id="rId43" ref="A23"/>
    <hyperlink r:id="rId44" location="Prize_Machine" ref="D23"/>
    <hyperlink r:id="rId45" ref="A24"/>
    <hyperlink r:id="rId46" ref="D24"/>
    <hyperlink r:id="rId47" ref="A25"/>
    <hyperlink r:id="rId48" ref="D25"/>
    <hyperlink r:id="rId49" ref="A26"/>
    <hyperlink r:id="rId50" ref="A27"/>
    <hyperlink r:id="rId51" ref="D27"/>
    <hyperlink r:id="rId52" ref="A28"/>
    <hyperlink r:id="rId53" location="Monster_Eradication_Goals" ref="D28"/>
    <hyperlink r:id="rId54" ref="D29"/>
    <hyperlink r:id="rId55" ref="A30"/>
    <hyperlink r:id="rId56" ref="D30"/>
    <hyperlink r:id="rId57" ref="A31"/>
    <hyperlink r:id="rId58" ref="D31"/>
    <hyperlink r:id="rId59" ref="A32"/>
    <hyperlink r:id="rId60" ref="D32"/>
    <hyperlink r:id="rId61" ref="A33"/>
    <hyperlink r:id="rId62" location="Hats" ref="D33"/>
    <hyperlink r:id="rId63" ref="A34"/>
    <hyperlink r:id="rId64" ref="D34"/>
    <hyperlink r:id="rId65" ref="A35"/>
    <hyperlink r:id="rId66" location="Hats" ref="D35"/>
    <hyperlink r:id="rId67" ref="A36"/>
    <hyperlink r:id="rId68" location="Hats" ref="D36"/>
    <hyperlink r:id="rId69" ref="A37"/>
    <hyperlink r:id="rId70" location="Hats" ref="D37"/>
    <hyperlink r:id="rId71" ref="A38"/>
    <hyperlink r:id="rId72" location="Help_Wanted_Quests" ref="D38"/>
    <hyperlink r:id="rId73" ref="A39"/>
    <hyperlink r:id="rId74" ref="D39"/>
    <hyperlink r:id="rId75" ref="A40"/>
    <hyperlink r:id="rId76" location="Hats" ref="D40"/>
    <hyperlink r:id="rId77" ref="A41"/>
    <hyperlink r:id="rId78" ref="D41"/>
    <hyperlink r:id="rId79" ref="A42"/>
    <hyperlink r:id="rId80" location="Hats" ref="D42"/>
    <hyperlink r:id="rId81" ref="A43"/>
    <hyperlink r:id="rId82" location="Hats" ref="D43"/>
    <hyperlink r:id="rId83" ref="A44"/>
    <hyperlink r:id="rId84" location="Hats" ref="D44"/>
    <hyperlink r:id="rId85" ref="A45"/>
    <hyperlink r:id="rId86" ref="D45"/>
    <hyperlink r:id="rId87" ref="A46"/>
    <hyperlink r:id="rId88" location="cite_note-tgp-2" ref="D46"/>
    <hyperlink r:id="rId89" ref="A47"/>
    <hyperlink r:id="rId90" ref="D47"/>
    <hyperlink r:id="rId91" ref="A48"/>
    <hyperlink r:id="rId92" ref="D48"/>
    <hyperlink r:id="rId93" ref="A49"/>
    <hyperlink r:id="rId94" ref="D49"/>
    <hyperlink r:id="rId95" ref="A50"/>
    <hyperlink r:id="rId96" ref="D50"/>
    <hyperlink r:id="rId97" ref="A51"/>
    <hyperlink r:id="rId98" location="Calico_Egg_Merchant" ref="D51"/>
    <hyperlink r:id="rId99" ref="A52"/>
    <hyperlink r:id="rId100" ref="D52"/>
    <hyperlink r:id="rId101" ref="A53"/>
    <hyperlink r:id="rId102" ref="D53"/>
    <hyperlink r:id="rId103" ref="A54"/>
    <hyperlink r:id="rId104" ref="D54"/>
    <hyperlink r:id="rId105" ref="A55"/>
    <hyperlink r:id="rId106" ref="D55"/>
    <hyperlink r:id="rId107" ref="A56"/>
    <hyperlink r:id="rId108" ref="A57"/>
    <hyperlink r:id="rId109" location="Hats" ref="D57"/>
    <hyperlink r:id="rId110" ref="A58"/>
    <hyperlink r:id="rId111" ref="D58"/>
    <hyperlink r:id="rId112" ref="A59"/>
    <hyperlink r:id="rId113" ref="D59"/>
    <hyperlink r:id="rId114" ref="A60"/>
    <hyperlink r:id="rId115" location="Emily.27s_Outfit_Services" ref="D60"/>
    <hyperlink r:id="rId116" ref="A61"/>
    <hyperlink r:id="rId117" location="Monster_Eradication_Goals" ref="D61"/>
    <hyperlink r:id="rId118" ref="A62"/>
    <hyperlink r:id="rId119" ref="D62"/>
    <hyperlink r:id="rId120" ref="A63"/>
    <hyperlink r:id="rId121" location="Emily.27s_Outfit_Services" ref="D63"/>
    <hyperlink r:id="rId122" ref="A64"/>
    <hyperlink r:id="rId123" ref="D64"/>
    <hyperlink r:id="rId124" ref="A65"/>
    <hyperlink r:id="rId125" ref="D65"/>
    <hyperlink r:id="rId126" ref="A66"/>
    <hyperlink r:id="rId127" ref="D66"/>
    <hyperlink r:id="rId128" ref="A67"/>
    <hyperlink r:id="rId129" ref="A68"/>
    <hyperlink r:id="rId130" location="Monster_Eradication_Goals" ref="D68"/>
    <hyperlink r:id="rId131" ref="A69"/>
    <hyperlink r:id="rId132" location="Hats" ref="D69"/>
    <hyperlink r:id="rId133" ref="A70"/>
    <hyperlink r:id="rId134" ref="D70"/>
    <hyperlink r:id="rId135" ref="A71"/>
    <hyperlink r:id="rId136" ref="D71"/>
    <hyperlink r:id="rId137" ref="A72"/>
    <hyperlink r:id="rId138" ref="A73"/>
    <hyperlink r:id="rId139" location="Hats" ref="D73"/>
    <hyperlink r:id="rId140" ref="A74"/>
    <hyperlink r:id="rId141" ref="D74"/>
    <hyperlink r:id="rId142" ref="A75"/>
    <hyperlink r:id="rId143" ref="D75"/>
    <hyperlink r:id="rId144" ref="A76"/>
    <hyperlink r:id="rId145" location="Hats" ref="D76"/>
    <hyperlink r:id="rId146" ref="A77"/>
    <hyperlink r:id="rId147" ref="D77"/>
    <hyperlink r:id="rId148" ref="A78"/>
    <hyperlink r:id="rId149" ref="D78"/>
    <hyperlink r:id="rId150" ref="A79"/>
    <hyperlink r:id="rId151" location="Skull_Cavern" ref="D79"/>
    <hyperlink r:id="rId152" ref="A80"/>
    <hyperlink r:id="rId153" ref="D80"/>
    <hyperlink r:id="rId154" ref="A81"/>
    <hyperlink r:id="rId155" location="Presents" ref="D81"/>
    <hyperlink r:id="rId156" ref="A82"/>
    <hyperlink r:id="rId157" location="Hats" ref="D82"/>
    <hyperlink r:id="rId158" ref="A83"/>
    <hyperlink r:id="rId159" location="Hats" ref="D83"/>
    <hyperlink r:id="rId160" ref="A84"/>
    <hyperlink r:id="rId161" location="Hats" ref="D84"/>
    <hyperlink r:id="rId162" ref="A85"/>
    <hyperlink r:id="rId163" location="Hats" ref="D85"/>
    <hyperlink r:id="rId164" ref="A86"/>
    <hyperlink r:id="rId165" ref="D86"/>
    <hyperlink r:id="rId166" ref="A87"/>
    <hyperlink r:id="rId167" location="Hats" ref="D87"/>
    <hyperlink r:id="rId168" ref="A88"/>
    <hyperlink r:id="rId169" ref="D88"/>
    <hyperlink r:id="rId170" ref="A89"/>
    <hyperlink r:id="rId171" ref="D89"/>
    <hyperlink r:id="rId172" ref="A90"/>
    <hyperlink r:id="rId173" ref="D90"/>
    <hyperlink r:id="rId174" ref="A91"/>
    <hyperlink r:id="rId175" ref="D91"/>
    <hyperlink r:id="rId176" ref="A92"/>
    <hyperlink r:id="rId177" location="Hats" ref="D92"/>
    <hyperlink r:id="rId178" ref="A93"/>
    <hyperlink r:id="rId179" ref="D93"/>
    <hyperlink r:id="rId180" ref="A94"/>
    <hyperlink r:id="rId181" ref="D94"/>
    <hyperlink r:id="rId182" ref="A95"/>
    <hyperlink r:id="rId183" ref="D95"/>
    <hyperlink r:id="rId184" ref="A96"/>
    <hyperlink r:id="rId185" location="Calico_Egg_Merchant" ref="D96"/>
    <hyperlink r:id="rId186" ref="A97"/>
    <hyperlink r:id="rId187" ref="D97"/>
    <hyperlink r:id="rId188" ref="A98"/>
    <hyperlink r:id="rId189" location="Emily.27s_Outfit_Services" ref="D98"/>
    <hyperlink r:id="rId190" ref="A99"/>
    <hyperlink r:id="rId191" ref="D99"/>
    <hyperlink r:id="rId192" ref="A100"/>
    <hyperlink r:id="rId193" ref="D100"/>
    <hyperlink r:id="rId194" ref="A101"/>
    <hyperlink r:id="rId195" ref="D101"/>
    <hyperlink r:id="rId196" ref="A102"/>
    <hyperlink r:id="rId197" ref="D102"/>
    <hyperlink r:id="rId198" ref="A103"/>
    <hyperlink r:id="rId199" ref="D103"/>
    <hyperlink r:id="rId200" ref="A104"/>
    <hyperlink r:id="rId201" ref="A105"/>
    <hyperlink r:id="rId202" location="Magic_Shop_Boat" ref="D105"/>
    <hyperlink r:id="rId203" location="Help_Wanted_Quests" ref="D106"/>
    <hyperlink r:id="rId204" ref="A107"/>
    <hyperlink r:id="rId205" ref="D107"/>
    <hyperlink r:id="rId206" ref="A108"/>
    <hyperlink r:id="rId207" ref="D108"/>
    <hyperlink r:id="rId208" ref="A109"/>
    <hyperlink r:id="rId209" ref="D109"/>
    <hyperlink r:id="rId210" ref="A110"/>
    <hyperlink r:id="rId211" ref="D110"/>
    <hyperlink r:id="rId212" ref="A111"/>
    <hyperlink r:id="rId213" location="Hats" ref="D111"/>
    <hyperlink r:id="rId214" ref="A112"/>
    <hyperlink r:id="rId215" ref="A113"/>
    <hyperlink r:id="rId216" ref="D113"/>
    <hyperlink r:id="rId217" ref="A114"/>
    <hyperlink r:id="rId218" ref="D114"/>
    <hyperlink r:id="rId219" ref="A115"/>
    <hyperlink r:id="rId220" ref="D115"/>
    <hyperlink r:id="rId221" ref="A116"/>
    <hyperlink r:id="rId222" location="Calico_Egg_Merchant" ref="D116"/>
    <hyperlink r:id="rId223" ref="A117"/>
    <hyperlink r:id="rId224" ref="D117"/>
    <hyperlink r:id="rId225" ref="A118"/>
    <hyperlink r:id="rId226" location="Hats" ref="D118"/>
    <hyperlink r:id="rId227" ref="A119"/>
    <hyperlink r:id="rId228" location="Hats" ref="D119"/>
    <hyperlink r:id="rId229" ref="A120"/>
    <hyperlink r:id="rId230" ref="D120"/>
    <hyperlink r:id="rId231" ref="A121"/>
    <hyperlink r:id="rId232" location="Monster_Eradication_Goals" ref="D121"/>
    <hyperlink r:id="rId233" ref="A122"/>
    <hyperlink r:id="rId234" location="Villager_Shops" ref="D122"/>
    <hyperlink r:id="rId235" ref="A138"/>
    <hyperlink r:id="rId236" ref="D138"/>
    <hyperlink r:id="rId237" ref="E141"/>
    <hyperlink r:id="rId238" ref="E142"/>
    <hyperlink r:id="rId239" ref="E144"/>
    <hyperlink r:id="rId240" ref="E147"/>
    <hyperlink r:id="rId241" ref="E148"/>
    <hyperlink r:id="rId242" ref="E149"/>
    <hyperlink r:id="rId243" ref="E150"/>
    <hyperlink r:id="rId244" location="cite_note-softedgepullover-3" ref="D151"/>
    <hyperlink r:id="rId245" ref="E151"/>
    <hyperlink r:id="rId246" ref="E152"/>
    <hyperlink r:id="rId247" ref="E153"/>
    <hyperlink r:id="rId248" ref="E154"/>
    <hyperlink r:id="rId249" ref="E155"/>
    <hyperlink r:id="rId250" ref="E156"/>
    <hyperlink r:id="rId251" ref="E157"/>
    <hyperlink r:id="rId252" ref="E158"/>
    <hyperlink r:id="rId253" ref="E159"/>
    <hyperlink r:id="rId254" ref="E160"/>
    <hyperlink r:id="rId255" ref="E161"/>
    <hyperlink r:id="rId256" ref="E162"/>
    <hyperlink r:id="rId257" ref="E163"/>
    <hyperlink r:id="rId258" ref="E164"/>
    <hyperlink r:id="rId259" ref="E165"/>
    <hyperlink r:id="rId260" ref="E167"/>
    <hyperlink r:id="rId261" ref="E168"/>
    <hyperlink r:id="rId262" ref="E169"/>
    <hyperlink r:id="rId263" ref="E170"/>
    <hyperlink r:id="rId264" ref="E171"/>
    <hyperlink r:id="rId265" ref="E172"/>
    <hyperlink r:id="rId266" ref="E173"/>
    <hyperlink r:id="rId267" ref="E174"/>
    <hyperlink r:id="rId268" ref="E175"/>
    <hyperlink r:id="rId269" ref="E176"/>
    <hyperlink r:id="rId270" ref="E177"/>
    <hyperlink r:id="rId271" ref="E178"/>
    <hyperlink r:id="rId272" ref="E180"/>
    <hyperlink r:id="rId273" ref="E181"/>
    <hyperlink r:id="rId274" ref="E182"/>
    <hyperlink r:id="rId275" ref="D183"/>
    <hyperlink r:id="rId276" ref="E183"/>
    <hyperlink r:id="rId277" ref="D184"/>
    <hyperlink r:id="rId278" ref="E184"/>
    <hyperlink r:id="rId279" ref="E185"/>
    <hyperlink r:id="rId280" ref="E186"/>
    <hyperlink r:id="rId281" ref="E187"/>
    <hyperlink r:id="rId282" ref="E188"/>
    <hyperlink r:id="rId283" ref="E189"/>
    <hyperlink r:id="rId284" ref="E190"/>
    <hyperlink r:id="rId285" ref="E191"/>
    <hyperlink r:id="rId286" ref="E193"/>
    <hyperlink r:id="rId287" location="Medical_Supplies" ref="E194"/>
    <hyperlink r:id="rId288" ref="E195"/>
    <hyperlink r:id="rId289" ref="E196"/>
    <hyperlink r:id="rId290" ref="E198"/>
    <hyperlink r:id="rId291" ref="E199"/>
    <hyperlink r:id="rId292" ref="E200"/>
    <hyperlink r:id="rId293" ref="E201"/>
    <hyperlink r:id="rId294" ref="E202"/>
    <hyperlink r:id="rId295" ref="E204"/>
    <hyperlink r:id="rId296" ref="E205"/>
    <hyperlink r:id="rId297" ref="E206"/>
    <hyperlink r:id="rId298" ref="E208"/>
    <hyperlink r:id="rId299" ref="D209"/>
    <hyperlink r:id="rId300" ref="E209"/>
    <hyperlink r:id="rId301" ref="E210"/>
    <hyperlink r:id="rId302" ref="E211"/>
    <hyperlink r:id="rId303" ref="E212"/>
    <hyperlink r:id="rId304" ref="E213"/>
    <hyperlink r:id="rId305" ref="E214"/>
    <hyperlink r:id="rId306" ref="E215"/>
    <hyperlink r:id="rId307" ref="E216"/>
    <hyperlink r:id="rId308" ref="E218"/>
    <hyperlink r:id="rId309" ref="E219"/>
    <hyperlink r:id="rId310" ref="E220"/>
    <hyperlink r:id="rId311" ref="E221"/>
    <hyperlink r:id="rId312" ref="E222"/>
    <hyperlink r:id="rId313" ref="D223"/>
    <hyperlink r:id="rId314" ref="E224"/>
    <hyperlink r:id="rId315" ref="E225"/>
    <hyperlink r:id="rId316" ref="E226"/>
    <hyperlink r:id="rId317" ref="E227"/>
    <hyperlink r:id="rId318" ref="E228"/>
    <hyperlink r:id="rId319" ref="E229"/>
    <hyperlink r:id="rId320" ref="E230"/>
    <hyperlink r:id="rId321" ref="E231"/>
    <hyperlink r:id="rId322" ref="E232"/>
    <hyperlink r:id="rId323" ref="E233"/>
    <hyperlink r:id="rId324" ref="E234"/>
    <hyperlink r:id="rId325" ref="E235"/>
    <hyperlink r:id="rId326" ref="E236"/>
    <hyperlink r:id="rId327" location="Medical_Supplies" ref="E237"/>
    <hyperlink r:id="rId328" ref="E238"/>
    <hyperlink r:id="rId329" ref="E239"/>
    <hyperlink r:id="rId330" ref="E240"/>
    <hyperlink r:id="rId331" ref="E241"/>
    <hyperlink r:id="rId332" ref="E242"/>
    <hyperlink r:id="rId333" ref="E243"/>
    <hyperlink r:id="rId334" ref="E244"/>
    <hyperlink r:id="rId335" ref="E245"/>
    <hyperlink r:id="rId336" ref="E246"/>
    <hyperlink r:id="rId337" ref="E247"/>
    <hyperlink r:id="rId338" ref="E248"/>
    <hyperlink r:id="rId339" ref="E253"/>
    <hyperlink r:id="rId340" ref="E254"/>
    <hyperlink r:id="rId341" ref="E255"/>
    <hyperlink r:id="rId342" ref="E256"/>
    <hyperlink r:id="rId343" ref="E257"/>
    <hyperlink r:id="rId344" ref="E258"/>
    <hyperlink r:id="rId345" ref="E259"/>
    <hyperlink r:id="rId346" ref="E260"/>
    <hyperlink r:id="rId347" ref="E261"/>
    <hyperlink r:id="rId348" ref="E263"/>
    <hyperlink r:id="rId349" ref="E264"/>
    <hyperlink r:id="rId350" ref="E265"/>
    <hyperlink r:id="rId351" ref="E266"/>
    <hyperlink r:id="rId352" ref="E267"/>
    <hyperlink r:id="rId353" ref="E268"/>
    <hyperlink r:id="rId354" ref="E269"/>
    <hyperlink r:id="rId355" ref="E270"/>
    <hyperlink r:id="rId356" ref="E272"/>
    <hyperlink r:id="rId357" ref="E273"/>
    <hyperlink r:id="rId358" ref="E275"/>
    <hyperlink r:id="rId359" ref="E276"/>
    <hyperlink r:id="rId360" ref="E277"/>
    <hyperlink r:id="rId361" ref="E278"/>
    <hyperlink r:id="rId362" ref="E279"/>
    <hyperlink r:id="rId363" ref="E280"/>
    <hyperlink r:id="rId364" ref="E281"/>
    <hyperlink r:id="rId365" ref="E282"/>
    <hyperlink r:id="rId366" ref="E284"/>
    <hyperlink r:id="rId367" ref="E285"/>
    <hyperlink r:id="rId368" ref="E286"/>
    <hyperlink r:id="rId369" ref="E287"/>
    <hyperlink r:id="rId370" ref="E288"/>
    <hyperlink r:id="rId371" ref="E289"/>
    <hyperlink r:id="rId372" ref="E290"/>
    <hyperlink r:id="rId373" ref="E291"/>
    <hyperlink r:id="rId374" ref="D292"/>
    <hyperlink r:id="rId375" ref="E292"/>
    <hyperlink r:id="rId376" ref="D293"/>
    <hyperlink r:id="rId377" ref="E293"/>
    <hyperlink r:id="rId378" ref="E294"/>
    <hyperlink r:id="rId379" ref="E295"/>
    <hyperlink r:id="rId380" ref="E296"/>
    <hyperlink r:id="rId381" ref="E297"/>
    <hyperlink r:id="rId382" ref="E298"/>
    <hyperlink r:id="rId383" ref="E300"/>
    <hyperlink r:id="rId384" ref="E301"/>
    <hyperlink r:id="rId385" ref="E302"/>
    <hyperlink r:id="rId386" ref="E303"/>
    <hyperlink r:id="rId387" ref="E304"/>
    <hyperlink r:id="rId388" ref="E305"/>
    <hyperlink r:id="rId389" ref="E306"/>
    <hyperlink r:id="rId390" ref="E307"/>
    <hyperlink r:id="rId391" ref="E308"/>
    <hyperlink r:id="rId392" ref="E310"/>
    <hyperlink r:id="rId393" ref="E311"/>
    <hyperlink r:id="rId394" ref="E312"/>
    <hyperlink r:id="rId395" ref="E313"/>
    <hyperlink r:id="rId396" ref="E314"/>
    <hyperlink r:id="rId397" ref="E315"/>
    <hyperlink r:id="rId398" ref="E316"/>
    <hyperlink r:id="rId399" ref="E317"/>
    <hyperlink r:id="rId400" ref="E318"/>
    <hyperlink r:id="rId401" ref="E319"/>
    <hyperlink r:id="rId402" ref="E320"/>
    <hyperlink r:id="rId403" ref="E321"/>
    <hyperlink r:id="rId404" ref="E322"/>
    <hyperlink r:id="rId405" ref="E323"/>
    <hyperlink r:id="rId406" ref="E325"/>
    <hyperlink r:id="rId407" ref="E326"/>
    <hyperlink r:id="rId408" ref="E327"/>
    <hyperlink r:id="rId409" ref="E328"/>
    <hyperlink r:id="rId410" ref="E329"/>
    <hyperlink r:id="rId411" ref="E330"/>
    <hyperlink r:id="rId412" ref="E331"/>
    <hyperlink r:id="rId413" ref="E332"/>
    <hyperlink r:id="rId414" ref="E333"/>
    <hyperlink r:id="rId415" ref="E334"/>
    <hyperlink r:id="rId416" ref="E335"/>
    <hyperlink r:id="rId417" ref="D341"/>
    <hyperlink r:id="rId418" ref="D342"/>
    <hyperlink r:id="rId419" ref="D343"/>
    <hyperlink r:id="rId420" ref="D344"/>
    <hyperlink r:id="rId421" ref="D345"/>
    <hyperlink r:id="rId422" ref="D346"/>
    <hyperlink r:id="rId423" ref="D348"/>
    <hyperlink r:id="rId424" ref="D349"/>
    <hyperlink r:id="rId425" ref="D350"/>
    <hyperlink r:id="rId426" ref="D351"/>
    <hyperlink r:id="rId427" ref="D352"/>
    <hyperlink r:id="rId428" ref="D353"/>
    <hyperlink r:id="rId429" ref="D354"/>
    <hyperlink r:id="rId430" ref="D355"/>
  </hyperlinks>
  <drawing r:id="rId431"/>
  <legacyDrawing r:id="rId4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0.38"/>
    <col customWidth="1" min="3" max="3" width="20.38"/>
    <col customWidth="1" min="4" max="4" width="20.5"/>
    <col customWidth="1" min="5" max="5" width="22.0"/>
    <col customWidth="1" min="8" max="8" width="46.13"/>
    <col customWidth="1" min="9" max="9" width="26.63"/>
  </cols>
  <sheetData>
    <row r="1">
      <c r="A1" s="1" t="s">
        <v>0</v>
      </c>
      <c r="B1" s="2" t="s">
        <v>1</v>
      </c>
      <c r="C1" s="3"/>
      <c r="D1" s="4" t="s">
        <v>2</v>
      </c>
      <c r="E1" s="3"/>
      <c r="F1" s="4" t="s">
        <v>3</v>
      </c>
      <c r="G1" s="5"/>
      <c r="H1" s="3"/>
      <c r="I1" s="6" t="s">
        <v>4</v>
      </c>
      <c r="J1" s="7"/>
      <c r="K1" s="7"/>
      <c r="L1" s="7"/>
      <c r="M1" s="7"/>
      <c r="N1" s="7"/>
      <c r="O1" s="7"/>
    </row>
    <row r="2">
      <c r="A2" s="8" t="s">
        <v>5</v>
      </c>
      <c r="B2" s="9" t="s">
        <v>6</v>
      </c>
      <c r="C2" s="10"/>
      <c r="D2" s="11" t="s">
        <v>7</v>
      </c>
      <c r="E2" s="10"/>
      <c r="F2" s="12" t="s">
        <v>8</v>
      </c>
      <c r="G2" s="13"/>
      <c r="H2" s="10"/>
      <c r="I2" s="14"/>
      <c r="J2" s="7"/>
      <c r="K2" s="7"/>
      <c r="L2" s="7"/>
      <c r="M2" s="7"/>
      <c r="N2" s="7">
        <f t="shared" ref="N2:N131" si="1"> IF(ISBLANK(F2), 0, 1)</f>
        <v>1</v>
      </c>
      <c r="O2" s="7"/>
    </row>
    <row r="3" ht="16.5" customHeight="1">
      <c r="A3" s="8" t="s">
        <v>9</v>
      </c>
      <c r="B3" s="9" t="s">
        <v>10</v>
      </c>
      <c r="C3" s="10"/>
      <c r="D3" s="11" t="s">
        <v>11</v>
      </c>
      <c r="E3" s="10"/>
      <c r="F3" s="12" t="s">
        <v>13</v>
      </c>
      <c r="G3" s="13"/>
      <c r="H3" s="10"/>
      <c r="I3" s="14"/>
      <c r="J3" s="7"/>
      <c r="K3" s="7"/>
      <c r="L3" s="7"/>
      <c r="M3" s="7"/>
      <c r="N3" s="7">
        <f t="shared" si="1"/>
        <v>1</v>
      </c>
      <c r="O3" s="7"/>
    </row>
    <row r="4">
      <c r="A4" s="8" t="s">
        <v>14</v>
      </c>
      <c r="B4" s="9" t="s">
        <v>15</v>
      </c>
      <c r="C4" s="10"/>
      <c r="D4" s="15" t="s">
        <v>16</v>
      </c>
      <c r="E4" s="10"/>
      <c r="F4" s="16"/>
      <c r="G4" s="13"/>
      <c r="H4" s="10"/>
      <c r="I4" s="14"/>
      <c r="J4" s="7"/>
      <c r="K4" s="7"/>
      <c r="L4" s="7"/>
      <c r="M4" s="7"/>
      <c r="N4" s="7">
        <f t="shared" si="1"/>
        <v>0</v>
      </c>
      <c r="O4" s="7"/>
    </row>
    <row r="5">
      <c r="A5" s="8" t="s">
        <v>17</v>
      </c>
      <c r="B5" s="9" t="s">
        <v>18</v>
      </c>
      <c r="C5" s="10"/>
      <c r="D5" s="11" t="s">
        <v>7</v>
      </c>
      <c r="E5" s="10"/>
      <c r="F5" s="12" t="s">
        <v>19</v>
      </c>
      <c r="G5" s="13"/>
      <c r="H5" s="10"/>
      <c r="I5" s="17" t="s">
        <v>20</v>
      </c>
      <c r="J5" s="7"/>
      <c r="K5" s="7"/>
      <c r="L5" s="7"/>
      <c r="M5" s="7"/>
      <c r="N5" s="7">
        <f t="shared" si="1"/>
        <v>1</v>
      </c>
      <c r="O5" s="7"/>
    </row>
    <row r="6">
      <c r="A6" s="8" t="s">
        <v>21</v>
      </c>
      <c r="B6" s="9" t="s">
        <v>22</v>
      </c>
      <c r="C6" s="10"/>
      <c r="D6" s="18" t="s">
        <v>23</v>
      </c>
      <c r="E6" s="10"/>
      <c r="F6" s="12" t="s">
        <v>24</v>
      </c>
      <c r="G6" s="13"/>
      <c r="H6" s="10"/>
      <c r="I6" s="14"/>
      <c r="J6" s="7"/>
      <c r="K6" s="7"/>
      <c r="L6" s="7"/>
      <c r="M6" s="7"/>
      <c r="N6" s="7">
        <f t="shared" si="1"/>
        <v>1</v>
      </c>
      <c r="O6" s="7"/>
    </row>
    <row r="7">
      <c r="A7" s="8" t="s">
        <v>25</v>
      </c>
      <c r="B7" s="9" t="s">
        <v>26</v>
      </c>
      <c r="C7" s="10"/>
      <c r="D7" s="11" t="s">
        <v>7</v>
      </c>
      <c r="E7" s="10"/>
      <c r="F7" s="12" t="s">
        <v>27</v>
      </c>
      <c r="G7" s="13"/>
      <c r="H7" s="10"/>
      <c r="I7" s="14"/>
      <c r="J7" s="7"/>
      <c r="K7" s="7"/>
      <c r="L7" s="7"/>
      <c r="M7" s="7"/>
      <c r="N7" s="7">
        <f t="shared" si="1"/>
        <v>1</v>
      </c>
      <c r="O7" s="7"/>
    </row>
    <row r="8">
      <c r="A8" s="8" t="s">
        <v>28</v>
      </c>
      <c r="B8" s="9" t="s">
        <v>29</v>
      </c>
      <c r="C8" s="10"/>
      <c r="D8" s="11" t="s">
        <v>30</v>
      </c>
      <c r="E8" s="10"/>
      <c r="F8" s="12" t="s">
        <v>31</v>
      </c>
      <c r="G8" s="13"/>
      <c r="H8" s="10"/>
      <c r="I8" s="14"/>
      <c r="J8" s="7"/>
      <c r="K8" s="7"/>
      <c r="L8" s="7"/>
      <c r="M8" s="7"/>
      <c r="N8" s="7">
        <f t="shared" si="1"/>
        <v>1</v>
      </c>
      <c r="O8" s="7"/>
    </row>
    <row r="9">
      <c r="A9" s="8" t="s">
        <v>32</v>
      </c>
      <c r="B9" s="9" t="s">
        <v>33</v>
      </c>
      <c r="C9" s="10"/>
      <c r="D9" s="9" t="s">
        <v>34</v>
      </c>
      <c r="E9" s="10"/>
      <c r="F9" s="16"/>
      <c r="G9" s="13"/>
      <c r="H9" s="10"/>
      <c r="I9" s="14"/>
      <c r="J9" s="7"/>
      <c r="K9" s="7"/>
      <c r="L9" s="7"/>
      <c r="M9" s="7"/>
      <c r="N9" s="7">
        <f t="shared" si="1"/>
        <v>0</v>
      </c>
      <c r="O9" s="7"/>
    </row>
    <row r="10">
      <c r="A10" s="8" t="s">
        <v>35</v>
      </c>
      <c r="B10" s="15" t="s">
        <v>36</v>
      </c>
      <c r="C10" s="10"/>
      <c r="D10" s="19" t="s">
        <v>37</v>
      </c>
      <c r="E10" s="10"/>
      <c r="F10" s="12" t="s">
        <v>38</v>
      </c>
      <c r="G10" s="13"/>
      <c r="H10" s="10"/>
      <c r="I10" s="17" t="s">
        <v>39</v>
      </c>
      <c r="J10" s="7"/>
      <c r="K10" s="7"/>
      <c r="L10" s="7"/>
      <c r="M10" s="7"/>
      <c r="N10" s="7">
        <f t="shared" si="1"/>
        <v>1</v>
      </c>
      <c r="O10" s="7"/>
    </row>
    <row r="11">
      <c r="A11" s="8" t="s">
        <v>40</v>
      </c>
      <c r="B11" s="9" t="s">
        <v>42</v>
      </c>
      <c r="C11" s="10"/>
      <c r="D11" s="11" t="s">
        <v>7</v>
      </c>
      <c r="E11" s="10"/>
      <c r="F11" s="12" t="s">
        <v>43</v>
      </c>
      <c r="G11" s="13"/>
      <c r="H11" s="10"/>
      <c r="I11" s="14"/>
      <c r="J11" s="7"/>
      <c r="K11" s="7"/>
      <c r="L11" s="7"/>
      <c r="M11" s="7"/>
      <c r="N11" s="7">
        <f t="shared" si="1"/>
        <v>1</v>
      </c>
      <c r="O11" s="7"/>
    </row>
    <row r="12">
      <c r="A12" s="8" t="s">
        <v>44</v>
      </c>
      <c r="B12" s="9" t="s">
        <v>45</v>
      </c>
      <c r="C12" s="10"/>
      <c r="D12" s="19" t="s">
        <v>46</v>
      </c>
      <c r="E12" s="10"/>
      <c r="F12" s="12" t="s">
        <v>47</v>
      </c>
      <c r="G12" s="13"/>
      <c r="H12" s="10"/>
      <c r="I12" s="14"/>
      <c r="J12" s="7"/>
      <c r="K12" s="7"/>
      <c r="L12" s="7"/>
      <c r="M12" s="7"/>
      <c r="N12" s="7">
        <f t="shared" si="1"/>
        <v>1</v>
      </c>
      <c r="O12" s="7"/>
    </row>
    <row r="13">
      <c r="A13" s="8" t="s">
        <v>48</v>
      </c>
      <c r="B13" s="9" t="s">
        <v>49</v>
      </c>
      <c r="C13" s="10"/>
      <c r="D13" s="18" t="s">
        <v>50</v>
      </c>
      <c r="E13" s="10"/>
      <c r="F13" s="12" t="s">
        <v>51</v>
      </c>
      <c r="G13" s="13"/>
      <c r="H13" s="10"/>
      <c r="I13" s="17" t="s">
        <v>52</v>
      </c>
      <c r="J13" s="7"/>
      <c r="K13" s="7"/>
      <c r="L13" s="7"/>
      <c r="M13" s="7"/>
      <c r="N13" s="7">
        <f t="shared" si="1"/>
        <v>1</v>
      </c>
      <c r="O13" s="7"/>
    </row>
    <row r="14">
      <c r="A14" s="8" t="s">
        <v>53</v>
      </c>
      <c r="B14" s="15" t="s">
        <v>54</v>
      </c>
      <c r="C14" s="10"/>
      <c r="D14" s="19" t="s">
        <v>56</v>
      </c>
      <c r="E14" s="10"/>
      <c r="F14" s="12" t="s">
        <v>57</v>
      </c>
      <c r="G14" s="13"/>
      <c r="H14" s="10"/>
      <c r="I14" s="14"/>
      <c r="J14" s="7"/>
      <c r="K14" s="7"/>
      <c r="L14" s="7"/>
      <c r="M14" s="7"/>
      <c r="N14" s="7">
        <f t="shared" si="1"/>
        <v>1</v>
      </c>
      <c r="O14" s="7"/>
    </row>
    <row r="15">
      <c r="A15" s="8" t="s">
        <v>59</v>
      </c>
      <c r="B15" s="9" t="s">
        <v>60</v>
      </c>
      <c r="C15" s="10"/>
      <c r="D15" s="11" t="s">
        <v>7</v>
      </c>
      <c r="E15" s="10"/>
      <c r="F15" s="12" t="s">
        <v>61</v>
      </c>
      <c r="G15" s="13"/>
      <c r="H15" s="10"/>
      <c r="I15" s="14"/>
      <c r="J15" s="7"/>
      <c r="K15" s="7"/>
      <c r="L15" s="7"/>
      <c r="M15" s="7"/>
      <c r="N15" s="7">
        <f t="shared" si="1"/>
        <v>1</v>
      </c>
      <c r="O15" s="7"/>
    </row>
    <row r="16">
      <c r="A16" s="8" t="s">
        <v>63</v>
      </c>
      <c r="B16" s="9" t="s">
        <v>64</v>
      </c>
      <c r="C16" s="10"/>
      <c r="D16" s="11" t="s">
        <v>7</v>
      </c>
      <c r="E16" s="10"/>
      <c r="F16" s="12" t="s">
        <v>65</v>
      </c>
      <c r="G16" s="13"/>
      <c r="H16" s="10"/>
      <c r="I16" s="14"/>
      <c r="J16" s="7"/>
      <c r="K16" s="7"/>
      <c r="L16" s="7"/>
      <c r="M16" s="7"/>
      <c r="N16" s="7">
        <f t="shared" si="1"/>
        <v>1</v>
      </c>
      <c r="O16" s="7"/>
    </row>
    <row r="17">
      <c r="A17" s="8" t="s">
        <v>67</v>
      </c>
      <c r="B17" s="9" t="s">
        <v>68</v>
      </c>
      <c r="C17" s="10"/>
      <c r="D17" s="18" t="s">
        <v>70</v>
      </c>
      <c r="E17" s="10"/>
      <c r="F17" s="12" t="s">
        <v>72</v>
      </c>
      <c r="G17" s="13"/>
      <c r="H17" s="10"/>
      <c r="I17" s="14"/>
      <c r="J17" s="7"/>
      <c r="K17" s="7"/>
      <c r="L17" s="7"/>
      <c r="M17" s="7"/>
      <c r="N17" s="7">
        <f t="shared" si="1"/>
        <v>1</v>
      </c>
      <c r="O17" s="7"/>
    </row>
    <row r="18">
      <c r="A18" s="8" t="s">
        <v>73</v>
      </c>
      <c r="B18" s="9" t="s">
        <v>75</v>
      </c>
      <c r="C18" s="10"/>
      <c r="D18" s="18" t="s">
        <v>76</v>
      </c>
      <c r="E18" s="10"/>
      <c r="F18" s="12" t="s">
        <v>77</v>
      </c>
      <c r="G18" s="13"/>
      <c r="H18" s="10"/>
      <c r="I18" s="14"/>
      <c r="J18" s="7"/>
      <c r="K18" s="7"/>
      <c r="L18" s="7"/>
      <c r="M18" s="7"/>
      <c r="N18" s="7">
        <f t="shared" si="1"/>
        <v>1</v>
      </c>
      <c r="O18" s="7"/>
    </row>
    <row r="19">
      <c r="A19" s="20" t="s">
        <v>78</v>
      </c>
      <c r="B19" s="9" t="s">
        <v>79</v>
      </c>
      <c r="C19" s="10"/>
      <c r="D19" s="11" t="s">
        <v>7</v>
      </c>
      <c r="E19" s="10"/>
      <c r="F19" s="12" t="s">
        <v>80</v>
      </c>
      <c r="G19" s="13"/>
      <c r="H19" s="10"/>
      <c r="I19" s="17" t="s">
        <v>82</v>
      </c>
      <c r="J19" s="7"/>
      <c r="K19" s="7"/>
      <c r="L19" s="7"/>
      <c r="M19" s="7"/>
      <c r="N19" s="7">
        <f t="shared" si="1"/>
        <v>1</v>
      </c>
      <c r="O19" s="7"/>
    </row>
    <row r="20">
      <c r="A20" s="8" t="s">
        <v>83</v>
      </c>
      <c r="B20" s="15" t="s">
        <v>86</v>
      </c>
      <c r="C20" s="10"/>
      <c r="D20" s="19" t="s">
        <v>87</v>
      </c>
      <c r="E20" s="10"/>
      <c r="F20" s="12" t="s">
        <v>88</v>
      </c>
      <c r="G20" s="13"/>
      <c r="H20" s="10"/>
      <c r="I20" s="14"/>
      <c r="J20" s="7"/>
      <c r="K20" s="7"/>
      <c r="L20" s="7"/>
      <c r="M20" s="7"/>
      <c r="N20" s="7">
        <f t="shared" si="1"/>
        <v>1</v>
      </c>
      <c r="O20" s="7"/>
    </row>
    <row r="21">
      <c r="A21" s="8" t="s">
        <v>89</v>
      </c>
      <c r="B21" s="15" t="s">
        <v>90</v>
      </c>
      <c r="C21" s="10"/>
      <c r="D21" s="18" t="s">
        <v>91</v>
      </c>
      <c r="E21" s="10"/>
      <c r="F21" s="12" t="s">
        <v>92</v>
      </c>
      <c r="G21" s="13"/>
      <c r="H21" s="10"/>
      <c r="I21" s="14"/>
      <c r="J21" s="7"/>
      <c r="K21" s="7"/>
      <c r="L21" s="7"/>
      <c r="M21" s="7"/>
      <c r="N21" s="7">
        <f t="shared" si="1"/>
        <v>1</v>
      </c>
      <c r="O21" s="7"/>
    </row>
    <row r="22">
      <c r="A22" s="8" t="s">
        <v>93</v>
      </c>
      <c r="B22" s="9" t="s">
        <v>94</v>
      </c>
      <c r="C22" s="10"/>
      <c r="D22" s="11" t="s">
        <v>7</v>
      </c>
      <c r="E22" s="10"/>
      <c r="F22" s="16"/>
      <c r="G22" s="13"/>
      <c r="H22" s="10"/>
      <c r="I22" s="14"/>
      <c r="J22" s="7"/>
      <c r="K22" s="7"/>
      <c r="L22" s="7"/>
      <c r="M22" s="7"/>
      <c r="N22" s="7">
        <f t="shared" si="1"/>
        <v>0</v>
      </c>
      <c r="O22" s="7"/>
    </row>
    <row r="23">
      <c r="A23" s="8" t="s">
        <v>95</v>
      </c>
      <c r="B23" s="9" t="s">
        <v>96</v>
      </c>
      <c r="C23" s="10"/>
      <c r="D23" s="19" t="s">
        <v>98</v>
      </c>
      <c r="E23" s="10"/>
      <c r="F23" s="12" t="s">
        <v>99</v>
      </c>
      <c r="G23" s="13"/>
      <c r="H23" s="10"/>
      <c r="I23" s="14"/>
      <c r="J23" s="7"/>
      <c r="K23" s="7"/>
      <c r="L23" s="7"/>
      <c r="M23" s="7"/>
      <c r="N23" s="7">
        <f t="shared" si="1"/>
        <v>1</v>
      </c>
      <c r="O23" s="7"/>
    </row>
    <row r="24">
      <c r="A24" s="8" t="s">
        <v>100</v>
      </c>
      <c r="B24" s="15" t="s">
        <v>101</v>
      </c>
      <c r="C24" s="10"/>
      <c r="D24" s="19" t="s">
        <v>102</v>
      </c>
      <c r="E24" s="10"/>
      <c r="F24" s="12" t="s">
        <v>103</v>
      </c>
      <c r="G24" s="13"/>
      <c r="H24" s="10"/>
      <c r="I24" s="14"/>
      <c r="J24" s="7"/>
      <c r="K24" s="7"/>
      <c r="L24" s="7"/>
      <c r="M24" s="7"/>
      <c r="N24" s="7">
        <f t="shared" si="1"/>
        <v>1</v>
      </c>
      <c r="O24" s="7"/>
    </row>
    <row r="25">
      <c r="A25" s="8" t="s">
        <v>104</v>
      </c>
      <c r="B25" s="9" t="s">
        <v>105</v>
      </c>
      <c r="C25" s="10"/>
      <c r="D25" s="19" t="s">
        <v>106</v>
      </c>
      <c r="E25" s="10"/>
      <c r="F25" s="16"/>
      <c r="G25" s="13"/>
      <c r="H25" s="10"/>
      <c r="I25" s="14"/>
      <c r="J25" s="7"/>
      <c r="K25" s="7"/>
      <c r="L25" s="7"/>
      <c r="M25" s="7"/>
      <c r="N25" s="7">
        <f t="shared" si="1"/>
        <v>0</v>
      </c>
      <c r="O25" s="7"/>
    </row>
    <row r="26">
      <c r="A26" s="8" t="s">
        <v>107</v>
      </c>
      <c r="B26" s="15" t="s">
        <v>109</v>
      </c>
      <c r="C26" s="10"/>
      <c r="D26" s="9" t="s">
        <v>110</v>
      </c>
      <c r="E26" s="10"/>
      <c r="F26" s="12" t="s">
        <v>111</v>
      </c>
      <c r="G26" s="13"/>
      <c r="H26" s="10"/>
      <c r="I26" s="14"/>
      <c r="J26" s="7"/>
      <c r="K26" s="7"/>
      <c r="L26" s="7"/>
      <c r="M26" s="7"/>
      <c r="N26" s="7">
        <f t="shared" si="1"/>
        <v>1</v>
      </c>
      <c r="O26" s="7"/>
    </row>
    <row r="27">
      <c r="A27" s="8" t="s">
        <v>112</v>
      </c>
      <c r="B27" s="9" t="s">
        <v>113</v>
      </c>
      <c r="C27" s="10"/>
      <c r="D27" s="11" t="s">
        <v>114</v>
      </c>
      <c r="E27" s="10"/>
      <c r="F27" s="16"/>
      <c r="G27" s="13"/>
      <c r="H27" s="10"/>
      <c r="I27" s="14"/>
      <c r="J27" s="7"/>
      <c r="K27" s="7"/>
      <c r="L27" s="7"/>
      <c r="M27" s="7"/>
      <c r="N27" s="7">
        <f t="shared" si="1"/>
        <v>0</v>
      </c>
      <c r="O27" s="7"/>
    </row>
    <row r="28">
      <c r="A28" s="8" t="s">
        <v>115</v>
      </c>
      <c r="B28" s="9" t="s">
        <v>117</v>
      </c>
      <c r="C28" s="10"/>
      <c r="D28" s="21" t="s">
        <v>118</v>
      </c>
      <c r="E28" s="10"/>
      <c r="F28" s="12" t="s">
        <v>121</v>
      </c>
      <c r="G28" s="13"/>
      <c r="H28" s="10"/>
      <c r="I28" s="17" t="s">
        <v>122</v>
      </c>
      <c r="J28" s="7"/>
      <c r="K28" s="7"/>
      <c r="L28" s="7"/>
      <c r="M28" s="7"/>
      <c r="N28" s="7">
        <f t="shared" si="1"/>
        <v>1</v>
      </c>
      <c r="O28" s="7"/>
    </row>
    <row r="29">
      <c r="A29" s="20" t="s">
        <v>123</v>
      </c>
      <c r="B29" s="9" t="s">
        <v>124</v>
      </c>
      <c r="C29" s="10"/>
      <c r="D29" s="19" t="s">
        <v>125</v>
      </c>
      <c r="E29" s="10"/>
      <c r="F29" s="12" t="s">
        <v>126</v>
      </c>
      <c r="G29" s="13"/>
      <c r="H29" s="10"/>
      <c r="I29" s="17" t="s">
        <v>127</v>
      </c>
      <c r="J29" s="7"/>
      <c r="K29" s="7"/>
      <c r="L29" s="7"/>
      <c r="M29" s="7"/>
      <c r="N29" s="7">
        <f t="shared" si="1"/>
        <v>1</v>
      </c>
      <c r="O29" s="7"/>
    </row>
    <row r="30">
      <c r="A30" s="8" t="s">
        <v>128</v>
      </c>
      <c r="B30" s="9" t="s">
        <v>130</v>
      </c>
      <c r="C30" s="10"/>
      <c r="D30" s="18" t="s">
        <v>131</v>
      </c>
      <c r="E30" s="10"/>
      <c r="F30" s="12" t="s">
        <v>132</v>
      </c>
      <c r="G30" s="13"/>
      <c r="H30" s="10"/>
      <c r="I30" s="14"/>
      <c r="J30" s="7"/>
      <c r="K30" s="7"/>
      <c r="L30" s="7"/>
      <c r="M30" s="7"/>
      <c r="N30" s="7">
        <f t="shared" si="1"/>
        <v>1</v>
      </c>
      <c r="O30" s="7"/>
    </row>
    <row r="31">
      <c r="A31" s="8" t="s">
        <v>133</v>
      </c>
      <c r="B31" s="15" t="s">
        <v>134</v>
      </c>
      <c r="C31" s="10"/>
      <c r="D31" s="19" t="s">
        <v>136</v>
      </c>
      <c r="E31" s="10"/>
      <c r="F31" s="12"/>
      <c r="G31" s="13"/>
      <c r="H31" s="10"/>
      <c r="I31" s="14"/>
      <c r="J31" s="7"/>
      <c r="K31" s="7"/>
      <c r="L31" s="7"/>
      <c r="M31" s="7"/>
      <c r="N31" s="7">
        <f t="shared" si="1"/>
        <v>0</v>
      </c>
      <c r="O31" s="7"/>
    </row>
    <row r="32">
      <c r="A32" s="8" t="s">
        <v>139</v>
      </c>
      <c r="B32" s="9" t="s">
        <v>140</v>
      </c>
      <c r="C32" s="10"/>
      <c r="D32" s="11" t="s">
        <v>141</v>
      </c>
      <c r="E32" s="10"/>
      <c r="F32" s="12" t="s">
        <v>144</v>
      </c>
      <c r="G32" s="13"/>
      <c r="H32" s="10"/>
      <c r="I32" s="14"/>
      <c r="J32" s="7"/>
      <c r="K32" s="7"/>
      <c r="L32" s="7"/>
      <c r="M32" s="7"/>
      <c r="N32" s="7">
        <f t="shared" si="1"/>
        <v>1</v>
      </c>
      <c r="O32" s="7"/>
    </row>
    <row r="33">
      <c r="A33" s="8" t="s">
        <v>145</v>
      </c>
      <c r="B33" s="15" t="s">
        <v>147</v>
      </c>
      <c r="C33" s="10"/>
      <c r="D33" s="11" t="s">
        <v>7</v>
      </c>
      <c r="E33" s="10"/>
      <c r="F33" s="12" t="s">
        <v>148</v>
      </c>
      <c r="G33" s="13"/>
      <c r="H33" s="10"/>
      <c r="I33" s="14"/>
      <c r="J33" s="7"/>
      <c r="K33" s="7"/>
      <c r="L33" s="7"/>
      <c r="M33" s="7"/>
      <c r="N33" s="7">
        <f t="shared" si="1"/>
        <v>1</v>
      </c>
      <c r="O33" s="7"/>
    </row>
    <row r="34">
      <c r="A34" s="8" t="s">
        <v>150</v>
      </c>
      <c r="B34" s="9" t="s">
        <v>151</v>
      </c>
      <c r="C34" s="10"/>
      <c r="D34" s="18" t="s">
        <v>152</v>
      </c>
      <c r="E34" s="10"/>
      <c r="F34" s="12" t="s">
        <v>154</v>
      </c>
      <c r="G34" s="13"/>
      <c r="H34" s="10"/>
      <c r="I34" s="14"/>
      <c r="J34" s="7"/>
      <c r="K34" s="7"/>
      <c r="L34" s="7"/>
      <c r="M34" s="7"/>
      <c r="N34" s="7">
        <f t="shared" si="1"/>
        <v>1</v>
      </c>
      <c r="O34" s="7"/>
    </row>
    <row r="35">
      <c r="A35" s="8" t="s">
        <v>155</v>
      </c>
      <c r="B35" s="9" t="s">
        <v>156</v>
      </c>
      <c r="C35" s="10"/>
      <c r="D35" s="11" t="s">
        <v>7</v>
      </c>
      <c r="E35" s="10"/>
      <c r="F35" s="16"/>
      <c r="G35" s="13"/>
      <c r="H35" s="10"/>
      <c r="I35" s="14"/>
      <c r="J35" s="7"/>
      <c r="K35" s="7"/>
      <c r="L35" s="7"/>
      <c r="M35" s="7"/>
      <c r="N35" s="7">
        <f t="shared" si="1"/>
        <v>0</v>
      </c>
      <c r="O35" s="7"/>
    </row>
    <row r="36">
      <c r="A36" s="8" t="s">
        <v>157</v>
      </c>
      <c r="B36" s="15" t="s">
        <v>159</v>
      </c>
      <c r="C36" s="10"/>
      <c r="D36" s="11" t="s">
        <v>7</v>
      </c>
      <c r="E36" s="10"/>
      <c r="F36" s="12" t="s">
        <v>161</v>
      </c>
      <c r="G36" s="13"/>
      <c r="H36" s="10"/>
      <c r="I36" s="14"/>
      <c r="J36" s="7"/>
      <c r="K36" s="7"/>
      <c r="L36" s="7"/>
      <c r="M36" s="7"/>
      <c r="N36" s="7">
        <f t="shared" si="1"/>
        <v>1</v>
      </c>
      <c r="O36" s="7"/>
    </row>
    <row r="37">
      <c r="A37" s="8" t="s">
        <v>162</v>
      </c>
      <c r="B37" s="9" t="s">
        <v>163</v>
      </c>
      <c r="C37" s="10"/>
      <c r="D37" s="11" t="s">
        <v>7</v>
      </c>
      <c r="E37" s="10"/>
      <c r="F37" s="16"/>
      <c r="G37" s="13"/>
      <c r="H37" s="10"/>
      <c r="I37" s="14"/>
      <c r="J37" s="7"/>
      <c r="K37" s="7"/>
      <c r="L37" s="7"/>
      <c r="M37" s="22" t="s">
        <v>166</v>
      </c>
      <c r="N37" s="7">
        <f t="shared" si="1"/>
        <v>0</v>
      </c>
      <c r="O37" s="7"/>
    </row>
    <row r="38">
      <c r="A38" s="8" t="s">
        <v>169</v>
      </c>
      <c r="B38" s="9" t="s">
        <v>170</v>
      </c>
      <c r="C38" s="10"/>
      <c r="D38" s="18" t="s">
        <v>171</v>
      </c>
      <c r="E38" s="10"/>
      <c r="F38" s="12" t="s">
        <v>173</v>
      </c>
      <c r="G38" s="13"/>
      <c r="H38" s="10"/>
      <c r="I38" s="14"/>
      <c r="J38" s="7"/>
      <c r="K38" s="7"/>
      <c r="L38" s="7"/>
      <c r="M38" s="7"/>
      <c r="N38" s="7">
        <f t="shared" si="1"/>
        <v>1</v>
      </c>
      <c r="O38" s="7"/>
    </row>
    <row r="39">
      <c r="A39" s="8" t="s">
        <v>174</v>
      </c>
      <c r="B39" s="9" t="s">
        <v>175</v>
      </c>
      <c r="C39" s="10"/>
      <c r="D39" s="18" t="s">
        <v>176</v>
      </c>
      <c r="E39" s="10"/>
      <c r="F39" s="16"/>
      <c r="G39" s="13"/>
      <c r="H39" s="10"/>
      <c r="I39" s="14"/>
      <c r="J39" s="7"/>
      <c r="K39" s="7"/>
      <c r="L39" s="7"/>
      <c r="M39" s="7"/>
      <c r="N39" s="7">
        <f t="shared" si="1"/>
        <v>0</v>
      </c>
      <c r="O39" s="7"/>
    </row>
    <row r="40">
      <c r="A40" s="8" t="s">
        <v>178</v>
      </c>
      <c r="B40" s="9" t="s">
        <v>181</v>
      </c>
      <c r="C40" s="10"/>
      <c r="D40" s="11" t="s">
        <v>7</v>
      </c>
      <c r="E40" s="10"/>
      <c r="F40" s="12" t="s">
        <v>182</v>
      </c>
      <c r="G40" s="13"/>
      <c r="H40" s="10"/>
      <c r="I40" s="14"/>
      <c r="J40" s="7"/>
      <c r="K40" s="7"/>
      <c r="L40" s="7"/>
      <c r="M40" s="7"/>
      <c r="N40" s="7">
        <f t="shared" si="1"/>
        <v>1</v>
      </c>
      <c r="O40" s="7"/>
    </row>
    <row r="41">
      <c r="A41" s="8" t="s">
        <v>183</v>
      </c>
      <c r="B41" s="9" t="s">
        <v>184</v>
      </c>
      <c r="C41" s="10"/>
      <c r="D41" s="18" t="s">
        <v>185</v>
      </c>
      <c r="E41" s="10"/>
      <c r="F41" s="16"/>
      <c r="G41" s="13"/>
      <c r="H41" s="10"/>
      <c r="I41" s="14"/>
      <c r="J41" s="7"/>
      <c r="K41" s="7"/>
      <c r="L41" s="7"/>
      <c r="M41" s="7"/>
      <c r="N41" s="7">
        <f t="shared" si="1"/>
        <v>0</v>
      </c>
      <c r="O41" s="7"/>
    </row>
    <row r="42">
      <c r="A42" s="8" t="s">
        <v>186</v>
      </c>
      <c r="B42" s="9" t="s">
        <v>187</v>
      </c>
      <c r="C42" s="10"/>
      <c r="D42" s="11" t="s">
        <v>7</v>
      </c>
      <c r="E42" s="10"/>
      <c r="F42" s="12" t="s">
        <v>188</v>
      </c>
      <c r="G42" s="13"/>
      <c r="H42" s="10"/>
      <c r="I42" s="14"/>
      <c r="J42" s="7"/>
      <c r="K42" s="7"/>
      <c r="L42" s="7"/>
      <c r="M42" s="7"/>
      <c r="N42" s="7">
        <f t="shared" si="1"/>
        <v>1</v>
      </c>
      <c r="O42" s="7"/>
    </row>
    <row r="43">
      <c r="A43" s="8" t="s">
        <v>186</v>
      </c>
      <c r="B43" s="9" t="s">
        <v>189</v>
      </c>
      <c r="C43" s="10"/>
      <c r="D43" s="11" t="s">
        <v>7</v>
      </c>
      <c r="E43" s="10"/>
      <c r="F43" s="12"/>
      <c r="G43" s="13"/>
      <c r="H43" s="10"/>
      <c r="I43" s="14"/>
      <c r="J43" s="7"/>
      <c r="K43" s="7"/>
      <c r="L43" s="7"/>
      <c r="M43" s="7"/>
      <c r="N43" s="7">
        <f t="shared" si="1"/>
        <v>0</v>
      </c>
      <c r="O43" s="7"/>
    </row>
    <row r="44">
      <c r="A44" s="8" t="s">
        <v>186</v>
      </c>
      <c r="B44" s="9" t="s">
        <v>190</v>
      </c>
      <c r="C44" s="10"/>
      <c r="D44" s="11" t="s">
        <v>7</v>
      </c>
      <c r="E44" s="10"/>
      <c r="F44" s="12"/>
      <c r="G44" s="13"/>
      <c r="H44" s="10"/>
      <c r="I44" s="14"/>
      <c r="J44" s="7"/>
      <c r="K44" s="7"/>
      <c r="L44" s="7"/>
      <c r="M44" s="7"/>
      <c r="N44" s="7">
        <f t="shared" si="1"/>
        <v>0</v>
      </c>
      <c r="O44" s="7"/>
    </row>
    <row r="45">
      <c r="A45" s="8" t="s">
        <v>192</v>
      </c>
      <c r="B45" s="9" t="s">
        <v>193</v>
      </c>
      <c r="C45" s="10"/>
      <c r="D45" s="18" t="s">
        <v>194</v>
      </c>
      <c r="E45" s="10"/>
      <c r="F45" s="16"/>
      <c r="G45" s="13"/>
      <c r="H45" s="10"/>
      <c r="I45" s="14"/>
      <c r="J45" s="7"/>
      <c r="K45" s="7"/>
      <c r="L45" s="7"/>
      <c r="M45" s="7"/>
      <c r="N45" s="7">
        <f t="shared" si="1"/>
        <v>0</v>
      </c>
      <c r="O45" s="7"/>
    </row>
    <row r="46">
      <c r="A46" s="8" t="s">
        <v>195</v>
      </c>
      <c r="B46" s="9" t="s">
        <v>196</v>
      </c>
      <c r="C46" s="10"/>
      <c r="D46" s="23" t="s">
        <v>197</v>
      </c>
      <c r="E46" s="10"/>
      <c r="F46" s="16"/>
      <c r="G46" s="13"/>
      <c r="H46" s="10"/>
      <c r="I46" s="14"/>
      <c r="J46" s="7"/>
      <c r="K46" s="7"/>
      <c r="L46" s="7"/>
      <c r="M46" s="7"/>
      <c r="N46" s="7">
        <f t="shared" si="1"/>
        <v>0</v>
      </c>
      <c r="O46" s="7"/>
    </row>
    <row r="47">
      <c r="A47" s="8" t="s">
        <v>198</v>
      </c>
      <c r="B47" s="15" t="s">
        <v>199</v>
      </c>
      <c r="C47" s="10"/>
      <c r="D47" s="18" t="s">
        <v>200</v>
      </c>
      <c r="E47" s="10"/>
      <c r="F47" s="12" t="s">
        <v>201</v>
      </c>
      <c r="G47" s="13"/>
      <c r="H47" s="10"/>
      <c r="I47" s="14"/>
      <c r="J47" s="7"/>
      <c r="K47" s="7"/>
      <c r="L47" s="7"/>
      <c r="M47" s="7"/>
      <c r="N47" s="7">
        <f t="shared" si="1"/>
        <v>1</v>
      </c>
      <c r="O47" s="7"/>
    </row>
    <row r="48">
      <c r="A48" s="8" t="s">
        <v>203</v>
      </c>
      <c r="B48" s="15" t="s">
        <v>204</v>
      </c>
      <c r="C48" s="10"/>
      <c r="D48" s="18" t="s">
        <v>205</v>
      </c>
      <c r="E48" s="10"/>
      <c r="F48" s="12" t="s">
        <v>206</v>
      </c>
      <c r="G48" s="13"/>
      <c r="H48" s="10"/>
      <c r="I48" s="14"/>
      <c r="J48" s="7"/>
      <c r="K48" s="7"/>
      <c r="L48" s="7"/>
      <c r="M48" s="7"/>
      <c r="N48" s="7">
        <f t="shared" si="1"/>
        <v>1</v>
      </c>
      <c r="O48" s="7"/>
    </row>
    <row r="49">
      <c r="A49" s="8" t="s">
        <v>207</v>
      </c>
      <c r="B49" s="9" t="s">
        <v>208</v>
      </c>
      <c r="C49" s="10"/>
      <c r="D49" s="11" t="s">
        <v>209</v>
      </c>
      <c r="E49" s="10"/>
      <c r="F49" s="16"/>
      <c r="G49" s="13"/>
      <c r="H49" s="10"/>
      <c r="I49" s="17" t="s">
        <v>210</v>
      </c>
      <c r="J49" s="7"/>
      <c r="K49" s="7"/>
      <c r="L49" s="7"/>
      <c r="M49" s="7"/>
      <c r="N49" s="7">
        <f t="shared" si="1"/>
        <v>0</v>
      </c>
      <c r="O49" s="7"/>
    </row>
    <row r="50">
      <c r="A50" s="8" t="s">
        <v>211</v>
      </c>
      <c r="B50" s="9" t="s">
        <v>212</v>
      </c>
      <c r="C50" s="10"/>
      <c r="D50" s="19" t="s">
        <v>214</v>
      </c>
      <c r="E50" s="10"/>
      <c r="F50" s="12" t="s">
        <v>215</v>
      </c>
      <c r="G50" s="13"/>
      <c r="H50" s="10"/>
      <c r="I50" s="14"/>
      <c r="J50" s="7"/>
      <c r="K50" s="7"/>
      <c r="L50" s="7"/>
      <c r="M50" s="7"/>
      <c r="N50" s="7">
        <f t="shared" si="1"/>
        <v>1</v>
      </c>
      <c r="O50" s="7"/>
    </row>
    <row r="51">
      <c r="A51" s="8" t="s">
        <v>216</v>
      </c>
      <c r="B51" s="9" t="s">
        <v>217</v>
      </c>
      <c r="C51" s="10"/>
      <c r="D51" s="19" t="s">
        <v>218</v>
      </c>
      <c r="E51" s="10"/>
      <c r="F51" s="12" t="s">
        <v>219</v>
      </c>
      <c r="G51" s="13"/>
      <c r="H51" s="10"/>
      <c r="I51" s="14"/>
      <c r="J51" s="7"/>
      <c r="K51" s="7"/>
      <c r="L51" s="7"/>
      <c r="M51" s="7"/>
      <c r="N51" s="7">
        <f t="shared" si="1"/>
        <v>1</v>
      </c>
      <c r="O51" s="7"/>
    </row>
    <row r="52">
      <c r="A52" s="8" t="s">
        <v>220</v>
      </c>
      <c r="B52" s="9" t="s">
        <v>221</v>
      </c>
      <c r="C52" s="10"/>
      <c r="D52" s="18" t="s">
        <v>222</v>
      </c>
      <c r="E52" s="10"/>
      <c r="F52" s="16"/>
      <c r="G52" s="13"/>
      <c r="H52" s="10"/>
      <c r="I52" s="14"/>
      <c r="J52" s="7"/>
      <c r="K52" s="7"/>
      <c r="L52" s="7"/>
      <c r="M52" s="7"/>
      <c r="N52" s="7">
        <f t="shared" si="1"/>
        <v>0</v>
      </c>
      <c r="O52" s="7"/>
    </row>
    <row r="53">
      <c r="A53" s="8" t="s">
        <v>224</v>
      </c>
      <c r="B53" s="9" t="s">
        <v>225</v>
      </c>
      <c r="C53" s="10"/>
      <c r="D53" s="18" t="s">
        <v>226</v>
      </c>
      <c r="E53" s="10"/>
      <c r="F53" s="12" t="s">
        <v>227</v>
      </c>
      <c r="G53" s="13"/>
      <c r="H53" s="10"/>
      <c r="I53" s="14"/>
      <c r="J53" s="7"/>
      <c r="K53" s="7"/>
      <c r="L53" s="7"/>
      <c r="M53" s="7"/>
      <c r="N53" s="7">
        <f t="shared" si="1"/>
        <v>1</v>
      </c>
      <c r="O53" s="7"/>
    </row>
    <row r="54">
      <c r="A54" s="8" t="s">
        <v>228</v>
      </c>
      <c r="B54" s="9" t="s">
        <v>229</v>
      </c>
      <c r="C54" s="10"/>
      <c r="D54" s="11" t="s">
        <v>230</v>
      </c>
      <c r="E54" s="10"/>
      <c r="F54" s="12" t="s">
        <v>231</v>
      </c>
      <c r="G54" s="13"/>
      <c r="H54" s="10"/>
      <c r="I54" s="17"/>
      <c r="J54" s="7"/>
      <c r="K54" s="7"/>
      <c r="L54" s="7"/>
      <c r="M54" s="7"/>
      <c r="N54" s="7">
        <f t="shared" si="1"/>
        <v>1</v>
      </c>
      <c r="O54" s="7"/>
    </row>
    <row r="55">
      <c r="A55" s="8" t="s">
        <v>232</v>
      </c>
      <c r="B55" s="9" t="s">
        <v>229</v>
      </c>
      <c r="C55" s="10"/>
      <c r="D55" s="11" t="s">
        <v>233</v>
      </c>
      <c r="E55" s="10"/>
      <c r="F55" s="12" t="s">
        <v>234</v>
      </c>
      <c r="G55" s="13"/>
      <c r="H55" s="10"/>
      <c r="I55" s="17" t="s">
        <v>235</v>
      </c>
      <c r="J55" s="7"/>
      <c r="K55" s="7"/>
      <c r="L55" s="7"/>
      <c r="M55" s="7"/>
      <c r="N55" s="7">
        <f t="shared" si="1"/>
        <v>1</v>
      </c>
      <c r="O55" s="7"/>
    </row>
    <row r="56">
      <c r="A56" s="8" t="s">
        <v>236</v>
      </c>
      <c r="B56" s="9" t="s">
        <v>237</v>
      </c>
      <c r="C56" s="10"/>
      <c r="D56" s="9" t="s">
        <v>238</v>
      </c>
      <c r="E56" s="10"/>
      <c r="F56" s="12" t="s">
        <v>239</v>
      </c>
      <c r="G56" s="13"/>
      <c r="H56" s="10"/>
      <c r="I56" s="14"/>
      <c r="J56" s="7"/>
      <c r="K56" s="7"/>
      <c r="L56" s="7"/>
      <c r="M56" s="7"/>
      <c r="N56" s="7">
        <f t="shared" si="1"/>
        <v>1</v>
      </c>
      <c r="O56" s="7"/>
    </row>
    <row r="57">
      <c r="A57" s="8" t="s">
        <v>240</v>
      </c>
      <c r="B57" s="9" t="s">
        <v>241</v>
      </c>
      <c r="C57" s="10"/>
      <c r="D57" s="11" t="s">
        <v>7</v>
      </c>
      <c r="E57" s="10"/>
      <c r="F57" s="16"/>
      <c r="G57" s="13"/>
      <c r="H57" s="10"/>
      <c r="I57" s="14"/>
      <c r="J57" s="7"/>
      <c r="K57" s="7"/>
      <c r="L57" s="7"/>
      <c r="M57" s="7"/>
      <c r="N57" s="7">
        <f t="shared" si="1"/>
        <v>0</v>
      </c>
      <c r="O57" s="7"/>
    </row>
    <row r="58" ht="15.75" customHeight="1">
      <c r="A58" s="8" t="s">
        <v>242</v>
      </c>
      <c r="B58" s="9" t="s">
        <v>244</v>
      </c>
      <c r="C58" s="10"/>
      <c r="D58" s="19" t="s">
        <v>245</v>
      </c>
      <c r="E58" s="10"/>
      <c r="F58" s="12" t="s">
        <v>246</v>
      </c>
      <c r="G58" s="13"/>
      <c r="H58" s="10"/>
      <c r="I58" s="17" t="s">
        <v>247</v>
      </c>
      <c r="J58" s="7"/>
      <c r="K58" s="7"/>
      <c r="L58" s="7"/>
      <c r="M58" s="7"/>
      <c r="N58" s="7">
        <f t="shared" si="1"/>
        <v>1</v>
      </c>
      <c r="O58" s="7"/>
    </row>
    <row r="59">
      <c r="A59" s="8" t="s">
        <v>248</v>
      </c>
      <c r="B59" s="9" t="s">
        <v>250</v>
      </c>
      <c r="C59" s="10"/>
      <c r="D59" s="19" t="s">
        <v>252</v>
      </c>
      <c r="E59" s="10"/>
      <c r="F59" s="12" t="s">
        <v>253</v>
      </c>
      <c r="G59" s="13"/>
      <c r="H59" s="10"/>
      <c r="I59" s="17" t="s">
        <v>254</v>
      </c>
      <c r="J59" s="7"/>
      <c r="K59" s="7"/>
      <c r="L59" s="7"/>
      <c r="M59" s="7"/>
      <c r="N59" s="7">
        <f t="shared" si="1"/>
        <v>1</v>
      </c>
      <c r="O59" s="7"/>
    </row>
    <row r="60">
      <c r="A60" s="8" t="s">
        <v>255</v>
      </c>
      <c r="B60" s="9" t="s">
        <v>256</v>
      </c>
      <c r="C60" s="10"/>
      <c r="D60" s="18" t="s">
        <v>257</v>
      </c>
      <c r="E60" s="10"/>
      <c r="F60" s="12" t="s">
        <v>258</v>
      </c>
      <c r="G60" s="13"/>
      <c r="H60" s="10"/>
      <c r="I60" s="17" t="s">
        <v>260</v>
      </c>
      <c r="J60" s="7"/>
      <c r="K60" s="7"/>
      <c r="L60" s="7"/>
      <c r="M60" s="7"/>
      <c r="N60" s="7">
        <f t="shared" si="1"/>
        <v>1</v>
      </c>
      <c r="O60" s="7"/>
    </row>
    <row r="61">
      <c r="A61" s="8" t="s">
        <v>261</v>
      </c>
      <c r="B61" s="9" t="s">
        <v>262</v>
      </c>
      <c r="C61" s="10"/>
      <c r="D61" s="21" t="s">
        <v>263</v>
      </c>
      <c r="E61" s="10"/>
      <c r="F61" s="12" t="s">
        <v>265</v>
      </c>
      <c r="G61" s="13"/>
      <c r="H61" s="10"/>
      <c r="I61" s="14"/>
      <c r="J61" s="7"/>
      <c r="K61" s="7"/>
      <c r="L61" s="7"/>
      <c r="M61" s="7"/>
      <c r="N61" s="7">
        <f t="shared" si="1"/>
        <v>1</v>
      </c>
      <c r="O61" s="7"/>
    </row>
    <row r="62">
      <c r="A62" s="8" t="s">
        <v>266</v>
      </c>
      <c r="B62" s="9" t="s">
        <v>269</v>
      </c>
      <c r="C62" s="10"/>
      <c r="D62" s="18" t="s">
        <v>270</v>
      </c>
      <c r="E62" s="10"/>
      <c r="F62" s="12" t="s">
        <v>271</v>
      </c>
      <c r="G62" s="13"/>
      <c r="H62" s="10"/>
      <c r="I62" s="14"/>
      <c r="J62" s="7"/>
      <c r="K62" s="7"/>
      <c r="L62" s="7"/>
      <c r="M62" s="7"/>
      <c r="N62" s="7">
        <f t="shared" si="1"/>
        <v>1</v>
      </c>
      <c r="O62" s="7"/>
    </row>
    <row r="63">
      <c r="A63" s="8" t="s">
        <v>272</v>
      </c>
      <c r="B63" s="9" t="s">
        <v>274</v>
      </c>
      <c r="C63" s="10"/>
      <c r="D63" s="18" t="s">
        <v>257</v>
      </c>
      <c r="E63" s="10"/>
      <c r="F63" s="12" t="s">
        <v>275</v>
      </c>
      <c r="G63" s="13"/>
      <c r="H63" s="10"/>
      <c r="I63" s="14"/>
      <c r="J63" s="7"/>
      <c r="K63" s="7"/>
      <c r="L63" s="7"/>
      <c r="M63" s="7"/>
      <c r="N63" s="7">
        <f t="shared" si="1"/>
        <v>1</v>
      </c>
      <c r="O63" s="7"/>
    </row>
    <row r="64">
      <c r="A64" s="8" t="s">
        <v>276</v>
      </c>
      <c r="B64" s="9" t="s">
        <v>277</v>
      </c>
      <c r="C64" s="10"/>
      <c r="D64" s="18" t="s">
        <v>278</v>
      </c>
      <c r="E64" s="10"/>
      <c r="F64" s="12" t="s">
        <v>279</v>
      </c>
      <c r="G64" s="13"/>
      <c r="H64" s="10"/>
      <c r="I64" s="17" t="s">
        <v>280</v>
      </c>
      <c r="J64" s="7"/>
      <c r="K64" s="7"/>
      <c r="L64" s="7"/>
      <c r="M64" s="7"/>
      <c r="N64" s="7">
        <f t="shared" si="1"/>
        <v>1</v>
      </c>
      <c r="O64" s="7"/>
    </row>
    <row r="65">
      <c r="A65" s="8" t="s">
        <v>281</v>
      </c>
      <c r="B65" s="9" t="s">
        <v>282</v>
      </c>
      <c r="C65" s="10"/>
      <c r="D65" s="18" t="s">
        <v>283</v>
      </c>
      <c r="E65" s="10"/>
      <c r="F65" s="12" t="s">
        <v>284</v>
      </c>
      <c r="G65" s="13"/>
      <c r="H65" s="10"/>
      <c r="I65" s="14"/>
      <c r="J65" s="7"/>
      <c r="K65" s="7"/>
      <c r="L65" s="7"/>
      <c r="M65" s="7"/>
      <c r="N65" s="7">
        <f t="shared" si="1"/>
        <v>1</v>
      </c>
      <c r="O65" s="7"/>
    </row>
    <row r="66">
      <c r="A66" s="8" t="s">
        <v>285</v>
      </c>
      <c r="B66" s="9" t="s">
        <v>287</v>
      </c>
      <c r="C66" s="10"/>
      <c r="D66" s="18" t="s">
        <v>288</v>
      </c>
      <c r="E66" s="10"/>
      <c r="F66" s="12" t="s">
        <v>289</v>
      </c>
      <c r="G66" s="13"/>
      <c r="H66" s="10"/>
      <c r="I66" s="17" t="s">
        <v>290</v>
      </c>
      <c r="J66" s="7"/>
      <c r="K66" s="7"/>
      <c r="L66" s="7"/>
      <c r="M66" s="7"/>
      <c r="N66" s="7">
        <f t="shared" si="1"/>
        <v>1</v>
      </c>
      <c r="O66" s="7"/>
    </row>
    <row r="67">
      <c r="A67" s="8" t="s">
        <v>291</v>
      </c>
      <c r="B67" s="9" t="s">
        <v>293</v>
      </c>
      <c r="C67" s="10"/>
      <c r="D67" s="9" t="s">
        <v>294</v>
      </c>
      <c r="E67" s="10"/>
      <c r="F67" s="12" t="s">
        <v>295</v>
      </c>
      <c r="G67" s="13"/>
      <c r="H67" s="10"/>
      <c r="I67" s="14"/>
      <c r="J67" s="7"/>
      <c r="K67" s="7"/>
      <c r="L67" s="7"/>
      <c r="M67" s="7"/>
      <c r="N67" s="7">
        <f t="shared" si="1"/>
        <v>1</v>
      </c>
      <c r="O67" s="7"/>
    </row>
    <row r="68">
      <c r="A68" s="8" t="s">
        <v>296</v>
      </c>
      <c r="B68" s="9" t="s">
        <v>298</v>
      </c>
      <c r="C68" s="10"/>
      <c r="D68" s="11" t="s">
        <v>299</v>
      </c>
      <c r="E68" s="10"/>
      <c r="F68" s="12" t="s">
        <v>300</v>
      </c>
      <c r="G68" s="13"/>
      <c r="H68" s="10"/>
      <c r="I68" s="14"/>
      <c r="J68" s="7"/>
      <c r="K68" s="7"/>
      <c r="L68" s="7"/>
      <c r="M68" s="7"/>
      <c r="N68" s="7">
        <f t="shared" si="1"/>
        <v>1</v>
      </c>
      <c r="O68" s="7"/>
    </row>
    <row r="69">
      <c r="A69" s="8" t="s">
        <v>301</v>
      </c>
      <c r="B69" s="15" t="s">
        <v>302</v>
      </c>
      <c r="C69" s="10"/>
      <c r="D69" s="11" t="s">
        <v>7</v>
      </c>
      <c r="E69" s="10"/>
      <c r="F69" s="12" t="s">
        <v>305</v>
      </c>
      <c r="G69" s="13"/>
      <c r="H69" s="10"/>
      <c r="I69" s="14"/>
      <c r="J69" s="7"/>
      <c r="K69" s="7"/>
      <c r="L69" s="7"/>
      <c r="M69" s="7"/>
      <c r="N69" s="7">
        <f t="shared" si="1"/>
        <v>1</v>
      </c>
      <c r="O69" s="7"/>
    </row>
    <row r="70">
      <c r="A70" s="8" t="s">
        <v>306</v>
      </c>
      <c r="B70" s="9" t="s">
        <v>307</v>
      </c>
      <c r="C70" s="10"/>
      <c r="D70" s="21" t="s">
        <v>308</v>
      </c>
      <c r="E70" s="10"/>
      <c r="F70" s="12" t="s">
        <v>309</v>
      </c>
      <c r="G70" s="13"/>
      <c r="H70" s="10"/>
      <c r="I70" s="14"/>
      <c r="J70" s="7"/>
      <c r="K70" s="7"/>
      <c r="L70" s="7"/>
      <c r="M70" s="7"/>
      <c r="N70" s="7">
        <f t="shared" si="1"/>
        <v>1</v>
      </c>
      <c r="O70" s="7"/>
    </row>
    <row r="71">
      <c r="A71" s="8" t="s">
        <v>310</v>
      </c>
      <c r="B71" s="9" t="s">
        <v>312</v>
      </c>
      <c r="C71" s="10"/>
      <c r="D71" s="11" t="s">
        <v>313</v>
      </c>
      <c r="E71" s="10"/>
      <c r="F71" s="12" t="s">
        <v>315</v>
      </c>
      <c r="G71" s="13"/>
      <c r="H71" s="10"/>
      <c r="I71" s="14"/>
      <c r="J71" s="7"/>
      <c r="K71" s="7"/>
      <c r="L71" s="7"/>
      <c r="M71" s="7"/>
      <c r="N71" s="7">
        <f t="shared" si="1"/>
        <v>1</v>
      </c>
      <c r="O71" s="7"/>
    </row>
    <row r="72">
      <c r="A72" s="8" t="s">
        <v>316</v>
      </c>
      <c r="B72" s="9" t="s">
        <v>317</v>
      </c>
      <c r="C72" s="10"/>
      <c r="D72" s="9" t="s">
        <v>318</v>
      </c>
      <c r="E72" s="10"/>
      <c r="F72" s="16"/>
      <c r="G72" s="13"/>
      <c r="H72" s="10"/>
      <c r="I72" s="14"/>
      <c r="J72" s="7"/>
      <c r="K72" s="7"/>
      <c r="L72" s="7"/>
      <c r="M72" s="7"/>
      <c r="N72" s="7">
        <f t="shared" si="1"/>
        <v>0</v>
      </c>
      <c r="O72" s="7"/>
    </row>
    <row r="73">
      <c r="A73" s="24" t="s">
        <v>319</v>
      </c>
      <c r="B73" s="15" t="s">
        <v>322</v>
      </c>
      <c r="C73" s="10"/>
      <c r="D73" s="11" t="s">
        <v>7</v>
      </c>
      <c r="E73" s="10"/>
      <c r="F73" s="12" t="s">
        <v>323</v>
      </c>
      <c r="G73" s="13"/>
      <c r="H73" s="10"/>
      <c r="I73" s="17" t="s">
        <v>324</v>
      </c>
      <c r="J73" s="7"/>
      <c r="K73" s="7"/>
      <c r="L73" s="7"/>
      <c r="M73" s="7"/>
      <c r="N73" s="7">
        <f t="shared" si="1"/>
        <v>1</v>
      </c>
      <c r="O73" s="7"/>
    </row>
    <row r="74">
      <c r="A74" s="8" t="s">
        <v>325</v>
      </c>
      <c r="B74" s="15" t="s">
        <v>326</v>
      </c>
      <c r="C74" s="10"/>
      <c r="D74" s="11" t="s">
        <v>327</v>
      </c>
      <c r="E74" s="10"/>
      <c r="F74" s="12" t="s">
        <v>328</v>
      </c>
      <c r="G74" s="13"/>
      <c r="H74" s="10"/>
      <c r="I74" s="14"/>
      <c r="J74" s="7"/>
      <c r="K74" s="7"/>
      <c r="L74" s="7"/>
      <c r="M74" s="7"/>
      <c r="N74" s="7">
        <f t="shared" si="1"/>
        <v>1</v>
      </c>
      <c r="O74" s="7"/>
    </row>
    <row r="75">
      <c r="A75" s="8" t="s">
        <v>329</v>
      </c>
      <c r="B75" s="9" t="s">
        <v>331</v>
      </c>
      <c r="C75" s="10"/>
      <c r="D75" s="18" t="s">
        <v>332</v>
      </c>
      <c r="E75" s="10"/>
      <c r="F75" s="12" t="s">
        <v>333</v>
      </c>
      <c r="G75" s="13"/>
      <c r="H75" s="10"/>
      <c r="I75" s="14"/>
      <c r="J75" s="7"/>
      <c r="K75" s="7"/>
      <c r="L75" s="7"/>
      <c r="M75" s="7"/>
      <c r="N75" s="7">
        <f t="shared" si="1"/>
        <v>1</v>
      </c>
      <c r="O75" s="7"/>
    </row>
    <row r="76">
      <c r="A76" s="8" t="s">
        <v>334</v>
      </c>
      <c r="B76" s="9" t="s">
        <v>335</v>
      </c>
      <c r="C76" s="10"/>
      <c r="D76" s="11" t="s">
        <v>7</v>
      </c>
      <c r="E76" s="10"/>
      <c r="F76" s="12"/>
      <c r="G76" s="13"/>
      <c r="H76" s="10"/>
      <c r="I76" s="14"/>
      <c r="J76" s="7"/>
      <c r="K76" s="7"/>
      <c r="L76" s="7"/>
      <c r="M76" s="7"/>
      <c r="N76" s="7">
        <f t="shared" si="1"/>
        <v>0</v>
      </c>
      <c r="O76" s="7"/>
    </row>
    <row r="77">
      <c r="A77" s="8" t="s">
        <v>336</v>
      </c>
      <c r="B77" s="9" t="s">
        <v>337</v>
      </c>
      <c r="C77" s="10"/>
      <c r="D77" s="11" t="s">
        <v>338</v>
      </c>
      <c r="E77" s="10"/>
      <c r="F77" s="12" t="s">
        <v>339</v>
      </c>
      <c r="G77" s="13"/>
      <c r="H77" s="10"/>
      <c r="I77" s="14"/>
      <c r="J77" s="7"/>
      <c r="K77" s="7"/>
      <c r="L77" s="7"/>
      <c r="M77" s="7"/>
      <c r="N77" s="7">
        <f t="shared" si="1"/>
        <v>1</v>
      </c>
      <c r="O77" s="7"/>
    </row>
    <row r="78">
      <c r="A78" s="8" t="s">
        <v>340</v>
      </c>
      <c r="B78" s="9" t="s">
        <v>341</v>
      </c>
      <c r="C78" s="10"/>
      <c r="D78" s="11" t="s">
        <v>342</v>
      </c>
      <c r="E78" s="10"/>
      <c r="F78" s="12" t="s">
        <v>343</v>
      </c>
      <c r="G78" s="13"/>
      <c r="H78" s="10"/>
      <c r="I78" s="17" t="s">
        <v>344</v>
      </c>
      <c r="J78" s="7"/>
      <c r="K78" s="7"/>
      <c r="L78" s="7"/>
      <c r="M78" s="7"/>
      <c r="N78" s="7">
        <f t="shared" si="1"/>
        <v>1</v>
      </c>
      <c r="O78" s="7"/>
    </row>
    <row r="79">
      <c r="A79" s="8" t="s">
        <v>345</v>
      </c>
      <c r="B79" s="9" t="s">
        <v>347</v>
      </c>
      <c r="C79" s="10"/>
      <c r="D79" s="19" t="s">
        <v>348</v>
      </c>
      <c r="E79" s="10"/>
      <c r="F79" s="12" t="s">
        <v>349</v>
      </c>
      <c r="G79" s="13"/>
      <c r="H79" s="10"/>
      <c r="I79" s="17" t="s">
        <v>351</v>
      </c>
      <c r="J79" s="7"/>
      <c r="K79" s="7"/>
      <c r="L79" s="7"/>
      <c r="M79" s="7"/>
      <c r="N79" s="7">
        <f t="shared" si="1"/>
        <v>1</v>
      </c>
      <c r="O79" s="7"/>
    </row>
    <row r="80">
      <c r="A80" s="8" t="s">
        <v>352</v>
      </c>
      <c r="B80" s="9" t="s">
        <v>353</v>
      </c>
      <c r="C80" s="10"/>
      <c r="D80" s="18" t="s">
        <v>354</v>
      </c>
      <c r="E80" s="10"/>
      <c r="F80" s="12" t="s">
        <v>355</v>
      </c>
      <c r="G80" s="13"/>
      <c r="H80" s="10"/>
      <c r="I80" s="17" t="s">
        <v>356</v>
      </c>
      <c r="J80" s="7"/>
      <c r="K80" s="7"/>
      <c r="L80" s="7"/>
      <c r="M80" s="7"/>
      <c r="N80" s="7">
        <f t="shared" si="1"/>
        <v>1</v>
      </c>
      <c r="O80" s="7"/>
    </row>
    <row r="81">
      <c r="A81" s="8" t="s">
        <v>357</v>
      </c>
      <c r="B81" s="9" t="s">
        <v>358</v>
      </c>
      <c r="C81" s="10"/>
      <c r="D81" s="11" t="s">
        <v>359</v>
      </c>
      <c r="E81" s="10"/>
      <c r="F81" s="12" t="s">
        <v>360</v>
      </c>
      <c r="G81" s="13"/>
      <c r="H81" s="10"/>
      <c r="I81" s="14"/>
      <c r="J81" s="7"/>
      <c r="K81" s="7"/>
      <c r="L81" s="7"/>
      <c r="M81" s="7"/>
      <c r="N81" s="7">
        <f t="shared" si="1"/>
        <v>1</v>
      </c>
      <c r="O81" s="7"/>
    </row>
    <row r="82">
      <c r="A82" s="8" t="s">
        <v>361</v>
      </c>
      <c r="B82" s="9" t="s">
        <v>362</v>
      </c>
      <c r="C82" s="10"/>
      <c r="D82" s="11" t="s">
        <v>7</v>
      </c>
      <c r="E82" s="10"/>
      <c r="F82" s="12" t="s">
        <v>363</v>
      </c>
      <c r="G82" s="13"/>
      <c r="H82" s="10"/>
      <c r="I82" s="14"/>
      <c r="J82" s="7"/>
      <c r="K82" s="7"/>
      <c r="L82" s="7"/>
      <c r="M82" s="7"/>
      <c r="N82" s="7">
        <f t="shared" si="1"/>
        <v>1</v>
      </c>
      <c r="O82" s="7"/>
    </row>
    <row r="83">
      <c r="A83" s="8" t="s">
        <v>364</v>
      </c>
      <c r="B83" s="9" t="s">
        <v>366</v>
      </c>
      <c r="C83" s="10"/>
      <c r="D83" s="11" t="s">
        <v>7</v>
      </c>
      <c r="E83" s="10"/>
      <c r="F83" s="12" t="s">
        <v>367</v>
      </c>
      <c r="G83" s="13"/>
      <c r="H83" s="10"/>
      <c r="I83" s="14"/>
      <c r="J83" s="7"/>
      <c r="K83" s="7"/>
      <c r="L83" s="7"/>
      <c r="M83" s="7"/>
      <c r="N83" s="7">
        <f t="shared" si="1"/>
        <v>1</v>
      </c>
      <c r="O83" s="7"/>
    </row>
    <row r="84">
      <c r="A84" s="8" t="s">
        <v>368</v>
      </c>
      <c r="B84" s="9" t="s">
        <v>370</v>
      </c>
      <c r="C84" s="10"/>
      <c r="D84" s="11" t="s">
        <v>7</v>
      </c>
      <c r="E84" s="10"/>
      <c r="F84" s="16"/>
      <c r="G84" s="13"/>
      <c r="H84" s="10"/>
      <c r="I84" s="14"/>
      <c r="J84" s="7"/>
      <c r="K84" s="7"/>
      <c r="L84" s="7"/>
      <c r="M84" s="7"/>
      <c r="N84" s="7">
        <f t="shared" si="1"/>
        <v>0</v>
      </c>
      <c r="O84" s="7"/>
    </row>
    <row r="85">
      <c r="A85" s="8" t="s">
        <v>371</v>
      </c>
      <c r="B85" s="9" t="s">
        <v>372</v>
      </c>
      <c r="C85" s="10"/>
      <c r="D85" s="11" t="s">
        <v>7</v>
      </c>
      <c r="E85" s="10"/>
      <c r="F85" s="12" t="s">
        <v>373</v>
      </c>
      <c r="G85" s="13"/>
      <c r="H85" s="10"/>
      <c r="I85" s="17" t="s">
        <v>374</v>
      </c>
      <c r="J85" s="7"/>
      <c r="K85" s="7"/>
      <c r="L85" s="7"/>
      <c r="M85" s="7"/>
      <c r="N85" s="7">
        <f t="shared" si="1"/>
        <v>1</v>
      </c>
      <c r="O85" s="7"/>
    </row>
    <row r="86">
      <c r="A86" s="8" t="s">
        <v>375</v>
      </c>
      <c r="B86" s="9" t="s">
        <v>376</v>
      </c>
      <c r="C86" s="10"/>
      <c r="D86" s="18" t="s">
        <v>377</v>
      </c>
      <c r="E86" s="10"/>
      <c r="F86" s="16"/>
      <c r="G86" s="13"/>
      <c r="H86" s="10"/>
      <c r="I86" s="14"/>
      <c r="J86" s="7"/>
      <c r="K86" s="7"/>
      <c r="L86" s="7"/>
      <c r="M86" s="7"/>
      <c r="N86" s="7">
        <f t="shared" si="1"/>
        <v>0</v>
      </c>
      <c r="O86" s="7"/>
    </row>
    <row r="87">
      <c r="A87" s="8" t="s">
        <v>379</v>
      </c>
      <c r="B87" s="9" t="s">
        <v>381</v>
      </c>
      <c r="C87" s="10"/>
      <c r="D87" s="11" t="s">
        <v>7</v>
      </c>
      <c r="E87" s="10"/>
      <c r="F87" s="16"/>
      <c r="G87" s="13"/>
      <c r="H87" s="10"/>
      <c r="I87" s="14"/>
      <c r="J87" s="7"/>
      <c r="K87" s="7"/>
      <c r="L87" s="7"/>
      <c r="M87" s="7"/>
      <c r="N87" s="7">
        <f t="shared" si="1"/>
        <v>0</v>
      </c>
      <c r="O87" s="7"/>
    </row>
    <row r="88">
      <c r="A88" s="8" t="s">
        <v>382</v>
      </c>
      <c r="B88" s="9" t="s">
        <v>383</v>
      </c>
      <c r="C88" s="10"/>
      <c r="D88" s="18" t="s">
        <v>385</v>
      </c>
      <c r="E88" s="10"/>
      <c r="F88" s="12" t="s">
        <v>386</v>
      </c>
      <c r="G88" s="13"/>
      <c r="H88" s="10"/>
      <c r="I88" s="17"/>
      <c r="J88" s="7"/>
      <c r="K88" s="7"/>
      <c r="L88" s="7"/>
      <c r="M88" s="7"/>
      <c r="N88" s="7">
        <f t="shared" si="1"/>
        <v>1</v>
      </c>
      <c r="O88" s="7"/>
    </row>
    <row r="89">
      <c r="A89" s="24" t="s">
        <v>387</v>
      </c>
      <c r="B89" s="9" t="s">
        <v>388</v>
      </c>
      <c r="C89" s="10"/>
      <c r="D89" s="18" t="s">
        <v>389</v>
      </c>
      <c r="E89" s="10"/>
      <c r="F89" s="12" t="s">
        <v>390</v>
      </c>
      <c r="G89" s="13"/>
      <c r="H89" s="10"/>
      <c r="I89" s="17" t="s">
        <v>391</v>
      </c>
      <c r="J89" s="7"/>
      <c r="K89" s="7"/>
      <c r="L89" s="7"/>
      <c r="M89" s="7"/>
      <c r="N89" s="7">
        <f t="shared" si="1"/>
        <v>1</v>
      </c>
      <c r="O89" s="7"/>
    </row>
    <row r="90">
      <c r="A90" s="8" t="s">
        <v>392</v>
      </c>
      <c r="B90" s="9" t="s">
        <v>393</v>
      </c>
      <c r="C90" s="10"/>
      <c r="D90" s="18" t="s">
        <v>394</v>
      </c>
      <c r="E90" s="10"/>
      <c r="F90" s="12" t="s">
        <v>395</v>
      </c>
      <c r="G90" s="13"/>
      <c r="H90" s="10"/>
      <c r="I90" s="14"/>
      <c r="J90" s="7"/>
      <c r="K90" s="7"/>
      <c r="L90" s="7"/>
      <c r="M90" s="7"/>
      <c r="N90" s="7">
        <f t="shared" si="1"/>
        <v>1</v>
      </c>
      <c r="O90" s="7"/>
    </row>
    <row r="91">
      <c r="A91" s="8" t="s">
        <v>396</v>
      </c>
      <c r="B91" s="9" t="s">
        <v>397</v>
      </c>
      <c r="C91" s="10"/>
      <c r="D91" s="19" t="s">
        <v>398</v>
      </c>
      <c r="E91" s="10"/>
      <c r="F91" s="12" t="s">
        <v>399</v>
      </c>
      <c r="G91" s="13"/>
      <c r="H91" s="10"/>
      <c r="I91" s="14"/>
      <c r="J91" s="7"/>
      <c r="K91" s="7"/>
      <c r="L91" s="7"/>
      <c r="M91" s="7"/>
      <c r="N91" s="7">
        <f t="shared" si="1"/>
        <v>1</v>
      </c>
      <c r="O91" s="7"/>
    </row>
    <row r="92">
      <c r="A92" s="8" t="s">
        <v>400</v>
      </c>
      <c r="B92" s="9" t="s">
        <v>401</v>
      </c>
      <c r="C92" s="10"/>
      <c r="D92" s="11" t="s">
        <v>7</v>
      </c>
      <c r="E92" s="10"/>
      <c r="F92" s="12" t="s">
        <v>402</v>
      </c>
      <c r="G92" s="13"/>
      <c r="H92" s="10"/>
      <c r="I92" s="17" t="s">
        <v>403</v>
      </c>
      <c r="J92" s="7"/>
      <c r="K92" s="7"/>
      <c r="L92" s="7"/>
      <c r="M92" s="7"/>
      <c r="N92" s="7">
        <f t="shared" si="1"/>
        <v>1</v>
      </c>
      <c r="O92" s="7"/>
    </row>
    <row r="93">
      <c r="A93" s="8" t="s">
        <v>404</v>
      </c>
      <c r="B93" s="9" t="s">
        <v>405</v>
      </c>
      <c r="C93" s="10"/>
      <c r="D93" s="11" t="s">
        <v>406</v>
      </c>
      <c r="E93" s="10"/>
      <c r="F93" s="12" t="s">
        <v>407</v>
      </c>
      <c r="G93" s="13"/>
      <c r="H93" s="10"/>
      <c r="I93" s="14"/>
      <c r="J93" s="7"/>
      <c r="K93" s="7"/>
      <c r="L93" s="7"/>
      <c r="M93" s="7"/>
      <c r="N93" s="7">
        <f t="shared" si="1"/>
        <v>1</v>
      </c>
      <c r="O93" s="7"/>
    </row>
    <row r="94">
      <c r="A94" s="8" t="s">
        <v>408</v>
      </c>
      <c r="B94" s="9" t="s">
        <v>410</v>
      </c>
      <c r="C94" s="10"/>
      <c r="D94" s="11" t="s">
        <v>411</v>
      </c>
      <c r="E94" s="10"/>
      <c r="F94" s="12" t="s">
        <v>144</v>
      </c>
      <c r="G94" s="13"/>
      <c r="H94" s="10"/>
      <c r="I94" s="14"/>
      <c r="J94" s="7"/>
      <c r="K94" s="7"/>
      <c r="L94" s="7"/>
      <c r="M94" s="7"/>
      <c r="N94" s="7">
        <f t="shared" si="1"/>
        <v>1</v>
      </c>
      <c r="O94" s="7"/>
    </row>
    <row r="95">
      <c r="A95" s="8" t="s">
        <v>412</v>
      </c>
      <c r="B95" s="9" t="s">
        <v>413</v>
      </c>
      <c r="C95" s="10"/>
      <c r="D95" s="18" t="s">
        <v>414</v>
      </c>
      <c r="E95" s="10"/>
      <c r="F95" s="16"/>
      <c r="G95" s="13"/>
      <c r="H95" s="10"/>
      <c r="I95" s="14"/>
      <c r="J95" s="7"/>
      <c r="K95" s="7"/>
      <c r="L95" s="7"/>
      <c r="M95" s="7"/>
      <c r="N95" s="7">
        <f t="shared" si="1"/>
        <v>0</v>
      </c>
      <c r="O95" s="7"/>
    </row>
    <row r="96">
      <c r="A96" s="8" t="s">
        <v>415</v>
      </c>
      <c r="B96" s="9" t="s">
        <v>417</v>
      </c>
      <c r="C96" s="10"/>
      <c r="D96" s="18" t="s">
        <v>418</v>
      </c>
      <c r="E96" s="10"/>
      <c r="F96" s="12" t="s">
        <v>419</v>
      </c>
      <c r="G96" s="13"/>
      <c r="H96" s="10"/>
      <c r="I96" s="17" t="s">
        <v>420</v>
      </c>
      <c r="J96" s="7"/>
      <c r="K96" s="7"/>
      <c r="L96" s="7"/>
      <c r="M96" s="7"/>
      <c r="N96" s="7">
        <f t="shared" si="1"/>
        <v>1</v>
      </c>
      <c r="O96" s="7"/>
    </row>
    <row r="97">
      <c r="A97" s="8" t="s">
        <v>421</v>
      </c>
      <c r="B97" s="9" t="s">
        <v>422</v>
      </c>
      <c r="C97" s="10"/>
      <c r="D97" s="11" t="s">
        <v>141</v>
      </c>
      <c r="E97" s="10"/>
      <c r="F97" s="12" t="s">
        <v>144</v>
      </c>
      <c r="G97" s="13"/>
      <c r="H97" s="10"/>
      <c r="I97" s="14"/>
      <c r="J97" s="7"/>
      <c r="K97" s="7"/>
      <c r="L97" s="7"/>
      <c r="M97" s="7"/>
      <c r="N97" s="7">
        <f t="shared" si="1"/>
        <v>1</v>
      </c>
      <c r="O97" s="7"/>
    </row>
    <row r="98">
      <c r="A98" s="8" t="s">
        <v>423</v>
      </c>
      <c r="B98" s="9" t="s">
        <v>424</v>
      </c>
      <c r="C98" s="10"/>
      <c r="D98" s="18" t="s">
        <v>257</v>
      </c>
      <c r="E98" s="10"/>
      <c r="F98" s="12" t="s">
        <v>425</v>
      </c>
      <c r="G98" s="13"/>
      <c r="H98" s="10"/>
      <c r="I98" s="17" t="s">
        <v>427</v>
      </c>
      <c r="J98" s="7"/>
      <c r="K98" s="7"/>
      <c r="L98" s="7"/>
      <c r="M98" s="7"/>
      <c r="N98" s="7">
        <f t="shared" si="1"/>
        <v>1</v>
      </c>
      <c r="O98" s="7"/>
    </row>
    <row r="99">
      <c r="A99" s="8" t="s">
        <v>429</v>
      </c>
      <c r="B99" s="9" t="s">
        <v>430</v>
      </c>
      <c r="C99" s="10"/>
      <c r="D99" s="11" t="s">
        <v>431</v>
      </c>
      <c r="E99" s="10"/>
      <c r="F99" s="16"/>
      <c r="G99" s="13"/>
      <c r="H99" s="10"/>
      <c r="I99" s="14"/>
      <c r="J99" s="7"/>
      <c r="K99" s="7"/>
      <c r="L99" s="7"/>
      <c r="M99" s="7"/>
      <c r="N99" s="7">
        <f t="shared" si="1"/>
        <v>0</v>
      </c>
      <c r="O99" s="7"/>
    </row>
    <row r="100">
      <c r="A100" s="8" t="s">
        <v>432</v>
      </c>
      <c r="B100" s="9" t="s">
        <v>433</v>
      </c>
      <c r="C100" s="10"/>
      <c r="D100" s="11" t="s">
        <v>434</v>
      </c>
      <c r="E100" s="10"/>
      <c r="F100" s="12" t="s">
        <v>435</v>
      </c>
      <c r="G100" s="13"/>
      <c r="H100" s="10"/>
      <c r="I100" s="14"/>
      <c r="J100" s="7"/>
      <c r="K100" s="7"/>
      <c r="L100" s="7"/>
      <c r="M100" s="7"/>
      <c r="N100" s="7">
        <f t="shared" si="1"/>
        <v>1</v>
      </c>
      <c r="O100" s="7"/>
    </row>
    <row r="101">
      <c r="A101" s="8" t="s">
        <v>436</v>
      </c>
      <c r="B101" s="9" t="s">
        <v>437</v>
      </c>
      <c r="C101" s="10"/>
      <c r="D101" s="11" t="s">
        <v>438</v>
      </c>
      <c r="E101" s="10"/>
      <c r="F101" s="12" t="s">
        <v>144</v>
      </c>
      <c r="G101" s="13"/>
      <c r="H101" s="10"/>
      <c r="I101" s="17" t="s">
        <v>439</v>
      </c>
      <c r="J101" s="7"/>
      <c r="K101" s="7"/>
      <c r="L101" s="7"/>
      <c r="M101" s="7"/>
      <c r="N101" s="7">
        <f t="shared" si="1"/>
        <v>1</v>
      </c>
      <c r="O101" s="7"/>
    </row>
    <row r="102">
      <c r="A102" s="8" t="s">
        <v>440</v>
      </c>
      <c r="B102" s="9" t="s">
        <v>442</v>
      </c>
      <c r="C102" s="10"/>
      <c r="D102" s="18" t="s">
        <v>443</v>
      </c>
      <c r="E102" s="10"/>
      <c r="F102" s="12" t="s">
        <v>444</v>
      </c>
      <c r="G102" s="13"/>
      <c r="H102" s="10"/>
      <c r="I102" s="17" t="s">
        <v>445</v>
      </c>
      <c r="J102" s="7"/>
      <c r="K102" s="7"/>
      <c r="L102" s="7"/>
      <c r="M102" s="7"/>
      <c r="N102" s="7">
        <f t="shared" si="1"/>
        <v>1</v>
      </c>
      <c r="O102" s="7"/>
    </row>
    <row r="103">
      <c r="A103" s="8" t="s">
        <v>446</v>
      </c>
      <c r="B103" s="9" t="s">
        <v>447</v>
      </c>
      <c r="C103" s="10"/>
      <c r="D103" s="18" t="s">
        <v>448</v>
      </c>
      <c r="E103" s="10"/>
      <c r="F103" s="12" t="s">
        <v>77</v>
      </c>
      <c r="G103" s="13"/>
      <c r="H103" s="10"/>
      <c r="I103" s="14"/>
      <c r="J103" s="7"/>
      <c r="K103" s="7"/>
      <c r="L103" s="7"/>
      <c r="M103" s="7"/>
      <c r="N103" s="7">
        <f t="shared" si="1"/>
        <v>1</v>
      </c>
      <c r="O103" s="7"/>
    </row>
    <row r="104">
      <c r="A104" s="8" t="s">
        <v>449</v>
      </c>
      <c r="B104" s="9" t="s">
        <v>451</v>
      </c>
      <c r="C104" s="10"/>
      <c r="D104" s="9" t="s">
        <v>452</v>
      </c>
      <c r="E104" s="10"/>
      <c r="F104" s="16"/>
      <c r="G104" s="13"/>
      <c r="H104" s="10"/>
      <c r="I104" s="14"/>
      <c r="J104" s="7"/>
      <c r="K104" s="7"/>
      <c r="L104" s="7"/>
      <c r="M104" s="7"/>
      <c r="N104" s="7">
        <f t="shared" si="1"/>
        <v>0</v>
      </c>
      <c r="O104" s="7"/>
    </row>
    <row r="105">
      <c r="A105" s="8" t="s">
        <v>453</v>
      </c>
      <c r="B105" s="9" t="s">
        <v>454</v>
      </c>
      <c r="C105" s="10"/>
      <c r="D105" s="19" t="s">
        <v>455</v>
      </c>
      <c r="E105" s="10"/>
      <c r="F105" s="12" t="s">
        <v>456</v>
      </c>
      <c r="G105" s="13"/>
      <c r="H105" s="10"/>
      <c r="I105" s="14"/>
      <c r="J105" s="7"/>
      <c r="K105" s="7"/>
      <c r="L105" s="7"/>
      <c r="M105" s="7"/>
      <c r="N105" s="7">
        <f t="shared" si="1"/>
        <v>1</v>
      </c>
      <c r="O105" s="7"/>
    </row>
    <row r="106">
      <c r="A106" s="20" t="s">
        <v>457</v>
      </c>
      <c r="B106" s="9" t="s">
        <v>458</v>
      </c>
      <c r="C106" s="10"/>
      <c r="D106" s="18" t="s">
        <v>459</v>
      </c>
      <c r="E106" s="10"/>
      <c r="F106" s="12" t="s">
        <v>460</v>
      </c>
      <c r="G106" s="13"/>
      <c r="H106" s="10"/>
      <c r="I106" s="17" t="s">
        <v>461</v>
      </c>
      <c r="J106" s="7"/>
      <c r="K106" s="7"/>
      <c r="L106" s="7"/>
      <c r="M106" s="7"/>
      <c r="N106" s="7">
        <f t="shared" si="1"/>
        <v>1</v>
      </c>
      <c r="O106" s="7"/>
    </row>
    <row r="107">
      <c r="A107" s="8" t="s">
        <v>462</v>
      </c>
      <c r="B107" s="9" t="s">
        <v>463</v>
      </c>
      <c r="C107" s="10"/>
      <c r="D107" s="18" t="s">
        <v>464</v>
      </c>
      <c r="E107" s="10"/>
      <c r="F107" s="12" t="s">
        <v>465</v>
      </c>
      <c r="G107" s="13"/>
      <c r="H107" s="10"/>
      <c r="I107" s="17" t="s">
        <v>466</v>
      </c>
      <c r="J107" s="7"/>
      <c r="K107" s="7"/>
      <c r="L107" s="7"/>
      <c r="M107" s="7"/>
      <c r="N107" s="7">
        <f t="shared" si="1"/>
        <v>1</v>
      </c>
      <c r="O107" s="7"/>
    </row>
    <row r="108">
      <c r="A108" s="8" t="s">
        <v>467</v>
      </c>
      <c r="B108" s="9" t="s">
        <v>468</v>
      </c>
      <c r="C108" s="10"/>
      <c r="D108" s="19" t="s">
        <v>469</v>
      </c>
      <c r="E108" s="10"/>
      <c r="F108" s="12" t="s">
        <v>470</v>
      </c>
      <c r="G108" s="13"/>
      <c r="H108" s="10"/>
      <c r="I108" s="14"/>
      <c r="J108" s="7"/>
      <c r="K108" s="7"/>
      <c r="L108" s="7"/>
      <c r="M108" s="7"/>
      <c r="N108" s="7">
        <f t="shared" si="1"/>
        <v>1</v>
      </c>
      <c r="O108" s="7"/>
    </row>
    <row r="109">
      <c r="A109" s="8" t="s">
        <v>471</v>
      </c>
      <c r="B109" s="9" t="s">
        <v>472</v>
      </c>
      <c r="C109" s="10"/>
      <c r="D109" s="18" t="s">
        <v>473</v>
      </c>
      <c r="E109" s="10"/>
      <c r="F109" s="12" t="s">
        <v>474</v>
      </c>
      <c r="G109" s="13"/>
      <c r="H109" s="10"/>
      <c r="I109" s="14"/>
      <c r="J109" s="7"/>
      <c r="K109" s="7"/>
      <c r="L109" s="7"/>
      <c r="M109" s="7"/>
      <c r="N109" s="7">
        <f t="shared" si="1"/>
        <v>1</v>
      </c>
      <c r="O109" s="7"/>
    </row>
    <row r="110">
      <c r="A110" s="8" t="s">
        <v>476</v>
      </c>
      <c r="B110" s="9" t="s">
        <v>478</v>
      </c>
      <c r="C110" s="10"/>
      <c r="D110" s="19" t="s">
        <v>479</v>
      </c>
      <c r="E110" s="10"/>
      <c r="F110" s="12" t="s">
        <v>480</v>
      </c>
      <c r="G110" s="13"/>
      <c r="H110" s="10"/>
      <c r="I110" s="14"/>
      <c r="J110" s="7"/>
      <c r="K110" s="7"/>
      <c r="L110" s="7"/>
      <c r="M110" s="7"/>
      <c r="N110" s="7">
        <f t="shared" si="1"/>
        <v>1</v>
      </c>
      <c r="O110" s="7"/>
    </row>
    <row r="111">
      <c r="A111" s="8" t="s">
        <v>482</v>
      </c>
      <c r="B111" s="9" t="s">
        <v>483</v>
      </c>
      <c r="C111" s="10"/>
      <c r="D111" s="11" t="s">
        <v>7</v>
      </c>
      <c r="E111" s="10"/>
      <c r="F111" s="12" t="s">
        <v>484</v>
      </c>
      <c r="G111" s="13"/>
      <c r="H111" s="10"/>
      <c r="I111" s="14"/>
      <c r="J111" s="7"/>
      <c r="K111" s="7"/>
      <c r="L111" s="7"/>
      <c r="M111" s="7"/>
      <c r="N111" s="7">
        <f t="shared" si="1"/>
        <v>1</v>
      </c>
      <c r="O111" s="7"/>
    </row>
    <row r="112">
      <c r="A112" s="8" t="s">
        <v>485</v>
      </c>
      <c r="B112" s="9" t="s">
        <v>487</v>
      </c>
      <c r="C112" s="10"/>
      <c r="D112" s="9" t="s">
        <v>488</v>
      </c>
      <c r="E112" s="10"/>
      <c r="F112" s="16"/>
      <c r="G112" s="13"/>
      <c r="H112" s="10"/>
      <c r="I112" s="14"/>
      <c r="J112" s="7"/>
      <c r="K112" s="7"/>
      <c r="L112" s="7"/>
      <c r="M112" s="7"/>
      <c r="N112" s="7">
        <f t="shared" si="1"/>
        <v>0</v>
      </c>
      <c r="O112" s="7"/>
    </row>
    <row r="113">
      <c r="A113" s="8" t="s">
        <v>489</v>
      </c>
      <c r="B113" s="15" t="s">
        <v>490</v>
      </c>
      <c r="C113" s="10"/>
      <c r="D113" s="11" t="s">
        <v>491</v>
      </c>
      <c r="E113" s="10"/>
      <c r="F113" s="12" t="s">
        <v>493</v>
      </c>
      <c r="G113" s="13"/>
      <c r="H113" s="10"/>
      <c r="I113" s="14"/>
      <c r="J113" s="7"/>
      <c r="K113" s="7"/>
      <c r="L113" s="7"/>
      <c r="M113" s="7"/>
      <c r="N113" s="7">
        <f t="shared" si="1"/>
        <v>1</v>
      </c>
      <c r="O113" s="7"/>
    </row>
    <row r="114">
      <c r="A114" s="8" t="s">
        <v>494</v>
      </c>
      <c r="B114" s="9" t="s">
        <v>495</v>
      </c>
      <c r="C114" s="10"/>
      <c r="D114" s="18" t="s">
        <v>496</v>
      </c>
      <c r="E114" s="10"/>
      <c r="F114" s="16"/>
      <c r="G114" s="13"/>
      <c r="H114" s="10"/>
      <c r="I114" s="14"/>
      <c r="J114" s="7"/>
      <c r="K114" s="7"/>
      <c r="L114" s="7"/>
      <c r="M114" s="7"/>
      <c r="N114" s="7">
        <f t="shared" si="1"/>
        <v>0</v>
      </c>
      <c r="O114" s="7"/>
    </row>
    <row r="115">
      <c r="A115" s="8" t="s">
        <v>497</v>
      </c>
      <c r="B115" s="9" t="s">
        <v>498</v>
      </c>
      <c r="C115" s="10"/>
      <c r="D115" s="11" t="s">
        <v>141</v>
      </c>
      <c r="E115" s="10"/>
      <c r="F115" s="12" t="s">
        <v>144</v>
      </c>
      <c r="G115" s="13"/>
      <c r="H115" s="10"/>
      <c r="I115" s="14"/>
      <c r="J115" s="7"/>
      <c r="K115" s="7"/>
      <c r="L115" s="7"/>
      <c r="M115" s="7"/>
      <c r="N115" s="7">
        <f t="shared" si="1"/>
        <v>1</v>
      </c>
      <c r="O115" s="7"/>
    </row>
    <row r="116">
      <c r="A116" s="8" t="s">
        <v>499</v>
      </c>
      <c r="B116" s="9" t="s">
        <v>184</v>
      </c>
      <c r="C116" s="10"/>
      <c r="D116" s="18" t="s">
        <v>500</v>
      </c>
      <c r="E116" s="10"/>
      <c r="F116" s="16"/>
      <c r="G116" s="13"/>
      <c r="H116" s="10"/>
      <c r="I116" s="14"/>
      <c r="J116" s="7"/>
      <c r="K116" s="7"/>
      <c r="L116" s="7"/>
      <c r="M116" s="7"/>
      <c r="N116" s="7">
        <f t="shared" si="1"/>
        <v>0</v>
      </c>
      <c r="O116" s="7"/>
    </row>
    <row r="117">
      <c r="A117" s="8" t="s">
        <v>501</v>
      </c>
      <c r="B117" s="9" t="s">
        <v>502</v>
      </c>
      <c r="C117" s="10"/>
      <c r="D117" s="19" t="s">
        <v>503</v>
      </c>
      <c r="E117" s="10"/>
      <c r="F117" s="12" t="s">
        <v>504</v>
      </c>
      <c r="G117" s="13"/>
      <c r="H117" s="10"/>
      <c r="I117" s="14"/>
      <c r="J117" s="7"/>
      <c r="K117" s="7"/>
      <c r="L117" s="7"/>
      <c r="M117" s="7"/>
      <c r="N117" s="7">
        <f t="shared" si="1"/>
        <v>1</v>
      </c>
      <c r="O117" s="7"/>
    </row>
    <row r="118">
      <c r="A118" s="8" t="s">
        <v>505</v>
      </c>
      <c r="B118" s="9" t="s">
        <v>506</v>
      </c>
      <c r="C118" s="10"/>
      <c r="D118" s="11" t="s">
        <v>7</v>
      </c>
      <c r="E118" s="10"/>
      <c r="F118" s="12" t="s">
        <v>507</v>
      </c>
      <c r="G118" s="13"/>
      <c r="H118" s="10"/>
      <c r="I118" s="14"/>
      <c r="J118" s="7"/>
      <c r="K118" s="7"/>
      <c r="L118" s="7"/>
      <c r="M118" s="7"/>
      <c r="N118" s="7">
        <f t="shared" si="1"/>
        <v>1</v>
      </c>
      <c r="O118" s="7"/>
    </row>
    <row r="119">
      <c r="A119" s="8" t="s">
        <v>508</v>
      </c>
      <c r="B119" s="9" t="s">
        <v>510</v>
      </c>
      <c r="C119" s="10"/>
      <c r="D119" s="11" t="s">
        <v>7</v>
      </c>
      <c r="E119" s="10"/>
      <c r="F119" s="12" t="s">
        <v>512</v>
      </c>
      <c r="G119" s="13"/>
      <c r="H119" s="10"/>
      <c r="I119" s="14"/>
      <c r="J119" s="7"/>
      <c r="K119" s="7"/>
      <c r="L119" s="7"/>
      <c r="M119" s="7"/>
      <c r="N119" s="7">
        <f t="shared" si="1"/>
        <v>1</v>
      </c>
      <c r="O119" s="7"/>
    </row>
    <row r="120">
      <c r="A120" s="8" t="s">
        <v>513</v>
      </c>
      <c r="B120" s="9" t="s">
        <v>514</v>
      </c>
      <c r="C120" s="10"/>
      <c r="D120" s="18" t="s">
        <v>464</v>
      </c>
      <c r="E120" s="10"/>
      <c r="F120" s="12" t="s">
        <v>515</v>
      </c>
      <c r="G120" s="13"/>
      <c r="H120" s="10"/>
      <c r="I120" s="14"/>
      <c r="J120" s="7"/>
      <c r="K120" s="7"/>
      <c r="L120" s="7"/>
      <c r="M120" s="7"/>
      <c r="N120" s="7">
        <f t="shared" si="1"/>
        <v>1</v>
      </c>
      <c r="O120" s="7"/>
    </row>
    <row r="121">
      <c r="A121" s="8" t="s">
        <v>516</v>
      </c>
      <c r="B121" s="9" t="s">
        <v>517</v>
      </c>
      <c r="C121" s="10"/>
      <c r="D121" s="21" t="s">
        <v>518</v>
      </c>
      <c r="E121" s="10"/>
      <c r="F121" s="12" t="s">
        <v>519</v>
      </c>
      <c r="G121" s="13"/>
      <c r="H121" s="10"/>
      <c r="I121" s="17" t="s">
        <v>520</v>
      </c>
      <c r="J121" s="7"/>
      <c r="K121" s="7"/>
      <c r="L121" s="7"/>
      <c r="M121" s="7"/>
      <c r="N121" s="7">
        <f t="shared" si="1"/>
        <v>1</v>
      </c>
      <c r="O121" s="7"/>
    </row>
    <row r="122">
      <c r="A122" s="8" t="s">
        <v>521</v>
      </c>
      <c r="B122" s="9" t="s">
        <v>522</v>
      </c>
      <c r="C122" s="10"/>
      <c r="D122" s="18" t="s">
        <v>523</v>
      </c>
      <c r="E122" s="10"/>
      <c r="F122" s="12" t="s">
        <v>524</v>
      </c>
      <c r="G122" s="13"/>
      <c r="H122" s="10"/>
      <c r="I122" s="14"/>
      <c r="J122" s="7"/>
      <c r="K122" s="7"/>
      <c r="L122" s="7"/>
      <c r="M122" s="7"/>
      <c r="N122" s="7">
        <f t="shared" si="1"/>
        <v>1</v>
      </c>
      <c r="O122" s="7"/>
    </row>
    <row r="123">
      <c r="A123" s="20" t="s">
        <v>525</v>
      </c>
      <c r="B123" s="15" t="s">
        <v>526</v>
      </c>
      <c r="C123" s="10"/>
      <c r="D123" s="15" t="s">
        <v>527</v>
      </c>
      <c r="E123" s="10"/>
      <c r="F123" s="12" t="s">
        <v>528</v>
      </c>
      <c r="G123" s="13"/>
      <c r="H123" s="10"/>
      <c r="I123" s="14"/>
      <c r="J123" s="7"/>
      <c r="K123" s="7"/>
      <c r="L123" s="7"/>
      <c r="M123" s="7"/>
      <c r="N123" s="7">
        <f t="shared" si="1"/>
        <v>1</v>
      </c>
      <c r="O123" s="7"/>
    </row>
    <row r="124">
      <c r="A124" s="20" t="s">
        <v>530</v>
      </c>
      <c r="B124" s="9"/>
      <c r="C124" s="10"/>
      <c r="D124" s="15" t="s">
        <v>531</v>
      </c>
      <c r="E124" s="10"/>
      <c r="F124" s="12" t="s">
        <v>532</v>
      </c>
      <c r="G124" s="13"/>
      <c r="H124" s="10"/>
      <c r="I124" s="14"/>
      <c r="J124" s="7"/>
      <c r="K124" s="7"/>
      <c r="L124" s="7"/>
      <c r="M124" s="7"/>
      <c r="N124" s="7">
        <f t="shared" si="1"/>
        <v>1</v>
      </c>
      <c r="O124" s="7"/>
    </row>
    <row r="125">
      <c r="A125" s="20" t="s">
        <v>533</v>
      </c>
      <c r="B125" s="9"/>
      <c r="C125" s="10"/>
      <c r="D125" s="15" t="s">
        <v>535</v>
      </c>
      <c r="E125" s="10"/>
      <c r="F125" s="12" t="s">
        <v>536</v>
      </c>
      <c r="G125" s="13"/>
      <c r="H125" s="10"/>
      <c r="I125" s="14"/>
      <c r="J125" s="7"/>
      <c r="K125" s="7"/>
      <c r="L125" s="7"/>
      <c r="M125" s="7"/>
      <c r="N125" s="7">
        <f t="shared" si="1"/>
        <v>1</v>
      </c>
      <c r="O125" s="7"/>
    </row>
    <row r="126">
      <c r="A126" s="20" t="s">
        <v>537</v>
      </c>
      <c r="B126" s="9"/>
      <c r="C126" s="10"/>
      <c r="D126" s="15" t="s">
        <v>538</v>
      </c>
      <c r="E126" s="10"/>
      <c r="F126" s="12" t="s">
        <v>539</v>
      </c>
      <c r="G126" s="13"/>
      <c r="H126" s="10"/>
      <c r="I126" s="14"/>
      <c r="J126" s="7"/>
      <c r="K126" s="7"/>
      <c r="L126" s="7"/>
      <c r="M126" s="7"/>
      <c r="N126" s="7">
        <f t="shared" si="1"/>
        <v>1</v>
      </c>
      <c r="O126" s="7"/>
    </row>
    <row r="127">
      <c r="A127" s="20" t="s">
        <v>540</v>
      </c>
      <c r="B127" s="9"/>
      <c r="C127" s="10"/>
      <c r="D127" s="15" t="s">
        <v>542</v>
      </c>
      <c r="E127" s="10"/>
      <c r="F127" s="12" t="s">
        <v>543</v>
      </c>
      <c r="G127" s="13"/>
      <c r="H127" s="10"/>
      <c r="I127" s="14"/>
      <c r="J127" s="7"/>
      <c r="K127" s="7"/>
      <c r="L127" s="7"/>
      <c r="M127" s="7"/>
      <c r="N127" s="7">
        <f t="shared" si="1"/>
        <v>1</v>
      </c>
      <c r="O127" s="7"/>
    </row>
    <row r="128">
      <c r="A128" s="20" t="s">
        <v>544</v>
      </c>
      <c r="B128" s="9"/>
      <c r="C128" s="10"/>
      <c r="D128" s="15" t="s">
        <v>542</v>
      </c>
      <c r="E128" s="10"/>
      <c r="F128" s="12" t="s">
        <v>545</v>
      </c>
      <c r="G128" s="13"/>
      <c r="H128" s="10"/>
      <c r="I128" s="14"/>
      <c r="J128" s="7"/>
      <c r="K128" s="7"/>
      <c r="L128" s="7"/>
      <c r="M128" s="7"/>
      <c r="N128" s="7">
        <f t="shared" si="1"/>
        <v>1</v>
      </c>
      <c r="O128" s="7"/>
    </row>
    <row r="129">
      <c r="A129" s="20" t="s">
        <v>546</v>
      </c>
      <c r="B129" s="9"/>
      <c r="C129" s="10"/>
      <c r="D129" s="15" t="s">
        <v>547</v>
      </c>
      <c r="E129" s="10"/>
      <c r="F129" s="12" t="s">
        <v>548</v>
      </c>
      <c r="G129" s="13"/>
      <c r="H129" s="10"/>
      <c r="I129" s="14"/>
      <c r="J129" s="7"/>
      <c r="K129" s="7"/>
      <c r="L129" s="7"/>
      <c r="M129" s="7"/>
      <c r="N129" s="7">
        <f t="shared" si="1"/>
        <v>1</v>
      </c>
      <c r="O129" s="7"/>
    </row>
    <row r="130">
      <c r="A130" s="20" t="s">
        <v>550</v>
      </c>
      <c r="B130" s="9"/>
      <c r="C130" s="10"/>
      <c r="D130" s="15" t="s">
        <v>551</v>
      </c>
      <c r="E130" s="10"/>
      <c r="F130" s="12" t="s">
        <v>552</v>
      </c>
      <c r="G130" s="13"/>
      <c r="H130" s="10"/>
      <c r="I130" s="17" t="s">
        <v>20</v>
      </c>
      <c r="J130" s="7"/>
      <c r="K130" s="7"/>
      <c r="L130" s="7"/>
      <c r="M130" s="7"/>
      <c r="N130" s="7">
        <f t="shared" si="1"/>
        <v>1</v>
      </c>
      <c r="O130" s="7"/>
    </row>
    <row r="131">
      <c r="A131" s="20" t="s">
        <v>553</v>
      </c>
      <c r="B131" s="9"/>
      <c r="C131" s="10"/>
      <c r="D131" s="15" t="s">
        <v>554</v>
      </c>
      <c r="E131" s="10"/>
      <c r="F131" s="12" t="s">
        <v>555</v>
      </c>
      <c r="G131" s="13"/>
      <c r="H131" s="10"/>
      <c r="I131" s="17" t="s">
        <v>260</v>
      </c>
      <c r="J131" s="7"/>
      <c r="K131" s="7"/>
      <c r="L131" s="7"/>
      <c r="M131" s="7"/>
      <c r="N131" s="7">
        <f t="shared" si="1"/>
        <v>1</v>
      </c>
      <c r="O131" s="7"/>
    </row>
    <row r="132">
      <c r="A132" s="20" t="s">
        <v>557</v>
      </c>
      <c r="B132" s="15" t="s">
        <v>558</v>
      </c>
      <c r="C132" s="10"/>
      <c r="D132" s="9"/>
      <c r="E132" s="10"/>
      <c r="F132" s="12" t="s">
        <v>559</v>
      </c>
      <c r="G132" s="13"/>
      <c r="H132" s="10"/>
      <c r="I132" s="14"/>
      <c r="J132" s="7"/>
      <c r="K132" s="7"/>
      <c r="L132" s="7"/>
      <c r="M132" s="7"/>
      <c r="N132" s="7"/>
      <c r="O132" s="7"/>
    </row>
    <row r="133">
      <c r="A133" s="20" t="s">
        <v>560</v>
      </c>
      <c r="B133" s="15" t="s">
        <v>558</v>
      </c>
      <c r="C133" s="10"/>
      <c r="D133" s="9"/>
      <c r="E133" s="10"/>
      <c r="F133" s="12" t="s">
        <v>561</v>
      </c>
      <c r="G133" s="13"/>
      <c r="H133" s="10"/>
      <c r="I133" s="14"/>
      <c r="J133" s="7"/>
      <c r="K133" s="7"/>
      <c r="L133" s="7"/>
      <c r="M133" s="7"/>
      <c r="N133" s="7"/>
      <c r="O133" s="7"/>
    </row>
    <row r="134">
      <c r="A134" s="20" t="s">
        <v>562</v>
      </c>
      <c r="B134" s="15" t="s">
        <v>558</v>
      </c>
      <c r="C134" s="10"/>
      <c r="D134" s="9"/>
      <c r="E134" s="10"/>
      <c r="F134" s="12" t="s">
        <v>563</v>
      </c>
      <c r="G134" s="13"/>
      <c r="H134" s="10"/>
      <c r="I134" s="14"/>
      <c r="J134" s="7"/>
      <c r="K134" s="7"/>
      <c r="L134" s="7"/>
      <c r="M134" s="7"/>
      <c r="N134" s="7"/>
      <c r="O134" s="7"/>
    </row>
    <row r="135">
      <c r="A135" s="20" t="s">
        <v>564</v>
      </c>
      <c r="B135" s="15" t="s">
        <v>558</v>
      </c>
      <c r="C135" s="10"/>
      <c r="D135" s="9"/>
      <c r="E135" s="10"/>
      <c r="F135" s="12" t="s">
        <v>565</v>
      </c>
      <c r="G135" s="13"/>
      <c r="H135" s="10"/>
      <c r="I135" s="14"/>
      <c r="J135" s="7"/>
      <c r="K135" s="7"/>
      <c r="L135" s="7"/>
      <c r="M135" s="7"/>
      <c r="N135" s="7"/>
      <c r="O135" s="7"/>
    </row>
    <row r="136">
      <c r="A136" s="20" t="s">
        <v>567</v>
      </c>
      <c r="B136" s="15" t="s">
        <v>568</v>
      </c>
      <c r="C136" s="10"/>
      <c r="D136" s="9"/>
      <c r="E136" s="10"/>
      <c r="F136" s="12" t="s">
        <v>569</v>
      </c>
      <c r="G136" s="13"/>
      <c r="H136" s="10"/>
      <c r="I136" s="14"/>
      <c r="J136" s="7"/>
      <c r="K136" s="7"/>
      <c r="L136" s="7"/>
      <c r="M136" s="7"/>
      <c r="N136" s="7"/>
      <c r="O136" s="7"/>
    </row>
    <row r="137">
      <c r="A137" s="20" t="s">
        <v>570</v>
      </c>
      <c r="B137" s="15" t="s">
        <v>571</v>
      </c>
      <c r="C137" s="10"/>
      <c r="D137" s="9"/>
      <c r="E137" s="10"/>
      <c r="F137" s="12" t="s">
        <v>572</v>
      </c>
      <c r="G137" s="13"/>
      <c r="H137" s="10"/>
      <c r="I137" s="14"/>
      <c r="J137" s="7"/>
      <c r="K137" s="7"/>
      <c r="L137" s="7"/>
      <c r="M137" s="7"/>
      <c r="N137" s="7"/>
      <c r="O137" s="7"/>
    </row>
    <row r="138">
      <c r="A138" s="8" t="s">
        <v>156</v>
      </c>
      <c r="B138" s="9" t="s">
        <v>156</v>
      </c>
      <c r="C138" s="10"/>
      <c r="D138" s="18" t="s">
        <v>573</v>
      </c>
      <c r="E138" s="10"/>
      <c r="F138" s="16"/>
      <c r="G138" s="13"/>
      <c r="H138" s="10"/>
      <c r="I138" s="14"/>
      <c r="J138" s="7"/>
      <c r="K138" s="7"/>
      <c r="L138" s="7"/>
      <c r="M138" s="7"/>
      <c r="N138" s="7">
        <f> IF(ISBLANK(F138), 0, 1)</f>
        <v>0</v>
      </c>
      <c r="O138" s="7"/>
    </row>
    <row r="139">
      <c r="A139" s="7"/>
      <c r="B139" s="7"/>
      <c r="C139" s="7"/>
      <c r="D139" s="7"/>
      <c r="E139" s="7"/>
      <c r="F139" s="7"/>
      <c r="G139" s="7"/>
      <c r="H139" s="7"/>
      <c r="I139" s="7"/>
      <c r="J139" s="7"/>
      <c r="K139" s="7"/>
      <c r="L139" s="7"/>
      <c r="M139" s="7"/>
      <c r="N139" s="7"/>
      <c r="O139" s="7">
        <f>SUM(N3:N139)</f>
        <v>101</v>
      </c>
      <c r="P139" s="7"/>
      <c r="Q139" s="7"/>
      <c r="R139" s="7"/>
      <c r="S139" s="7"/>
      <c r="T139" s="7"/>
      <c r="U139" s="7"/>
      <c r="V139" s="7"/>
      <c r="W139" s="7"/>
      <c r="X139" s="7"/>
      <c r="Y139" s="7"/>
      <c r="Z139" s="7"/>
    </row>
    <row r="140">
      <c r="A140" s="25" t="s">
        <v>576</v>
      </c>
      <c r="B140" s="25" t="s">
        <v>577</v>
      </c>
      <c r="C140" s="25" t="s">
        <v>578</v>
      </c>
      <c r="D140" s="25" t="s">
        <v>579</v>
      </c>
      <c r="E140" s="25" t="s">
        <v>580</v>
      </c>
      <c r="F140" s="25" t="s">
        <v>581</v>
      </c>
      <c r="G140" s="25"/>
      <c r="H140" s="25"/>
      <c r="I140" s="25" t="s">
        <v>4</v>
      </c>
      <c r="J140" s="7"/>
      <c r="K140" s="7"/>
      <c r="L140" s="7"/>
      <c r="M140" s="7"/>
      <c r="N140" s="7"/>
      <c r="O140" s="7"/>
    </row>
    <row r="141">
      <c r="A141" s="26" t="s">
        <v>582</v>
      </c>
      <c r="B141" s="26" t="s">
        <v>583</v>
      </c>
      <c r="C141" s="26" t="s">
        <v>584</v>
      </c>
      <c r="D141" s="27"/>
      <c r="E141" s="28" t="s">
        <v>585</v>
      </c>
      <c r="F141" s="29"/>
      <c r="G141" s="13"/>
      <c r="H141" s="10"/>
      <c r="I141" s="29"/>
      <c r="J141" s="7"/>
      <c r="K141" s="7"/>
      <c r="L141" s="7"/>
      <c r="M141" s="7"/>
      <c r="N141" s="7">
        <f t="shared" ref="N141:N142" si="2"> IF(ISBLANK(F141), 0, 1)</f>
        <v>0</v>
      </c>
      <c r="O141" s="7"/>
    </row>
    <row r="142">
      <c r="A142" s="26" t="s">
        <v>587</v>
      </c>
      <c r="B142" s="26" t="s">
        <v>588</v>
      </c>
      <c r="C142" s="26" t="s">
        <v>589</v>
      </c>
      <c r="D142" s="27"/>
      <c r="E142" s="28" t="s">
        <v>591</v>
      </c>
      <c r="F142" s="30" t="s">
        <v>592</v>
      </c>
      <c r="G142" s="13"/>
      <c r="H142" s="10"/>
      <c r="I142" s="29"/>
      <c r="J142" s="7"/>
      <c r="K142" s="7"/>
      <c r="L142" s="7"/>
      <c r="M142" s="7"/>
      <c r="N142" s="7">
        <f t="shared" si="2"/>
        <v>1</v>
      </c>
      <c r="O142" s="7"/>
    </row>
    <row r="143">
      <c r="A143" s="31" t="s">
        <v>593</v>
      </c>
      <c r="B143" s="31" t="s">
        <v>208</v>
      </c>
      <c r="C143" s="31" t="s">
        <v>589</v>
      </c>
      <c r="D143" s="31" t="s">
        <v>594</v>
      </c>
      <c r="E143" s="31" t="s">
        <v>595</v>
      </c>
      <c r="F143" s="29"/>
      <c r="G143" s="13"/>
      <c r="H143" s="10"/>
      <c r="I143" s="30" t="s">
        <v>210</v>
      </c>
      <c r="J143" s="7"/>
      <c r="K143" s="7"/>
      <c r="L143" s="7"/>
      <c r="M143" s="7"/>
      <c r="N143" s="7"/>
      <c r="O143" s="7"/>
    </row>
    <row r="144">
      <c r="A144" s="26" t="s">
        <v>596</v>
      </c>
      <c r="B144" s="26" t="s">
        <v>597</v>
      </c>
      <c r="C144" s="26" t="s">
        <v>589</v>
      </c>
      <c r="D144" s="26" t="s">
        <v>598</v>
      </c>
      <c r="E144" s="28" t="s">
        <v>599</v>
      </c>
      <c r="F144" s="29"/>
      <c r="G144" s="13"/>
      <c r="H144" s="10"/>
      <c r="I144" s="29"/>
      <c r="J144" s="7"/>
      <c r="K144" s="7"/>
      <c r="L144" s="7"/>
      <c r="M144" s="7"/>
      <c r="N144" s="7">
        <f t="shared" ref="N144:N336" si="3"> IF(ISBLANK(F144), 0, 1)</f>
        <v>0</v>
      </c>
      <c r="O144" s="7"/>
    </row>
    <row r="145">
      <c r="A145" s="26" t="s">
        <v>602</v>
      </c>
      <c r="B145" s="31" t="s">
        <v>603</v>
      </c>
      <c r="C145" s="26" t="s">
        <v>589</v>
      </c>
      <c r="D145" s="27"/>
      <c r="E145" s="32" t="s">
        <v>604</v>
      </c>
      <c r="F145" s="30" t="s">
        <v>605</v>
      </c>
      <c r="G145" s="13"/>
      <c r="H145" s="10"/>
      <c r="I145" s="30" t="s">
        <v>520</v>
      </c>
      <c r="J145" s="7"/>
      <c r="K145" s="7"/>
      <c r="L145" s="7"/>
      <c r="M145" s="7"/>
      <c r="N145" s="7">
        <f t="shared" si="3"/>
        <v>1</v>
      </c>
      <c r="O145" s="7"/>
    </row>
    <row r="146">
      <c r="A146" s="26" t="s">
        <v>606</v>
      </c>
      <c r="B146" s="26" t="s">
        <v>607</v>
      </c>
      <c r="C146" s="26" t="s">
        <v>584</v>
      </c>
      <c r="D146" s="27"/>
      <c r="E146" s="32" t="s">
        <v>608</v>
      </c>
      <c r="F146" s="30" t="s">
        <v>609</v>
      </c>
      <c r="G146" s="13"/>
      <c r="H146" s="10"/>
      <c r="I146" s="29"/>
      <c r="J146" s="7"/>
      <c r="K146" s="7"/>
      <c r="L146" s="7"/>
      <c r="M146" s="7"/>
      <c r="N146" s="7">
        <f t="shared" si="3"/>
        <v>1</v>
      </c>
      <c r="O146" s="7"/>
    </row>
    <row r="147">
      <c r="A147" s="26" t="s">
        <v>610</v>
      </c>
      <c r="B147" s="31" t="s">
        <v>611</v>
      </c>
      <c r="C147" s="26" t="s">
        <v>589</v>
      </c>
      <c r="D147" s="27"/>
      <c r="E147" s="28" t="s">
        <v>612</v>
      </c>
      <c r="F147" s="30" t="s">
        <v>613</v>
      </c>
      <c r="G147" s="13"/>
      <c r="H147" s="10"/>
      <c r="I147" s="29"/>
      <c r="J147" s="7"/>
      <c r="K147" s="7"/>
      <c r="L147" s="7"/>
      <c r="M147" s="7"/>
      <c r="N147" s="7">
        <f t="shared" si="3"/>
        <v>1</v>
      </c>
      <c r="O147" s="7"/>
    </row>
    <row r="148">
      <c r="A148" s="26" t="s">
        <v>614</v>
      </c>
      <c r="B148" s="31" t="s">
        <v>615</v>
      </c>
      <c r="C148" s="26" t="s">
        <v>589</v>
      </c>
      <c r="D148" s="27"/>
      <c r="E148" s="28" t="s">
        <v>616</v>
      </c>
      <c r="F148" s="30" t="s">
        <v>617</v>
      </c>
      <c r="G148" s="13"/>
      <c r="H148" s="10"/>
      <c r="I148" s="29"/>
      <c r="J148" s="7"/>
      <c r="K148" s="7"/>
      <c r="L148" s="7"/>
      <c r="M148" s="7"/>
      <c r="N148" s="7">
        <f t="shared" si="3"/>
        <v>1</v>
      </c>
      <c r="O148" s="7"/>
    </row>
    <row r="149">
      <c r="A149" s="31" t="s">
        <v>614</v>
      </c>
      <c r="B149" s="26" t="s">
        <v>618</v>
      </c>
      <c r="C149" s="26" t="s">
        <v>589</v>
      </c>
      <c r="D149" s="27"/>
      <c r="E149" s="28" t="s">
        <v>619</v>
      </c>
      <c r="F149" s="30" t="s">
        <v>617</v>
      </c>
      <c r="G149" s="13"/>
      <c r="H149" s="10"/>
      <c r="I149" s="29"/>
      <c r="J149" s="7"/>
      <c r="K149" s="7"/>
      <c r="L149" s="7"/>
      <c r="M149" s="7"/>
      <c r="N149" s="7">
        <f t="shared" si="3"/>
        <v>1</v>
      </c>
      <c r="O149" s="7"/>
    </row>
    <row r="150">
      <c r="A150" s="31" t="s">
        <v>614</v>
      </c>
      <c r="B150" s="26" t="s">
        <v>615</v>
      </c>
      <c r="C150" s="26" t="s">
        <v>589</v>
      </c>
      <c r="D150" s="27"/>
      <c r="E150" s="28" t="s">
        <v>620</v>
      </c>
      <c r="F150" s="30" t="s">
        <v>617</v>
      </c>
      <c r="G150" s="13"/>
      <c r="H150" s="10"/>
      <c r="I150" s="29"/>
      <c r="J150" s="7"/>
      <c r="K150" s="7"/>
      <c r="L150" s="7"/>
      <c r="M150" s="7"/>
      <c r="N150" s="7">
        <f t="shared" si="3"/>
        <v>1</v>
      </c>
      <c r="O150" s="7"/>
    </row>
    <row r="151">
      <c r="A151" s="26" t="s">
        <v>623</v>
      </c>
      <c r="B151" s="26" t="s">
        <v>624</v>
      </c>
      <c r="C151" s="26" t="s">
        <v>584</v>
      </c>
      <c r="D151" s="33" t="s">
        <v>625</v>
      </c>
      <c r="E151" s="28" t="s">
        <v>626</v>
      </c>
      <c r="F151" s="30" t="s">
        <v>627</v>
      </c>
      <c r="G151" s="13"/>
      <c r="H151" s="10"/>
      <c r="I151" s="29"/>
      <c r="J151" s="7"/>
      <c r="K151" s="7"/>
      <c r="L151" s="7"/>
      <c r="M151" s="7"/>
      <c r="N151" s="7">
        <f t="shared" si="3"/>
        <v>1</v>
      </c>
      <c r="O151" s="7"/>
    </row>
    <row r="152">
      <c r="A152" s="26" t="s">
        <v>628</v>
      </c>
      <c r="B152" s="26" t="s">
        <v>629</v>
      </c>
      <c r="C152" s="26" t="s">
        <v>589</v>
      </c>
      <c r="D152" s="27"/>
      <c r="E152" s="28" t="s">
        <v>630</v>
      </c>
      <c r="F152" s="30" t="s">
        <v>632</v>
      </c>
      <c r="G152" s="13"/>
      <c r="H152" s="10"/>
      <c r="I152" s="29"/>
      <c r="J152" s="7"/>
      <c r="K152" s="7"/>
      <c r="L152" s="7"/>
      <c r="M152" s="7"/>
      <c r="N152" s="7">
        <f t="shared" si="3"/>
        <v>1</v>
      </c>
      <c r="O152" s="7"/>
    </row>
    <row r="153">
      <c r="A153" s="26" t="s">
        <v>633</v>
      </c>
      <c r="B153" s="26" t="s">
        <v>634</v>
      </c>
      <c r="C153" s="26" t="s">
        <v>584</v>
      </c>
      <c r="D153" s="26" t="s">
        <v>635</v>
      </c>
      <c r="E153" s="28" t="s">
        <v>636</v>
      </c>
      <c r="F153" s="29"/>
      <c r="G153" s="13"/>
      <c r="H153" s="10"/>
      <c r="I153" s="29"/>
      <c r="J153" s="7"/>
      <c r="K153" s="7"/>
      <c r="L153" s="7"/>
      <c r="M153" s="7"/>
      <c r="N153" s="7">
        <f t="shared" si="3"/>
        <v>0</v>
      </c>
      <c r="O153" s="7"/>
    </row>
    <row r="154">
      <c r="A154" s="31" t="s">
        <v>637</v>
      </c>
      <c r="B154" s="26" t="s">
        <v>638</v>
      </c>
      <c r="C154" s="26" t="s">
        <v>589</v>
      </c>
      <c r="D154" s="27"/>
      <c r="E154" s="33" t="s">
        <v>639</v>
      </c>
      <c r="F154" s="30" t="s">
        <v>640</v>
      </c>
      <c r="G154" s="13"/>
      <c r="H154" s="10"/>
      <c r="I154" s="29"/>
      <c r="J154" s="7"/>
      <c r="K154" s="7"/>
      <c r="L154" s="7"/>
      <c r="M154" s="7"/>
      <c r="N154" s="7">
        <f t="shared" si="3"/>
        <v>1</v>
      </c>
      <c r="O154" s="7"/>
    </row>
    <row r="155">
      <c r="A155" s="26" t="s">
        <v>641</v>
      </c>
      <c r="B155" s="26" t="s">
        <v>642</v>
      </c>
      <c r="C155" s="26" t="s">
        <v>589</v>
      </c>
      <c r="D155" s="27"/>
      <c r="E155" s="28" t="s">
        <v>643</v>
      </c>
      <c r="F155" s="30" t="s">
        <v>645</v>
      </c>
      <c r="G155" s="13"/>
      <c r="H155" s="10"/>
      <c r="I155" s="29"/>
      <c r="J155" s="7"/>
      <c r="K155" s="7"/>
      <c r="L155" s="7"/>
      <c r="M155" s="7"/>
      <c r="N155" s="7">
        <f t="shared" si="3"/>
        <v>1</v>
      </c>
      <c r="O155" s="7"/>
    </row>
    <row r="156">
      <c r="A156" s="26" t="s">
        <v>646</v>
      </c>
      <c r="B156" s="26" t="s">
        <v>647</v>
      </c>
      <c r="C156" s="26" t="s">
        <v>648</v>
      </c>
      <c r="D156" s="27"/>
      <c r="E156" s="28" t="s">
        <v>649</v>
      </c>
      <c r="F156" s="29"/>
      <c r="G156" s="13"/>
      <c r="H156" s="10"/>
      <c r="I156" s="29"/>
      <c r="J156" s="7"/>
      <c r="K156" s="7"/>
      <c r="L156" s="7"/>
      <c r="M156" s="7"/>
      <c r="N156" s="7">
        <f t="shared" si="3"/>
        <v>0</v>
      </c>
      <c r="O156" s="7"/>
    </row>
    <row r="157">
      <c r="A157" s="26" t="s">
        <v>650</v>
      </c>
      <c r="B157" s="26" t="s">
        <v>651</v>
      </c>
      <c r="C157" s="26" t="s">
        <v>589</v>
      </c>
      <c r="D157" s="27"/>
      <c r="E157" s="28" t="s">
        <v>652</v>
      </c>
      <c r="F157" s="29"/>
      <c r="G157" s="13"/>
      <c r="H157" s="10"/>
      <c r="I157" s="29"/>
      <c r="J157" s="7"/>
      <c r="K157" s="7"/>
      <c r="L157" s="7"/>
      <c r="M157" s="7"/>
      <c r="N157" s="7">
        <f t="shared" si="3"/>
        <v>0</v>
      </c>
      <c r="O157" s="7"/>
    </row>
    <row r="158">
      <c r="A158" s="26" t="s">
        <v>654</v>
      </c>
      <c r="B158" s="26" t="s">
        <v>655</v>
      </c>
      <c r="C158" s="26" t="s">
        <v>589</v>
      </c>
      <c r="D158" s="26" t="s">
        <v>635</v>
      </c>
      <c r="E158" s="28" t="s">
        <v>656</v>
      </c>
      <c r="F158" s="29"/>
      <c r="G158" s="13"/>
      <c r="H158" s="10"/>
      <c r="I158" s="29"/>
      <c r="J158" s="7"/>
      <c r="K158" s="7"/>
      <c r="L158" s="7"/>
      <c r="M158" s="7"/>
      <c r="N158" s="7">
        <f t="shared" si="3"/>
        <v>0</v>
      </c>
      <c r="O158" s="7"/>
    </row>
    <row r="159">
      <c r="A159" s="26" t="s">
        <v>657</v>
      </c>
      <c r="B159" s="26" t="s">
        <v>658</v>
      </c>
      <c r="C159" s="26" t="s">
        <v>589</v>
      </c>
      <c r="D159" s="27"/>
      <c r="E159" s="28" t="s">
        <v>659</v>
      </c>
      <c r="F159" s="29"/>
      <c r="G159" s="13"/>
      <c r="H159" s="10"/>
      <c r="I159" s="29"/>
      <c r="J159" s="7"/>
      <c r="K159" s="7"/>
      <c r="L159" s="7"/>
      <c r="M159" s="7"/>
      <c r="N159" s="7">
        <f t="shared" si="3"/>
        <v>0</v>
      </c>
      <c r="O159" s="7"/>
    </row>
    <row r="160">
      <c r="A160" s="26" t="s">
        <v>660</v>
      </c>
      <c r="B160" s="26" t="s">
        <v>661</v>
      </c>
      <c r="C160" s="26" t="s">
        <v>589</v>
      </c>
      <c r="D160" s="27"/>
      <c r="E160" s="33" t="s">
        <v>662</v>
      </c>
      <c r="F160" s="30" t="s">
        <v>663</v>
      </c>
      <c r="G160" s="13"/>
      <c r="H160" s="10"/>
      <c r="I160" s="29"/>
      <c r="J160" s="7"/>
      <c r="K160" s="7"/>
      <c r="L160" s="7"/>
      <c r="M160" s="7"/>
      <c r="N160" s="7">
        <f t="shared" si="3"/>
        <v>1</v>
      </c>
      <c r="O160" s="7"/>
    </row>
    <row r="161">
      <c r="A161" s="26" t="s">
        <v>664</v>
      </c>
      <c r="B161" s="26" t="s">
        <v>665</v>
      </c>
      <c r="C161" s="26" t="s">
        <v>589</v>
      </c>
      <c r="D161" s="27"/>
      <c r="E161" s="28" t="s">
        <v>666</v>
      </c>
      <c r="F161" s="30" t="s">
        <v>667</v>
      </c>
      <c r="G161" s="13"/>
      <c r="H161" s="10"/>
      <c r="I161" s="29"/>
      <c r="J161" s="7"/>
      <c r="K161" s="7"/>
      <c r="L161" s="7"/>
      <c r="M161" s="7"/>
      <c r="N161" s="7">
        <f t="shared" si="3"/>
        <v>1</v>
      </c>
      <c r="O161" s="7"/>
    </row>
    <row r="162">
      <c r="A162" s="26" t="s">
        <v>668</v>
      </c>
      <c r="B162" s="26" t="s">
        <v>669</v>
      </c>
      <c r="C162" s="26" t="s">
        <v>589</v>
      </c>
      <c r="D162" s="26" t="s">
        <v>598</v>
      </c>
      <c r="E162" s="28" t="s">
        <v>670</v>
      </c>
      <c r="F162" s="30" t="s">
        <v>671</v>
      </c>
      <c r="G162" s="13"/>
      <c r="H162" s="10"/>
      <c r="I162" s="29"/>
      <c r="J162" s="7"/>
      <c r="K162" s="7"/>
      <c r="L162" s="7"/>
      <c r="M162" s="7"/>
      <c r="N162" s="7">
        <f t="shared" si="3"/>
        <v>1</v>
      </c>
      <c r="O162" s="7"/>
    </row>
    <row r="163">
      <c r="A163" s="26" t="s">
        <v>672</v>
      </c>
      <c r="B163" s="26" t="s">
        <v>673</v>
      </c>
      <c r="C163" s="26" t="s">
        <v>589</v>
      </c>
      <c r="D163" s="27"/>
      <c r="E163" s="28" t="s">
        <v>674</v>
      </c>
      <c r="F163" s="29"/>
      <c r="G163" s="13"/>
      <c r="H163" s="10"/>
      <c r="I163" s="29"/>
      <c r="J163" s="7"/>
      <c r="K163" s="7"/>
      <c r="L163" s="7"/>
      <c r="M163" s="7"/>
      <c r="N163" s="7">
        <f t="shared" si="3"/>
        <v>0</v>
      </c>
      <c r="O163" s="7"/>
    </row>
    <row r="164">
      <c r="A164" s="26" t="s">
        <v>676</v>
      </c>
      <c r="B164" s="26" t="s">
        <v>677</v>
      </c>
      <c r="C164" s="26" t="s">
        <v>589</v>
      </c>
      <c r="D164" s="27"/>
      <c r="E164" s="28" t="s">
        <v>678</v>
      </c>
      <c r="F164" s="30" t="s">
        <v>680</v>
      </c>
      <c r="G164" s="13"/>
      <c r="H164" s="10"/>
      <c r="I164" s="29"/>
      <c r="J164" s="7"/>
      <c r="K164" s="7"/>
      <c r="L164" s="7"/>
      <c r="M164" s="7"/>
      <c r="N164" s="7">
        <f t="shared" si="3"/>
        <v>1</v>
      </c>
      <c r="O164" s="7"/>
    </row>
    <row r="165">
      <c r="A165" s="26" t="s">
        <v>681</v>
      </c>
      <c r="B165" s="26" t="s">
        <v>682</v>
      </c>
      <c r="C165" s="26" t="s">
        <v>589</v>
      </c>
      <c r="D165" s="27"/>
      <c r="E165" s="28" t="s">
        <v>683</v>
      </c>
      <c r="F165" s="29"/>
      <c r="G165" s="13"/>
      <c r="H165" s="10"/>
      <c r="I165" s="29"/>
      <c r="J165" s="7"/>
      <c r="K165" s="7"/>
      <c r="L165" s="7"/>
      <c r="M165" s="7"/>
      <c r="N165" s="7">
        <f t="shared" si="3"/>
        <v>0</v>
      </c>
      <c r="O165" s="7"/>
    </row>
    <row r="166">
      <c r="A166" s="31" t="s">
        <v>684</v>
      </c>
      <c r="B166" s="26" t="s">
        <v>685</v>
      </c>
      <c r="C166" s="26" t="s">
        <v>584</v>
      </c>
      <c r="D166" s="27"/>
      <c r="E166" s="31" t="s">
        <v>686</v>
      </c>
      <c r="F166" s="30" t="s">
        <v>687</v>
      </c>
      <c r="G166" s="13"/>
      <c r="H166" s="10"/>
      <c r="I166" s="29"/>
      <c r="J166" s="7"/>
      <c r="K166" s="7"/>
      <c r="L166" s="7"/>
      <c r="M166" s="7"/>
      <c r="N166" s="7">
        <f t="shared" si="3"/>
        <v>1</v>
      </c>
      <c r="O166" s="7"/>
    </row>
    <row r="167">
      <c r="A167" s="26" t="s">
        <v>688</v>
      </c>
      <c r="B167" s="31" t="s">
        <v>689</v>
      </c>
      <c r="C167" s="26" t="s">
        <v>589</v>
      </c>
      <c r="D167" s="27"/>
      <c r="E167" s="28" t="s">
        <v>690</v>
      </c>
      <c r="F167" s="30" t="s">
        <v>691</v>
      </c>
      <c r="G167" s="13"/>
      <c r="H167" s="10"/>
      <c r="I167" s="29"/>
      <c r="J167" s="7"/>
      <c r="K167" s="7"/>
      <c r="L167" s="7"/>
      <c r="M167" s="7"/>
      <c r="N167" s="7">
        <f t="shared" si="3"/>
        <v>1</v>
      </c>
      <c r="O167" s="7"/>
    </row>
    <row r="168">
      <c r="A168" s="31" t="s">
        <v>692</v>
      </c>
      <c r="B168" s="26" t="s">
        <v>693</v>
      </c>
      <c r="C168" s="26" t="s">
        <v>589</v>
      </c>
      <c r="D168" s="27"/>
      <c r="E168" s="28" t="s">
        <v>694</v>
      </c>
      <c r="F168" s="30" t="s">
        <v>695</v>
      </c>
      <c r="G168" s="13"/>
      <c r="H168" s="10"/>
      <c r="I168" s="29"/>
      <c r="J168" s="7"/>
      <c r="K168" s="7"/>
      <c r="L168" s="7"/>
      <c r="M168" s="7"/>
      <c r="N168" s="7">
        <f t="shared" si="3"/>
        <v>1</v>
      </c>
      <c r="O168" s="7"/>
    </row>
    <row r="169">
      <c r="A169" s="31" t="s">
        <v>696</v>
      </c>
      <c r="B169" s="31" t="s">
        <v>697</v>
      </c>
      <c r="C169" s="26" t="s">
        <v>589</v>
      </c>
      <c r="D169" s="27"/>
      <c r="E169" s="28" t="s">
        <v>698</v>
      </c>
      <c r="F169" s="30" t="s">
        <v>699</v>
      </c>
      <c r="G169" s="13"/>
      <c r="H169" s="10"/>
      <c r="I169" s="29"/>
      <c r="J169" s="7"/>
      <c r="K169" s="7"/>
      <c r="L169" s="7"/>
      <c r="M169" s="7"/>
      <c r="N169" s="7">
        <f t="shared" si="3"/>
        <v>1</v>
      </c>
      <c r="O169" s="7"/>
    </row>
    <row r="170">
      <c r="A170" s="26" t="s">
        <v>700</v>
      </c>
      <c r="B170" s="26" t="s">
        <v>701</v>
      </c>
      <c r="C170" s="26" t="s">
        <v>584</v>
      </c>
      <c r="D170" s="27"/>
      <c r="E170" s="28" t="s">
        <v>702</v>
      </c>
      <c r="F170" s="29"/>
      <c r="G170" s="13"/>
      <c r="H170" s="10"/>
      <c r="I170" s="29"/>
      <c r="J170" s="7"/>
      <c r="K170" s="7"/>
      <c r="L170" s="7"/>
      <c r="M170" s="7"/>
      <c r="N170" s="7">
        <f t="shared" si="3"/>
        <v>0</v>
      </c>
      <c r="O170" s="7"/>
    </row>
    <row r="171">
      <c r="A171" s="26" t="s">
        <v>703</v>
      </c>
      <c r="B171" s="26" t="s">
        <v>704</v>
      </c>
      <c r="C171" s="26" t="s">
        <v>589</v>
      </c>
      <c r="D171" s="27"/>
      <c r="E171" s="28" t="s">
        <v>705</v>
      </c>
      <c r="F171" s="30" t="s">
        <v>706</v>
      </c>
      <c r="G171" s="13"/>
      <c r="H171" s="10"/>
      <c r="I171" s="29"/>
      <c r="J171" s="7"/>
      <c r="K171" s="7"/>
      <c r="L171" s="7"/>
      <c r="M171" s="7"/>
      <c r="N171" s="7">
        <f t="shared" si="3"/>
        <v>1</v>
      </c>
      <c r="O171" s="7"/>
    </row>
    <row r="172">
      <c r="A172" s="26" t="s">
        <v>707</v>
      </c>
      <c r="B172" s="26" t="s">
        <v>708</v>
      </c>
      <c r="C172" s="26" t="s">
        <v>589</v>
      </c>
      <c r="D172" s="26" t="s">
        <v>635</v>
      </c>
      <c r="E172" s="28" t="s">
        <v>709</v>
      </c>
      <c r="F172" s="30" t="s">
        <v>710</v>
      </c>
      <c r="G172" s="13"/>
      <c r="H172" s="10"/>
      <c r="I172" s="30"/>
      <c r="J172" s="7"/>
      <c r="K172" s="7"/>
      <c r="L172" s="7"/>
      <c r="M172" s="7"/>
      <c r="N172" s="7">
        <f t="shared" si="3"/>
        <v>1</v>
      </c>
      <c r="O172" s="7"/>
    </row>
    <row r="173">
      <c r="A173" s="26" t="s">
        <v>711</v>
      </c>
      <c r="B173" s="26" t="s">
        <v>712</v>
      </c>
      <c r="C173" s="26" t="s">
        <v>589</v>
      </c>
      <c r="D173" s="27"/>
      <c r="E173" s="28" t="s">
        <v>713</v>
      </c>
      <c r="F173" s="29"/>
      <c r="G173" s="13"/>
      <c r="H173" s="10"/>
      <c r="I173" s="30" t="s">
        <v>466</v>
      </c>
      <c r="J173" s="7"/>
      <c r="K173" s="7"/>
      <c r="L173" s="7"/>
      <c r="M173" s="7"/>
      <c r="N173" s="7">
        <f t="shared" si="3"/>
        <v>0</v>
      </c>
      <c r="O173" s="7"/>
    </row>
    <row r="174">
      <c r="A174" s="31" t="s">
        <v>714</v>
      </c>
      <c r="B174" s="26" t="s">
        <v>715</v>
      </c>
      <c r="C174" s="26" t="s">
        <v>589</v>
      </c>
      <c r="D174" s="27"/>
      <c r="E174" s="28" t="s">
        <v>716</v>
      </c>
      <c r="F174" s="30" t="s">
        <v>718</v>
      </c>
      <c r="G174" s="13"/>
      <c r="H174" s="10"/>
      <c r="I174" s="29"/>
      <c r="J174" s="7"/>
      <c r="K174" s="7"/>
      <c r="L174" s="7"/>
      <c r="M174" s="7"/>
      <c r="N174" s="7">
        <f t="shared" si="3"/>
        <v>1</v>
      </c>
      <c r="O174" s="7"/>
    </row>
    <row r="175">
      <c r="A175" s="26" t="s">
        <v>719</v>
      </c>
      <c r="B175" s="26" t="s">
        <v>720</v>
      </c>
      <c r="C175" s="26" t="s">
        <v>589</v>
      </c>
      <c r="D175" s="26" t="s">
        <v>598</v>
      </c>
      <c r="E175" s="28" t="s">
        <v>721</v>
      </c>
      <c r="F175" s="30" t="s">
        <v>722</v>
      </c>
      <c r="G175" s="13"/>
      <c r="H175" s="10"/>
      <c r="I175" s="29"/>
      <c r="J175" s="7"/>
      <c r="K175" s="7"/>
      <c r="L175" s="7"/>
      <c r="M175" s="7"/>
      <c r="N175" s="7">
        <f t="shared" si="3"/>
        <v>1</v>
      </c>
      <c r="O175" s="7"/>
    </row>
    <row r="176">
      <c r="A176" s="26" t="s">
        <v>723</v>
      </c>
      <c r="B176" s="26" t="s">
        <v>724</v>
      </c>
      <c r="C176" s="26" t="s">
        <v>589</v>
      </c>
      <c r="D176" s="27"/>
      <c r="E176" s="28" t="s">
        <v>725</v>
      </c>
      <c r="F176" s="29"/>
      <c r="G176" s="13"/>
      <c r="H176" s="10"/>
      <c r="I176" s="29"/>
      <c r="J176" s="7"/>
      <c r="K176" s="7"/>
      <c r="L176" s="7"/>
      <c r="M176" s="7"/>
      <c r="N176" s="7">
        <f t="shared" si="3"/>
        <v>0</v>
      </c>
      <c r="O176" s="7"/>
    </row>
    <row r="177">
      <c r="A177" s="26" t="s">
        <v>726</v>
      </c>
      <c r="B177" s="26" t="s">
        <v>727</v>
      </c>
      <c r="C177" s="26" t="s">
        <v>584</v>
      </c>
      <c r="D177" s="27"/>
      <c r="E177" s="28" t="s">
        <v>728</v>
      </c>
      <c r="F177" s="29"/>
      <c r="G177" s="13"/>
      <c r="H177" s="10"/>
      <c r="I177" s="29"/>
      <c r="J177" s="7"/>
      <c r="K177" s="7"/>
      <c r="L177" s="7"/>
      <c r="M177" s="7"/>
      <c r="N177" s="7">
        <f t="shared" si="3"/>
        <v>0</v>
      </c>
      <c r="O177" s="7"/>
    </row>
    <row r="178">
      <c r="A178" s="26" t="s">
        <v>729</v>
      </c>
      <c r="B178" s="26" t="s">
        <v>730</v>
      </c>
      <c r="C178" s="26" t="s">
        <v>589</v>
      </c>
      <c r="D178" s="27"/>
      <c r="E178" s="28" t="s">
        <v>731</v>
      </c>
      <c r="F178" s="30" t="s">
        <v>733</v>
      </c>
      <c r="G178" s="13"/>
      <c r="H178" s="10"/>
      <c r="I178" s="29"/>
      <c r="J178" s="7"/>
      <c r="K178" s="7"/>
      <c r="L178" s="7"/>
      <c r="M178" s="7"/>
      <c r="N178" s="7">
        <f t="shared" si="3"/>
        <v>1</v>
      </c>
      <c r="O178" s="7"/>
    </row>
    <row r="179">
      <c r="A179" s="26" t="s">
        <v>734</v>
      </c>
      <c r="B179" s="26" t="s">
        <v>735</v>
      </c>
      <c r="C179" s="26" t="s">
        <v>736</v>
      </c>
      <c r="D179" s="27"/>
      <c r="E179" s="32" t="s">
        <v>737</v>
      </c>
      <c r="F179" s="30" t="s">
        <v>738</v>
      </c>
      <c r="G179" s="13"/>
      <c r="H179" s="10"/>
      <c r="I179" s="17" t="s">
        <v>445</v>
      </c>
      <c r="J179" s="7"/>
      <c r="K179" s="7"/>
      <c r="L179" s="7"/>
      <c r="M179" s="7"/>
      <c r="N179" s="7">
        <f t="shared" si="3"/>
        <v>1</v>
      </c>
      <c r="O179" s="7"/>
    </row>
    <row r="180">
      <c r="A180" s="26" t="s">
        <v>739</v>
      </c>
      <c r="B180" s="26" t="s">
        <v>740</v>
      </c>
      <c r="C180" s="26" t="s">
        <v>589</v>
      </c>
      <c r="D180" s="27"/>
      <c r="E180" s="28" t="s">
        <v>741</v>
      </c>
      <c r="F180" s="30" t="s">
        <v>742</v>
      </c>
      <c r="G180" s="13"/>
      <c r="H180" s="10"/>
      <c r="I180" s="29"/>
      <c r="J180" s="7"/>
      <c r="K180" s="7"/>
      <c r="L180" s="7"/>
      <c r="M180" s="7"/>
      <c r="N180" s="7">
        <f t="shared" si="3"/>
        <v>1</v>
      </c>
      <c r="O180" s="7"/>
    </row>
    <row r="181">
      <c r="A181" s="26" t="s">
        <v>743</v>
      </c>
      <c r="B181" s="26" t="s">
        <v>744</v>
      </c>
      <c r="C181" s="26" t="s">
        <v>584</v>
      </c>
      <c r="D181" s="26" t="s">
        <v>635</v>
      </c>
      <c r="E181" s="28" t="s">
        <v>745</v>
      </c>
      <c r="F181" s="29"/>
      <c r="G181" s="13"/>
      <c r="H181" s="10"/>
      <c r="I181" s="29"/>
      <c r="J181" s="7"/>
      <c r="K181" s="7"/>
      <c r="L181" s="7"/>
      <c r="M181" s="7"/>
      <c r="N181" s="7">
        <f t="shared" si="3"/>
        <v>0</v>
      </c>
      <c r="O181" s="7"/>
    </row>
    <row r="182">
      <c r="A182" s="26" t="s">
        <v>747</v>
      </c>
      <c r="B182" s="26" t="s">
        <v>748</v>
      </c>
      <c r="C182" s="26" t="s">
        <v>584</v>
      </c>
      <c r="D182" s="27"/>
      <c r="E182" s="28" t="s">
        <v>749</v>
      </c>
      <c r="F182" s="29"/>
      <c r="G182" s="13"/>
      <c r="H182" s="10"/>
      <c r="I182" s="29"/>
      <c r="J182" s="7"/>
      <c r="K182" s="7"/>
      <c r="L182" s="7"/>
      <c r="M182" s="7"/>
      <c r="N182" s="7">
        <f t="shared" si="3"/>
        <v>0</v>
      </c>
      <c r="O182" s="7"/>
    </row>
    <row r="183">
      <c r="A183" s="26" t="s">
        <v>750</v>
      </c>
      <c r="B183" s="26" t="s">
        <v>751</v>
      </c>
      <c r="C183" s="26" t="s">
        <v>752</v>
      </c>
      <c r="D183" s="28" t="s">
        <v>753</v>
      </c>
      <c r="E183" s="33" t="s">
        <v>754</v>
      </c>
      <c r="F183" s="30" t="s">
        <v>755</v>
      </c>
      <c r="G183" s="13"/>
      <c r="H183" s="10"/>
      <c r="I183" s="29"/>
      <c r="J183" s="7"/>
      <c r="K183" s="7"/>
      <c r="L183" s="7"/>
      <c r="M183" s="7"/>
      <c r="N183" s="7">
        <f t="shared" si="3"/>
        <v>1</v>
      </c>
      <c r="O183" s="7"/>
    </row>
    <row r="184">
      <c r="A184" s="26" t="s">
        <v>756</v>
      </c>
      <c r="B184" s="26" t="s">
        <v>757</v>
      </c>
      <c r="C184" s="26" t="s">
        <v>758</v>
      </c>
      <c r="D184" s="28" t="s">
        <v>753</v>
      </c>
      <c r="E184" s="33" t="s">
        <v>759</v>
      </c>
      <c r="F184" s="30" t="s">
        <v>761</v>
      </c>
      <c r="G184" s="13"/>
      <c r="H184" s="10"/>
      <c r="I184" s="29"/>
      <c r="J184" s="7"/>
      <c r="K184" s="7"/>
      <c r="L184" s="7"/>
      <c r="M184" s="7"/>
      <c r="N184" s="7">
        <f t="shared" si="3"/>
        <v>1</v>
      </c>
      <c r="O184" s="7"/>
    </row>
    <row r="185">
      <c r="A185" s="26" t="s">
        <v>762</v>
      </c>
      <c r="B185" s="26" t="s">
        <v>763</v>
      </c>
      <c r="C185" s="26" t="s">
        <v>589</v>
      </c>
      <c r="D185" s="27"/>
      <c r="E185" s="28" t="s">
        <v>764</v>
      </c>
      <c r="F185" s="29"/>
      <c r="G185" s="13"/>
      <c r="H185" s="10"/>
      <c r="I185" s="29"/>
      <c r="J185" s="7"/>
      <c r="K185" s="7"/>
      <c r="L185" s="7"/>
      <c r="M185" s="7"/>
      <c r="N185" s="7">
        <f t="shared" si="3"/>
        <v>0</v>
      </c>
      <c r="O185" s="7"/>
    </row>
    <row r="186">
      <c r="A186" s="26" t="s">
        <v>766</v>
      </c>
      <c r="B186" s="26" t="s">
        <v>767</v>
      </c>
      <c r="C186" s="26" t="s">
        <v>589</v>
      </c>
      <c r="D186" s="26" t="s">
        <v>598</v>
      </c>
      <c r="E186" s="28" t="s">
        <v>768</v>
      </c>
      <c r="F186" s="29"/>
      <c r="G186" s="13"/>
      <c r="H186" s="10"/>
      <c r="I186" s="29"/>
      <c r="J186" s="7"/>
      <c r="K186" s="7"/>
      <c r="L186" s="7"/>
      <c r="M186" s="7"/>
      <c r="N186" s="7">
        <f t="shared" si="3"/>
        <v>0</v>
      </c>
      <c r="O186" s="7"/>
    </row>
    <row r="187">
      <c r="A187" s="26" t="s">
        <v>770</v>
      </c>
      <c r="B187" s="26" t="s">
        <v>771</v>
      </c>
      <c r="C187" s="26" t="s">
        <v>772</v>
      </c>
      <c r="D187" s="27"/>
      <c r="E187" s="28" t="s">
        <v>773</v>
      </c>
      <c r="F187" s="30" t="s">
        <v>774</v>
      </c>
      <c r="G187" s="13"/>
      <c r="H187" s="10"/>
      <c r="I187" s="29"/>
      <c r="J187" s="7"/>
      <c r="K187" s="7"/>
      <c r="L187" s="7"/>
      <c r="M187" s="7"/>
      <c r="N187" s="7">
        <f t="shared" si="3"/>
        <v>1</v>
      </c>
      <c r="O187" s="7"/>
    </row>
    <row r="188">
      <c r="A188" s="26" t="s">
        <v>775</v>
      </c>
      <c r="B188" s="26" t="s">
        <v>776</v>
      </c>
      <c r="C188" s="26" t="s">
        <v>589</v>
      </c>
      <c r="D188" s="27"/>
      <c r="E188" s="28" t="s">
        <v>777</v>
      </c>
      <c r="F188" s="30" t="s">
        <v>779</v>
      </c>
      <c r="G188" s="13"/>
      <c r="H188" s="10"/>
      <c r="I188" s="30" t="s">
        <v>420</v>
      </c>
      <c r="J188" s="7"/>
      <c r="K188" s="7"/>
      <c r="L188" s="7"/>
      <c r="M188" s="7"/>
      <c r="N188" s="7">
        <f t="shared" si="3"/>
        <v>1</v>
      </c>
      <c r="O188" s="7"/>
    </row>
    <row r="189">
      <c r="A189" s="26" t="s">
        <v>780</v>
      </c>
      <c r="B189" s="26" t="s">
        <v>781</v>
      </c>
      <c r="C189" s="26" t="s">
        <v>589</v>
      </c>
      <c r="D189" s="27"/>
      <c r="E189" s="28" t="s">
        <v>782</v>
      </c>
      <c r="F189" s="29"/>
      <c r="G189" s="13"/>
      <c r="H189" s="10"/>
      <c r="I189" s="29"/>
      <c r="J189" s="7"/>
      <c r="K189" s="7"/>
      <c r="L189" s="7"/>
      <c r="M189" s="7"/>
      <c r="N189" s="7">
        <f t="shared" si="3"/>
        <v>0</v>
      </c>
      <c r="O189" s="7"/>
    </row>
    <row r="190">
      <c r="A190" s="26" t="s">
        <v>783</v>
      </c>
      <c r="B190" s="26" t="s">
        <v>784</v>
      </c>
      <c r="C190" s="26" t="s">
        <v>589</v>
      </c>
      <c r="D190" s="27"/>
      <c r="E190" s="28" t="s">
        <v>785</v>
      </c>
      <c r="F190" s="30" t="s">
        <v>786</v>
      </c>
      <c r="G190" s="13"/>
      <c r="H190" s="10"/>
      <c r="I190" s="29"/>
      <c r="J190" s="7"/>
      <c r="K190" s="7"/>
      <c r="L190" s="7"/>
      <c r="M190" s="7"/>
      <c r="N190" s="7">
        <f t="shared" si="3"/>
        <v>1</v>
      </c>
      <c r="O190" s="7"/>
    </row>
    <row r="191">
      <c r="A191" s="26" t="s">
        <v>787</v>
      </c>
      <c r="B191" s="26" t="s">
        <v>788</v>
      </c>
      <c r="C191" s="26" t="s">
        <v>589</v>
      </c>
      <c r="D191" s="27"/>
      <c r="E191" s="28" t="s">
        <v>790</v>
      </c>
      <c r="F191" s="29"/>
      <c r="G191" s="13"/>
      <c r="H191" s="10"/>
      <c r="I191" s="29"/>
      <c r="J191" s="7"/>
      <c r="K191" s="7"/>
      <c r="L191" s="7"/>
      <c r="M191" s="7"/>
      <c r="N191" s="7">
        <f t="shared" si="3"/>
        <v>0</v>
      </c>
      <c r="O191" s="7"/>
    </row>
    <row r="192">
      <c r="A192" s="26" t="s">
        <v>791</v>
      </c>
      <c r="B192" s="26" t="s">
        <v>792</v>
      </c>
      <c r="C192" s="26" t="s">
        <v>589</v>
      </c>
      <c r="D192" s="27"/>
      <c r="E192" s="31" t="s">
        <v>793</v>
      </c>
      <c r="F192" s="30" t="s">
        <v>794</v>
      </c>
      <c r="G192" s="13"/>
      <c r="H192" s="10"/>
      <c r="I192" s="29"/>
      <c r="J192" s="7"/>
      <c r="K192" s="7"/>
      <c r="L192" s="7"/>
      <c r="M192" s="7"/>
      <c r="N192" s="7">
        <f t="shared" si="3"/>
        <v>1</v>
      </c>
      <c r="O192" s="7"/>
    </row>
    <row r="193">
      <c r="A193" s="26" t="s">
        <v>795</v>
      </c>
      <c r="B193" s="26" t="s">
        <v>796</v>
      </c>
      <c r="C193" s="26" t="s">
        <v>589</v>
      </c>
      <c r="D193" s="27"/>
      <c r="E193" s="28" t="s">
        <v>797</v>
      </c>
      <c r="F193" s="29"/>
      <c r="G193" s="13"/>
      <c r="H193" s="10"/>
      <c r="I193" s="29"/>
      <c r="J193" s="7"/>
      <c r="K193" s="7"/>
      <c r="L193" s="7"/>
      <c r="M193" s="7"/>
      <c r="N193" s="7">
        <f t="shared" si="3"/>
        <v>0</v>
      </c>
      <c r="O193" s="7"/>
    </row>
    <row r="194">
      <c r="A194" s="26" t="s">
        <v>799</v>
      </c>
      <c r="B194" s="31" t="s">
        <v>800</v>
      </c>
      <c r="C194" s="26" t="s">
        <v>584</v>
      </c>
      <c r="D194" s="27"/>
      <c r="E194" s="34" t="s">
        <v>801</v>
      </c>
      <c r="F194" s="30" t="s">
        <v>802</v>
      </c>
      <c r="G194" s="13"/>
      <c r="H194" s="10"/>
      <c r="I194" s="29"/>
      <c r="J194" s="7"/>
      <c r="K194" s="7"/>
      <c r="L194" s="7"/>
      <c r="M194" s="7"/>
      <c r="N194" s="7">
        <f t="shared" si="3"/>
        <v>1</v>
      </c>
      <c r="O194" s="7"/>
    </row>
    <row r="195">
      <c r="A195" s="26" t="s">
        <v>803</v>
      </c>
      <c r="B195" s="26" t="s">
        <v>804</v>
      </c>
      <c r="C195" s="26" t="s">
        <v>589</v>
      </c>
      <c r="D195" s="26" t="s">
        <v>598</v>
      </c>
      <c r="E195" s="28" t="s">
        <v>806</v>
      </c>
      <c r="F195" s="29"/>
      <c r="G195" s="13"/>
      <c r="H195" s="10"/>
      <c r="I195" s="29"/>
      <c r="J195" s="7"/>
      <c r="K195" s="7"/>
      <c r="L195" s="7"/>
      <c r="M195" s="7"/>
      <c r="N195" s="7">
        <f t="shared" si="3"/>
        <v>0</v>
      </c>
      <c r="O195" s="7"/>
    </row>
    <row r="196">
      <c r="A196" s="26" t="s">
        <v>807</v>
      </c>
      <c r="B196" s="26" t="s">
        <v>808</v>
      </c>
      <c r="C196" s="26" t="s">
        <v>809</v>
      </c>
      <c r="D196" s="27"/>
      <c r="E196" s="33" t="s">
        <v>810</v>
      </c>
      <c r="F196" s="30" t="s">
        <v>812</v>
      </c>
      <c r="G196" s="13"/>
      <c r="H196" s="10"/>
      <c r="I196" s="29"/>
      <c r="J196" s="7"/>
      <c r="K196" s="7"/>
      <c r="L196" s="7"/>
      <c r="M196" s="7"/>
      <c r="N196" s="7">
        <f t="shared" si="3"/>
        <v>1</v>
      </c>
      <c r="O196" s="7"/>
    </row>
    <row r="197">
      <c r="A197" s="26" t="s">
        <v>813</v>
      </c>
      <c r="B197" s="26" t="s">
        <v>814</v>
      </c>
      <c r="C197" s="26" t="s">
        <v>589</v>
      </c>
      <c r="D197" s="27"/>
      <c r="E197" s="31" t="s">
        <v>815</v>
      </c>
      <c r="F197" s="30" t="s">
        <v>816</v>
      </c>
      <c r="G197" s="13"/>
      <c r="H197" s="10"/>
      <c r="I197" s="30" t="s">
        <v>374</v>
      </c>
      <c r="J197" s="7"/>
      <c r="K197" s="7"/>
      <c r="L197" s="7"/>
      <c r="M197" s="7"/>
      <c r="N197" s="7">
        <f t="shared" si="3"/>
        <v>1</v>
      </c>
      <c r="O197" s="7"/>
    </row>
    <row r="198">
      <c r="A198" s="26" t="s">
        <v>817</v>
      </c>
      <c r="B198" s="26" t="s">
        <v>818</v>
      </c>
      <c r="C198" s="26" t="s">
        <v>589</v>
      </c>
      <c r="D198" s="27"/>
      <c r="E198" s="28" t="s">
        <v>819</v>
      </c>
      <c r="F198" s="30" t="s">
        <v>820</v>
      </c>
      <c r="G198" s="13"/>
      <c r="H198" s="10"/>
      <c r="I198" s="29"/>
      <c r="J198" s="7"/>
      <c r="K198" s="7"/>
      <c r="L198" s="7"/>
      <c r="M198" s="7"/>
      <c r="N198" s="7">
        <f t="shared" si="3"/>
        <v>1</v>
      </c>
      <c r="O198" s="7"/>
    </row>
    <row r="199">
      <c r="A199" s="26" t="s">
        <v>821</v>
      </c>
      <c r="B199" s="26" t="s">
        <v>822</v>
      </c>
      <c r="C199" s="26" t="s">
        <v>584</v>
      </c>
      <c r="D199" s="27"/>
      <c r="E199" s="28" t="s">
        <v>823</v>
      </c>
      <c r="F199" s="29"/>
      <c r="G199" s="13"/>
      <c r="H199" s="10"/>
      <c r="I199" s="29"/>
      <c r="J199" s="7"/>
      <c r="K199" s="7"/>
      <c r="L199" s="7"/>
      <c r="M199" s="7"/>
      <c r="N199" s="7">
        <f t="shared" si="3"/>
        <v>0</v>
      </c>
      <c r="O199" s="7"/>
    </row>
    <row r="200">
      <c r="A200" s="26" t="s">
        <v>824</v>
      </c>
      <c r="B200" s="26" t="s">
        <v>825</v>
      </c>
      <c r="C200" s="26" t="s">
        <v>589</v>
      </c>
      <c r="D200" s="27"/>
      <c r="E200" s="28" t="s">
        <v>826</v>
      </c>
      <c r="F200" s="30" t="s">
        <v>827</v>
      </c>
      <c r="G200" s="13"/>
      <c r="H200" s="10"/>
      <c r="I200" s="30" t="s">
        <v>828</v>
      </c>
      <c r="J200" s="7"/>
      <c r="K200" s="7"/>
      <c r="L200" s="7"/>
      <c r="M200" s="7"/>
      <c r="N200" s="7">
        <f t="shared" si="3"/>
        <v>1</v>
      </c>
      <c r="O200" s="7"/>
    </row>
    <row r="201">
      <c r="A201" s="26" t="s">
        <v>829</v>
      </c>
      <c r="B201" s="26" t="s">
        <v>830</v>
      </c>
      <c r="C201" s="26" t="s">
        <v>589</v>
      </c>
      <c r="D201" s="27"/>
      <c r="E201" s="28" t="s">
        <v>831</v>
      </c>
      <c r="F201" s="30" t="s">
        <v>832</v>
      </c>
      <c r="G201" s="13"/>
      <c r="H201" s="10"/>
      <c r="I201" s="29"/>
      <c r="J201" s="7"/>
      <c r="K201" s="7"/>
      <c r="L201" s="7"/>
      <c r="M201" s="7"/>
      <c r="N201" s="7">
        <f t="shared" si="3"/>
        <v>1</v>
      </c>
      <c r="O201" s="7"/>
    </row>
    <row r="202">
      <c r="A202" s="26" t="s">
        <v>833</v>
      </c>
      <c r="B202" s="26" t="s">
        <v>834</v>
      </c>
      <c r="C202" s="26" t="s">
        <v>835</v>
      </c>
      <c r="D202" s="26" t="s">
        <v>635</v>
      </c>
      <c r="E202" s="28" t="s">
        <v>836</v>
      </c>
      <c r="F202" s="30" t="s">
        <v>837</v>
      </c>
      <c r="G202" s="13"/>
      <c r="H202" s="10"/>
      <c r="I202" s="29"/>
      <c r="J202" s="7"/>
      <c r="K202" s="7"/>
      <c r="L202" s="7"/>
      <c r="M202" s="7"/>
      <c r="N202" s="7">
        <f t="shared" si="3"/>
        <v>1</v>
      </c>
      <c r="O202" s="7"/>
    </row>
    <row r="203">
      <c r="A203" s="26" t="s">
        <v>838</v>
      </c>
      <c r="B203" s="26" t="s">
        <v>839</v>
      </c>
      <c r="C203" s="26" t="s">
        <v>589</v>
      </c>
      <c r="D203" s="27"/>
      <c r="E203" s="32" t="s">
        <v>840</v>
      </c>
      <c r="F203" s="30" t="s">
        <v>841</v>
      </c>
      <c r="G203" s="13"/>
      <c r="H203" s="10"/>
      <c r="I203" s="29"/>
      <c r="J203" s="7"/>
      <c r="K203" s="7"/>
      <c r="L203" s="7"/>
      <c r="M203" s="7"/>
      <c r="N203" s="7">
        <f t="shared" si="3"/>
        <v>1</v>
      </c>
      <c r="O203" s="7"/>
    </row>
    <row r="204">
      <c r="A204" s="26" t="s">
        <v>842</v>
      </c>
      <c r="B204" s="26" t="s">
        <v>843</v>
      </c>
      <c r="C204" s="26" t="s">
        <v>589</v>
      </c>
      <c r="D204" s="27"/>
      <c r="E204" s="28" t="s">
        <v>844</v>
      </c>
      <c r="F204" s="30" t="s">
        <v>845</v>
      </c>
      <c r="G204" s="13"/>
      <c r="H204" s="10"/>
      <c r="I204" s="29"/>
      <c r="J204" s="7"/>
      <c r="K204" s="7"/>
      <c r="L204" s="7"/>
      <c r="M204" s="7"/>
      <c r="N204" s="7">
        <f t="shared" si="3"/>
        <v>1</v>
      </c>
      <c r="O204" s="7"/>
    </row>
    <row r="205">
      <c r="A205" s="26" t="s">
        <v>846</v>
      </c>
      <c r="B205" s="31" t="s">
        <v>848</v>
      </c>
      <c r="C205" s="26" t="s">
        <v>584</v>
      </c>
      <c r="D205" s="27"/>
      <c r="E205" s="28" t="s">
        <v>849</v>
      </c>
      <c r="F205" s="30" t="s">
        <v>850</v>
      </c>
      <c r="G205" s="13"/>
      <c r="H205" s="10"/>
      <c r="I205" s="29"/>
      <c r="J205" s="7"/>
      <c r="K205" s="7"/>
      <c r="L205" s="7"/>
      <c r="M205" s="7"/>
      <c r="N205" s="7">
        <f t="shared" si="3"/>
        <v>1</v>
      </c>
      <c r="O205" s="7"/>
    </row>
    <row r="206">
      <c r="A206" s="26" t="s">
        <v>851</v>
      </c>
      <c r="B206" s="26" t="s">
        <v>852</v>
      </c>
      <c r="C206" s="26" t="s">
        <v>589</v>
      </c>
      <c r="D206" s="27"/>
      <c r="E206" s="28" t="s">
        <v>853</v>
      </c>
      <c r="F206" s="30" t="s">
        <v>854</v>
      </c>
      <c r="G206" s="13"/>
      <c r="H206" s="10"/>
      <c r="I206" s="29"/>
      <c r="J206" s="7"/>
      <c r="K206" s="7"/>
      <c r="L206" s="7"/>
      <c r="M206" s="7"/>
      <c r="N206" s="7">
        <f t="shared" si="3"/>
        <v>1</v>
      </c>
      <c r="O206" s="7"/>
    </row>
    <row r="207">
      <c r="A207" s="26" t="s">
        <v>855</v>
      </c>
      <c r="B207" s="26" t="s">
        <v>856</v>
      </c>
      <c r="C207" s="26" t="s">
        <v>584</v>
      </c>
      <c r="D207" s="27"/>
      <c r="E207" s="31" t="s">
        <v>857</v>
      </c>
      <c r="F207" s="30" t="s">
        <v>858</v>
      </c>
      <c r="G207" s="13"/>
      <c r="H207" s="10"/>
      <c r="I207" s="29"/>
      <c r="J207" s="7"/>
      <c r="K207" s="7"/>
      <c r="L207" s="7"/>
      <c r="M207" s="7"/>
      <c r="N207" s="7">
        <f t="shared" si="3"/>
        <v>1</v>
      </c>
      <c r="O207" s="7"/>
    </row>
    <row r="208">
      <c r="A208" s="26" t="s">
        <v>859</v>
      </c>
      <c r="B208" s="26" t="s">
        <v>860</v>
      </c>
      <c r="C208" s="26" t="s">
        <v>589</v>
      </c>
      <c r="D208" s="27"/>
      <c r="E208" s="28" t="s">
        <v>861</v>
      </c>
      <c r="F208" s="30" t="s">
        <v>862</v>
      </c>
      <c r="G208" s="13"/>
      <c r="H208" s="10"/>
      <c r="I208" s="29"/>
      <c r="J208" s="7"/>
      <c r="K208" s="7"/>
      <c r="L208" s="7"/>
      <c r="M208" s="7"/>
      <c r="N208" s="7">
        <f t="shared" si="3"/>
        <v>1</v>
      </c>
      <c r="O208" s="7"/>
    </row>
    <row r="209">
      <c r="A209" s="26" t="s">
        <v>863</v>
      </c>
      <c r="B209" s="26" t="s">
        <v>864</v>
      </c>
      <c r="C209" s="26" t="s">
        <v>589</v>
      </c>
      <c r="D209" s="28" t="s">
        <v>865</v>
      </c>
      <c r="E209" s="28" t="s">
        <v>866</v>
      </c>
      <c r="F209" s="30" t="s">
        <v>867</v>
      </c>
      <c r="G209" s="13"/>
      <c r="H209" s="10"/>
      <c r="I209" s="30" t="s">
        <v>82</v>
      </c>
      <c r="J209" s="7"/>
      <c r="K209" s="7"/>
      <c r="L209" s="7"/>
      <c r="M209" s="7"/>
      <c r="N209" s="7">
        <f t="shared" si="3"/>
        <v>1</v>
      </c>
      <c r="O209" s="7"/>
    </row>
    <row r="210">
      <c r="A210" s="26" t="s">
        <v>868</v>
      </c>
      <c r="B210" s="26" t="s">
        <v>869</v>
      </c>
      <c r="C210" s="26" t="s">
        <v>589</v>
      </c>
      <c r="D210" s="27"/>
      <c r="E210" s="28" t="s">
        <v>870</v>
      </c>
      <c r="F210" s="29"/>
      <c r="G210" s="13"/>
      <c r="H210" s="10"/>
      <c r="I210" s="29"/>
      <c r="J210" s="7"/>
      <c r="K210" s="7"/>
      <c r="L210" s="7"/>
      <c r="M210" s="7"/>
      <c r="N210" s="7">
        <f t="shared" si="3"/>
        <v>0</v>
      </c>
      <c r="O210" s="7"/>
    </row>
    <row r="211">
      <c r="A211" s="26" t="s">
        <v>871</v>
      </c>
      <c r="B211" s="26" t="s">
        <v>872</v>
      </c>
      <c r="C211" s="26" t="s">
        <v>589</v>
      </c>
      <c r="D211" s="27"/>
      <c r="E211" s="28" t="s">
        <v>874</v>
      </c>
      <c r="F211" s="30" t="s">
        <v>875</v>
      </c>
      <c r="G211" s="13"/>
      <c r="H211" s="10"/>
      <c r="I211" s="29"/>
      <c r="J211" s="7"/>
      <c r="K211" s="7"/>
      <c r="L211" s="7"/>
      <c r="M211" s="7"/>
      <c r="N211" s="7">
        <f t="shared" si="3"/>
        <v>1</v>
      </c>
      <c r="O211" s="7"/>
    </row>
    <row r="212">
      <c r="A212" s="26" t="s">
        <v>876</v>
      </c>
      <c r="B212" s="26" t="s">
        <v>877</v>
      </c>
      <c r="C212" s="26" t="s">
        <v>589</v>
      </c>
      <c r="D212" s="27"/>
      <c r="E212" s="28" t="s">
        <v>878</v>
      </c>
      <c r="F212" s="29"/>
      <c r="G212" s="13"/>
      <c r="H212" s="10"/>
      <c r="I212" s="29"/>
      <c r="J212" s="7"/>
      <c r="K212" s="7"/>
      <c r="L212" s="7"/>
      <c r="M212" s="7"/>
      <c r="N212" s="7">
        <f t="shared" si="3"/>
        <v>0</v>
      </c>
      <c r="O212" s="7"/>
    </row>
    <row r="213">
      <c r="A213" s="26" t="s">
        <v>880</v>
      </c>
      <c r="B213" s="26" t="s">
        <v>881</v>
      </c>
      <c r="C213" s="26" t="s">
        <v>589</v>
      </c>
      <c r="D213" s="26" t="s">
        <v>598</v>
      </c>
      <c r="E213" s="28" t="s">
        <v>882</v>
      </c>
      <c r="F213" s="30" t="s">
        <v>884</v>
      </c>
      <c r="G213" s="13"/>
      <c r="H213" s="10"/>
      <c r="I213" s="30"/>
      <c r="J213" s="7"/>
      <c r="K213" s="7"/>
      <c r="L213" s="7"/>
      <c r="M213" s="7"/>
      <c r="N213" s="7">
        <f t="shared" si="3"/>
        <v>1</v>
      </c>
      <c r="O213" s="7"/>
    </row>
    <row r="214">
      <c r="A214" s="26" t="s">
        <v>880</v>
      </c>
      <c r="B214" s="26" t="s">
        <v>885</v>
      </c>
      <c r="C214" s="26" t="s">
        <v>589</v>
      </c>
      <c r="D214" s="27"/>
      <c r="E214" s="28" t="s">
        <v>886</v>
      </c>
      <c r="F214" s="29"/>
      <c r="G214" s="13"/>
      <c r="H214" s="10"/>
      <c r="I214" s="30" t="s">
        <v>254</v>
      </c>
      <c r="J214" s="7"/>
      <c r="K214" s="7"/>
      <c r="L214" s="7"/>
      <c r="M214" s="7"/>
      <c r="N214" s="7">
        <f t="shared" si="3"/>
        <v>0</v>
      </c>
      <c r="O214" s="7"/>
    </row>
    <row r="215">
      <c r="A215" s="26" t="s">
        <v>887</v>
      </c>
      <c r="B215" s="26" t="s">
        <v>888</v>
      </c>
      <c r="C215" s="26" t="s">
        <v>648</v>
      </c>
      <c r="D215" s="27"/>
      <c r="E215" s="28" t="s">
        <v>889</v>
      </c>
      <c r="F215" s="29"/>
      <c r="G215" s="13"/>
      <c r="H215" s="10"/>
      <c r="I215" s="29"/>
      <c r="J215" s="7"/>
      <c r="K215" s="7"/>
      <c r="L215" s="7"/>
      <c r="M215" s="7"/>
      <c r="N215" s="7">
        <f t="shared" si="3"/>
        <v>0</v>
      </c>
      <c r="O215" s="7"/>
    </row>
    <row r="216">
      <c r="A216" s="26" t="s">
        <v>891</v>
      </c>
      <c r="B216" s="26" t="s">
        <v>892</v>
      </c>
      <c r="C216" s="26" t="s">
        <v>589</v>
      </c>
      <c r="D216" s="27"/>
      <c r="E216" s="28" t="s">
        <v>893</v>
      </c>
      <c r="F216" s="30"/>
      <c r="G216" s="13"/>
      <c r="H216" s="10"/>
      <c r="I216" s="29"/>
      <c r="J216" s="7"/>
      <c r="K216" s="7"/>
      <c r="L216" s="7"/>
      <c r="M216" s="7"/>
      <c r="N216" s="7">
        <f t="shared" si="3"/>
        <v>0</v>
      </c>
      <c r="O216" s="7"/>
    </row>
    <row r="217">
      <c r="A217" s="31" t="s">
        <v>894</v>
      </c>
      <c r="B217" s="31" t="s">
        <v>895</v>
      </c>
      <c r="C217" s="26" t="s">
        <v>835</v>
      </c>
      <c r="D217" s="27"/>
      <c r="E217" s="32" t="s">
        <v>896</v>
      </c>
      <c r="F217" s="30" t="s">
        <v>897</v>
      </c>
      <c r="G217" s="13"/>
      <c r="H217" s="10"/>
      <c r="I217" s="29"/>
      <c r="J217" s="7"/>
      <c r="K217" s="7"/>
      <c r="L217" s="7"/>
      <c r="M217" s="7"/>
      <c r="N217" s="7">
        <f t="shared" si="3"/>
        <v>1</v>
      </c>
      <c r="O217" s="7"/>
    </row>
    <row r="218">
      <c r="A218" s="26" t="s">
        <v>898</v>
      </c>
      <c r="B218" s="26" t="s">
        <v>899</v>
      </c>
      <c r="C218" s="26" t="s">
        <v>589</v>
      </c>
      <c r="D218" s="26" t="s">
        <v>598</v>
      </c>
      <c r="E218" s="28" t="s">
        <v>900</v>
      </c>
      <c r="F218" s="30" t="s">
        <v>154</v>
      </c>
      <c r="G218" s="13"/>
      <c r="H218" s="10"/>
      <c r="I218" s="29"/>
      <c r="J218" s="7"/>
      <c r="K218" s="7"/>
      <c r="L218" s="7"/>
      <c r="M218" s="7"/>
      <c r="N218" s="7">
        <f t="shared" si="3"/>
        <v>1</v>
      </c>
      <c r="O218" s="7"/>
    </row>
    <row r="219">
      <c r="A219" s="26" t="s">
        <v>901</v>
      </c>
      <c r="B219" s="26" t="s">
        <v>902</v>
      </c>
      <c r="C219" s="26" t="s">
        <v>589</v>
      </c>
      <c r="D219" s="27"/>
      <c r="E219" s="28" t="s">
        <v>903</v>
      </c>
      <c r="F219" s="30" t="s">
        <v>904</v>
      </c>
      <c r="G219" s="13"/>
      <c r="H219" s="10"/>
      <c r="I219" s="29"/>
      <c r="J219" s="7"/>
      <c r="K219" s="7"/>
      <c r="L219" s="7"/>
      <c r="M219" s="7"/>
      <c r="N219" s="7">
        <f t="shared" si="3"/>
        <v>1</v>
      </c>
      <c r="O219" s="7"/>
    </row>
    <row r="220">
      <c r="A220" s="26" t="s">
        <v>905</v>
      </c>
      <c r="B220" s="26" t="s">
        <v>906</v>
      </c>
      <c r="C220" s="26" t="s">
        <v>589</v>
      </c>
      <c r="D220" s="26" t="s">
        <v>598</v>
      </c>
      <c r="E220" s="28" t="s">
        <v>907</v>
      </c>
      <c r="F220" s="30" t="s">
        <v>908</v>
      </c>
      <c r="G220" s="13"/>
      <c r="H220" s="10"/>
      <c r="I220" s="30" t="s">
        <v>344</v>
      </c>
      <c r="J220" s="7"/>
      <c r="K220" s="7"/>
      <c r="L220" s="7"/>
      <c r="M220" s="7"/>
      <c r="N220" s="7">
        <f t="shared" si="3"/>
        <v>1</v>
      </c>
      <c r="O220" s="7"/>
    </row>
    <row r="221">
      <c r="A221" s="26" t="s">
        <v>909</v>
      </c>
      <c r="B221" s="26" t="s">
        <v>910</v>
      </c>
      <c r="C221" s="26" t="s">
        <v>589</v>
      </c>
      <c r="D221" s="26" t="s">
        <v>598</v>
      </c>
      <c r="E221" s="28" t="s">
        <v>911</v>
      </c>
      <c r="F221" s="30" t="s">
        <v>912</v>
      </c>
      <c r="G221" s="13"/>
      <c r="H221" s="10"/>
      <c r="I221" s="29"/>
      <c r="J221" s="7"/>
      <c r="K221" s="7"/>
      <c r="L221" s="7"/>
      <c r="M221" s="7"/>
      <c r="N221" s="7">
        <f t="shared" si="3"/>
        <v>1</v>
      </c>
      <c r="O221" s="7"/>
    </row>
    <row r="222">
      <c r="A222" s="26" t="s">
        <v>913</v>
      </c>
      <c r="B222" s="26" t="s">
        <v>914</v>
      </c>
      <c r="C222" s="26" t="s">
        <v>589</v>
      </c>
      <c r="D222" s="27"/>
      <c r="E222" s="28" t="s">
        <v>915</v>
      </c>
      <c r="F222" s="29"/>
      <c r="G222" s="13"/>
      <c r="H222" s="10"/>
      <c r="I222" s="29"/>
      <c r="J222" s="7"/>
      <c r="K222" s="7"/>
      <c r="L222" s="7"/>
      <c r="M222" s="7"/>
      <c r="N222" s="7">
        <f t="shared" si="3"/>
        <v>0</v>
      </c>
      <c r="O222" s="7"/>
    </row>
    <row r="223" ht="18.0" customHeight="1">
      <c r="A223" s="26" t="s">
        <v>916</v>
      </c>
      <c r="B223" s="26" t="s">
        <v>917</v>
      </c>
      <c r="C223" s="26" t="s">
        <v>589</v>
      </c>
      <c r="D223" s="28" t="s">
        <v>918</v>
      </c>
      <c r="E223" s="27"/>
      <c r="F223" s="29"/>
      <c r="G223" s="13"/>
      <c r="H223" s="10"/>
      <c r="I223" s="29"/>
      <c r="J223" s="7"/>
      <c r="K223" s="7"/>
      <c r="L223" s="7"/>
      <c r="M223" s="7"/>
      <c r="N223" s="7">
        <f t="shared" si="3"/>
        <v>0</v>
      </c>
      <c r="O223" s="7"/>
    </row>
    <row r="224">
      <c r="A224" s="26" t="s">
        <v>916</v>
      </c>
      <c r="B224" s="26" t="s">
        <v>917</v>
      </c>
      <c r="C224" s="26" t="s">
        <v>919</v>
      </c>
      <c r="D224" s="31" t="s">
        <v>920</v>
      </c>
      <c r="E224" s="28" t="s">
        <v>921</v>
      </c>
      <c r="F224" s="30" t="s">
        <v>923</v>
      </c>
      <c r="G224" s="13"/>
      <c r="H224" s="10"/>
      <c r="I224" s="29"/>
      <c r="J224" s="7"/>
      <c r="K224" s="7"/>
      <c r="L224" s="7"/>
      <c r="M224" s="7"/>
      <c r="N224" s="7">
        <f t="shared" si="3"/>
        <v>1</v>
      </c>
      <c r="O224" s="7"/>
    </row>
    <row r="225">
      <c r="A225" s="26" t="s">
        <v>925</v>
      </c>
      <c r="B225" s="26" t="s">
        <v>926</v>
      </c>
      <c r="C225" s="26" t="s">
        <v>589</v>
      </c>
      <c r="D225" s="27"/>
      <c r="E225" s="28" t="s">
        <v>927</v>
      </c>
      <c r="F225" s="30" t="s">
        <v>928</v>
      </c>
      <c r="G225" s="13"/>
      <c r="H225" s="10"/>
      <c r="I225" s="29"/>
      <c r="J225" s="7"/>
      <c r="K225" s="7"/>
      <c r="L225" s="7"/>
      <c r="M225" s="7"/>
      <c r="N225" s="7">
        <f t="shared" si="3"/>
        <v>1</v>
      </c>
      <c r="O225" s="7"/>
    </row>
    <row r="226">
      <c r="A226" s="26" t="s">
        <v>929</v>
      </c>
      <c r="B226" s="26" t="s">
        <v>930</v>
      </c>
      <c r="C226" s="26" t="s">
        <v>931</v>
      </c>
      <c r="D226" s="27"/>
      <c r="E226" s="28" t="s">
        <v>932</v>
      </c>
      <c r="F226" s="29"/>
      <c r="G226" s="13"/>
      <c r="H226" s="10"/>
      <c r="I226" s="29"/>
      <c r="J226" s="7"/>
      <c r="K226" s="7"/>
      <c r="L226" s="7"/>
      <c r="M226" s="7"/>
      <c r="N226" s="7">
        <f t="shared" si="3"/>
        <v>0</v>
      </c>
      <c r="O226" s="7"/>
    </row>
    <row r="227">
      <c r="A227" s="26" t="s">
        <v>929</v>
      </c>
      <c r="B227" s="26" t="s">
        <v>934</v>
      </c>
      <c r="C227" s="26" t="s">
        <v>935</v>
      </c>
      <c r="D227" s="27"/>
      <c r="E227" s="28" t="s">
        <v>936</v>
      </c>
      <c r="F227" s="29"/>
      <c r="G227" s="13"/>
      <c r="H227" s="10"/>
      <c r="I227" s="29"/>
      <c r="J227" s="7"/>
      <c r="K227" s="7"/>
      <c r="L227" s="7"/>
      <c r="M227" s="7"/>
      <c r="N227" s="7">
        <f t="shared" si="3"/>
        <v>0</v>
      </c>
      <c r="O227" s="7"/>
    </row>
    <row r="228">
      <c r="A228" s="26" t="s">
        <v>937</v>
      </c>
      <c r="B228" s="31" t="s">
        <v>938</v>
      </c>
      <c r="C228" s="26" t="s">
        <v>589</v>
      </c>
      <c r="D228" s="27"/>
      <c r="E228" s="28" t="s">
        <v>939</v>
      </c>
      <c r="F228" s="30" t="s">
        <v>940</v>
      </c>
      <c r="G228" s="13"/>
      <c r="H228" s="10"/>
      <c r="I228" s="30" t="s">
        <v>127</v>
      </c>
      <c r="J228" s="7"/>
      <c r="K228" s="7"/>
      <c r="L228" s="7"/>
      <c r="M228" s="7"/>
      <c r="N228" s="7">
        <f t="shared" si="3"/>
        <v>1</v>
      </c>
      <c r="O228" s="7"/>
    </row>
    <row r="229">
      <c r="A229" s="26" t="s">
        <v>941</v>
      </c>
      <c r="B229" s="26" t="s">
        <v>942</v>
      </c>
      <c r="C229" s="26" t="s">
        <v>589</v>
      </c>
      <c r="D229" s="27"/>
      <c r="E229" s="28" t="s">
        <v>943</v>
      </c>
      <c r="F229" s="29"/>
      <c r="G229" s="13"/>
      <c r="H229" s="10"/>
      <c r="I229" s="30" t="s">
        <v>439</v>
      </c>
      <c r="J229" s="7"/>
      <c r="K229" s="7"/>
      <c r="L229" s="7"/>
      <c r="M229" s="7"/>
      <c r="N229" s="7">
        <f t="shared" si="3"/>
        <v>0</v>
      </c>
      <c r="O229" s="7"/>
    </row>
    <row r="230">
      <c r="A230" s="26" t="s">
        <v>945</v>
      </c>
      <c r="B230" s="26" t="s">
        <v>946</v>
      </c>
      <c r="C230" s="26" t="s">
        <v>589</v>
      </c>
      <c r="D230" s="27"/>
      <c r="E230" s="28" t="s">
        <v>947</v>
      </c>
      <c r="F230" s="30" t="s">
        <v>948</v>
      </c>
      <c r="G230" s="13"/>
      <c r="H230" s="10"/>
      <c r="I230" s="30" t="s">
        <v>290</v>
      </c>
      <c r="J230" s="7"/>
      <c r="K230" s="7"/>
      <c r="L230" s="7"/>
      <c r="M230" s="7"/>
      <c r="N230" s="7">
        <f t="shared" si="3"/>
        <v>1</v>
      </c>
      <c r="O230" s="7"/>
    </row>
    <row r="231">
      <c r="A231" s="26" t="s">
        <v>949</v>
      </c>
      <c r="B231" s="26" t="s">
        <v>950</v>
      </c>
      <c r="C231" s="26" t="s">
        <v>589</v>
      </c>
      <c r="D231" s="27"/>
      <c r="E231" s="28" t="s">
        <v>951</v>
      </c>
      <c r="F231" s="30" t="s">
        <v>952</v>
      </c>
      <c r="G231" s="13"/>
      <c r="H231" s="10"/>
      <c r="I231" s="29"/>
      <c r="J231" s="7"/>
      <c r="K231" s="7"/>
      <c r="L231" s="7"/>
      <c r="M231" s="7"/>
      <c r="N231" s="7">
        <f t="shared" si="3"/>
        <v>1</v>
      </c>
      <c r="O231" s="7"/>
    </row>
    <row r="232">
      <c r="A232" s="26" t="s">
        <v>953</v>
      </c>
      <c r="B232" s="26" t="s">
        <v>954</v>
      </c>
      <c r="C232" s="26" t="s">
        <v>584</v>
      </c>
      <c r="D232" s="26" t="s">
        <v>955</v>
      </c>
      <c r="E232" s="34" t="s">
        <v>956</v>
      </c>
      <c r="F232" s="30" t="s">
        <v>957</v>
      </c>
      <c r="G232" s="13"/>
      <c r="H232" s="10"/>
      <c r="I232" s="29"/>
      <c r="J232" s="7"/>
      <c r="K232" s="7"/>
      <c r="L232" s="7"/>
      <c r="M232" s="7"/>
      <c r="N232" s="7">
        <f t="shared" si="3"/>
        <v>1</v>
      </c>
      <c r="O232" s="7"/>
    </row>
    <row r="233">
      <c r="A233" s="26" t="s">
        <v>958</v>
      </c>
      <c r="B233" s="26" t="s">
        <v>277</v>
      </c>
      <c r="C233" s="26" t="s">
        <v>589</v>
      </c>
      <c r="D233" s="27"/>
      <c r="E233" s="28" t="s">
        <v>959</v>
      </c>
      <c r="F233" s="30" t="s">
        <v>188</v>
      </c>
      <c r="G233" s="13"/>
      <c r="H233" s="10"/>
      <c r="I233" s="30" t="s">
        <v>280</v>
      </c>
      <c r="J233" s="7"/>
      <c r="K233" s="7"/>
      <c r="L233" s="7"/>
      <c r="M233" s="7"/>
      <c r="N233" s="7">
        <f t="shared" si="3"/>
        <v>1</v>
      </c>
      <c r="O233" s="7"/>
    </row>
    <row r="234">
      <c r="A234" s="26" t="s">
        <v>960</v>
      </c>
      <c r="B234" s="26" t="s">
        <v>961</v>
      </c>
      <c r="C234" s="26" t="s">
        <v>589</v>
      </c>
      <c r="D234" s="27"/>
      <c r="E234" s="28" t="s">
        <v>962</v>
      </c>
      <c r="F234" s="30" t="s">
        <v>963</v>
      </c>
      <c r="G234" s="13"/>
      <c r="H234" s="10"/>
      <c r="I234" s="30" t="s">
        <v>20</v>
      </c>
      <c r="J234" s="7"/>
      <c r="K234" s="7"/>
      <c r="L234" s="7"/>
      <c r="M234" s="7"/>
      <c r="N234" s="7">
        <f t="shared" si="3"/>
        <v>1</v>
      </c>
      <c r="O234" s="7"/>
    </row>
    <row r="235">
      <c r="A235" s="26" t="s">
        <v>964</v>
      </c>
      <c r="B235" s="26" t="s">
        <v>965</v>
      </c>
      <c r="C235" s="26" t="s">
        <v>589</v>
      </c>
      <c r="D235" s="26" t="s">
        <v>635</v>
      </c>
      <c r="E235" s="28" t="s">
        <v>966</v>
      </c>
      <c r="F235" s="30"/>
      <c r="G235" s="13"/>
      <c r="H235" s="10"/>
      <c r="I235" s="29"/>
      <c r="J235" s="7"/>
      <c r="K235" s="7"/>
      <c r="L235" s="7"/>
      <c r="M235" s="7"/>
      <c r="N235" s="7">
        <f t="shared" si="3"/>
        <v>0</v>
      </c>
      <c r="O235" s="7"/>
    </row>
    <row r="236">
      <c r="A236" s="26" t="s">
        <v>968</v>
      </c>
      <c r="B236" s="31" t="s">
        <v>969</v>
      </c>
      <c r="C236" s="26" t="s">
        <v>589</v>
      </c>
      <c r="D236" s="27"/>
      <c r="E236" s="34" t="s">
        <v>970</v>
      </c>
      <c r="F236" s="30" t="s">
        <v>971</v>
      </c>
      <c r="G236" s="13"/>
      <c r="H236" s="10"/>
      <c r="I236" s="30" t="s">
        <v>247</v>
      </c>
      <c r="J236" s="7"/>
      <c r="K236" s="7"/>
      <c r="L236" s="7"/>
      <c r="M236" s="7"/>
      <c r="N236" s="7">
        <f t="shared" si="3"/>
        <v>1</v>
      </c>
      <c r="O236" s="7"/>
    </row>
    <row r="237">
      <c r="A237" s="26" t="s">
        <v>972</v>
      </c>
      <c r="B237" s="26" t="s">
        <v>973</v>
      </c>
      <c r="C237" s="26" t="s">
        <v>974</v>
      </c>
      <c r="D237" s="27"/>
      <c r="E237" s="28" t="s">
        <v>976</v>
      </c>
      <c r="F237" s="30" t="s">
        <v>977</v>
      </c>
      <c r="G237" s="13"/>
      <c r="H237" s="10"/>
      <c r="I237" s="29"/>
      <c r="J237" s="7"/>
      <c r="K237" s="7"/>
      <c r="L237" s="7"/>
      <c r="M237" s="7"/>
      <c r="N237" s="7">
        <f t="shared" si="3"/>
        <v>1</v>
      </c>
      <c r="O237" s="7"/>
    </row>
    <row r="238">
      <c r="A238" s="26" t="s">
        <v>978</v>
      </c>
      <c r="B238" s="26" t="s">
        <v>979</v>
      </c>
      <c r="C238" s="26" t="s">
        <v>589</v>
      </c>
      <c r="D238" s="26" t="s">
        <v>598</v>
      </c>
      <c r="E238" s="28" t="s">
        <v>980</v>
      </c>
      <c r="F238" s="29"/>
      <c r="G238" s="13"/>
      <c r="H238" s="10"/>
      <c r="I238" s="29"/>
      <c r="J238" s="7"/>
      <c r="K238" s="7"/>
      <c r="L238" s="7"/>
      <c r="M238" s="7"/>
      <c r="N238" s="7">
        <f t="shared" si="3"/>
        <v>0</v>
      </c>
      <c r="O238" s="7"/>
    </row>
    <row r="239">
      <c r="A239" s="26" t="s">
        <v>981</v>
      </c>
      <c r="B239" s="26" t="s">
        <v>982</v>
      </c>
      <c r="C239" s="26" t="s">
        <v>589</v>
      </c>
      <c r="D239" s="26" t="s">
        <v>598</v>
      </c>
      <c r="E239" s="28" t="s">
        <v>983</v>
      </c>
      <c r="F239" s="30" t="s">
        <v>984</v>
      </c>
      <c r="G239" s="13"/>
      <c r="H239" s="10"/>
      <c r="I239" s="29"/>
      <c r="J239" s="7"/>
      <c r="K239" s="7"/>
      <c r="L239" s="7"/>
      <c r="M239" s="7"/>
      <c r="N239" s="7">
        <f t="shared" si="3"/>
        <v>1</v>
      </c>
      <c r="O239" s="7"/>
    </row>
    <row r="240">
      <c r="A240" s="26" t="s">
        <v>985</v>
      </c>
      <c r="B240" s="26" t="s">
        <v>986</v>
      </c>
      <c r="C240" s="26" t="s">
        <v>589</v>
      </c>
      <c r="D240" s="26" t="s">
        <v>598</v>
      </c>
      <c r="E240" s="28" t="s">
        <v>987</v>
      </c>
      <c r="F240" s="29"/>
      <c r="G240" s="13"/>
      <c r="H240" s="10"/>
      <c r="I240" s="29"/>
      <c r="J240" s="7"/>
      <c r="K240" s="7"/>
      <c r="L240" s="7"/>
      <c r="M240" s="7"/>
      <c r="N240" s="7">
        <f t="shared" si="3"/>
        <v>0</v>
      </c>
      <c r="O240" s="7"/>
    </row>
    <row r="241">
      <c r="A241" s="26" t="s">
        <v>988</v>
      </c>
      <c r="B241" s="26" t="s">
        <v>989</v>
      </c>
      <c r="C241" s="26" t="s">
        <v>589</v>
      </c>
      <c r="D241" s="26" t="s">
        <v>598</v>
      </c>
      <c r="E241" s="28" t="s">
        <v>990</v>
      </c>
      <c r="F241" s="30" t="s">
        <v>991</v>
      </c>
      <c r="G241" s="13"/>
      <c r="H241" s="10"/>
      <c r="I241" s="30" t="s">
        <v>344</v>
      </c>
      <c r="J241" s="7"/>
      <c r="K241" s="7"/>
      <c r="L241" s="7"/>
      <c r="M241" s="7"/>
      <c r="N241" s="7">
        <f t="shared" si="3"/>
        <v>1</v>
      </c>
      <c r="O241" s="7"/>
    </row>
    <row r="242">
      <c r="A242" s="26" t="s">
        <v>992</v>
      </c>
      <c r="B242" s="26" t="s">
        <v>993</v>
      </c>
      <c r="C242" s="26" t="s">
        <v>589</v>
      </c>
      <c r="D242" s="27"/>
      <c r="E242" s="28" t="s">
        <v>994</v>
      </c>
      <c r="F242" s="29"/>
      <c r="G242" s="13"/>
      <c r="H242" s="10"/>
      <c r="I242" s="29"/>
      <c r="J242" s="7"/>
      <c r="K242" s="7"/>
      <c r="L242" s="7"/>
      <c r="M242" s="7"/>
      <c r="N242" s="7">
        <f t="shared" si="3"/>
        <v>0</v>
      </c>
      <c r="O242" s="7"/>
    </row>
    <row r="243">
      <c r="A243" s="26" t="s">
        <v>995</v>
      </c>
      <c r="B243" s="26" t="s">
        <v>996</v>
      </c>
      <c r="C243" s="26" t="s">
        <v>589</v>
      </c>
      <c r="D243" s="26" t="s">
        <v>997</v>
      </c>
      <c r="E243" s="28" t="s">
        <v>998</v>
      </c>
      <c r="F243" s="30"/>
      <c r="G243" s="13"/>
      <c r="H243" s="10"/>
      <c r="I243" s="30"/>
      <c r="J243" s="7"/>
      <c r="K243" s="7"/>
      <c r="L243" s="7"/>
      <c r="M243" s="7"/>
      <c r="N243" s="7">
        <f t="shared" si="3"/>
        <v>0</v>
      </c>
      <c r="O243" s="7"/>
    </row>
    <row r="244">
      <c r="A244" s="26" t="s">
        <v>999</v>
      </c>
      <c r="B244" s="26" t="s">
        <v>1000</v>
      </c>
      <c r="C244" s="26" t="s">
        <v>589</v>
      </c>
      <c r="D244" s="26" t="s">
        <v>598</v>
      </c>
      <c r="E244" s="28" t="s">
        <v>1001</v>
      </c>
      <c r="F244" s="30" t="s">
        <v>1002</v>
      </c>
      <c r="G244" s="13"/>
      <c r="H244" s="10"/>
      <c r="I244" s="29"/>
      <c r="J244" s="7"/>
      <c r="K244" s="7"/>
      <c r="L244" s="7"/>
      <c r="M244" s="7"/>
      <c r="N244" s="7">
        <f t="shared" si="3"/>
        <v>1</v>
      </c>
      <c r="O244" s="7"/>
    </row>
    <row r="245">
      <c r="A245" s="26" t="s">
        <v>1003</v>
      </c>
      <c r="B245" s="31" t="s">
        <v>1004</v>
      </c>
      <c r="C245" s="26" t="s">
        <v>589</v>
      </c>
      <c r="D245" s="27"/>
      <c r="E245" s="28" t="s">
        <v>1005</v>
      </c>
      <c r="F245" s="30" t="s">
        <v>1007</v>
      </c>
      <c r="G245" s="13"/>
      <c r="H245" s="10"/>
      <c r="I245" s="29"/>
      <c r="J245" s="7"/>
      <c r="K245" s="7"/>
      <c r="L245" s="7"/>
      <c r="M245" s="7"/>
      <c r="N245" s="7">
        <f t="shared" si="3"/>
        <v>1</v>
      </c>
      <c r="O245" s="7"/>
    </row>
    <row r="246">
      <c r="A246" s="26" t="s">
        <v>1008</v>
      </c>
      <c r="B246" s="31" t="s">
        <v>1009</v>
      </c>
      <c r="C246" s="26" t="s">
        <v>589</v>
      </c>
      <c r="D246" s="27"/>
      <c r="E246" s="28" t="s">
        <v>1010</v>
      </c>
      <c r="F246" s="30" t="s">
        <v>1011</v>
      </c>
      <c r="G246" s="13"/>
      <c r="H246" s="10"/>
      <c r="I246" s="29"/>
      <c r="J246" s="7"/>
      <c r="K246" s="7"/>
      <c r="L246" s="7"/>
      <c r="M246" s="7"/>
      <c r="N246" s="7">
        <f t="shared" si="3"/>
        <v>1</v>
      </c>
      <c r="O246" s="7"/>
    </row>
    <row r="247">
      <c r="A247" s="26" t="s">
        <v>1013</v>
      </c>
      <c r="B247" s="26" t="s">
        <v>1014</v>
      </c>
      <c r="C247" s="26" t="s">
        <v>589</v>
      </c>
      <c r="D247" s="26" t="s">
        <v>598</v>
      </c>
      <c r="E247" s="28" t="s">
        <v>1015</v>
      </c>
      <c r="F247" s="29"/>
      <c r="G247" s="13"/>
      <c r="H247" s="10"/>
      <c r="I247" s="29"/>
      <c r="J247" s="7"/>
      <c r="K247" s="7"/>
      <c r="L247" s="7"/>
      <c r="M247" s="7"/>
      <c r="N247" s="7">
        <f t="shared" si="3"/>
        <v>0</v>
      </c>
      <c r="O247" s="7"/>
    </row>
    <row r="248">
      <c r="A248" s="26" t="s">
        <v>1016</v>
      </c>
      <c r="B248" s="26" t="s">
        <v>1017</v>
      </c>
      <c r="C248" s="26" t="s">
        <v>589</v>
      </c>
      <c r="D248" s="27"/>
      <c r="E248" s="28" t="s">
        <v>1018</v>
      </c>
      <c r="F248" s="30" t="s">
        <v>154</v>
      </c>
      <c r="G248" s="13"/>
      <c r="H248" s="10"/>
      <c r="I248" s="29"/>
      <c r="J248" s="7"/>
      <c r="K248" s="7"/>
      <c r="L248" s="7"/>
      <c r="M248" s="7"/>
      <c r="N248" s="7">
        <f t="shared" si="3"/>
        <v>1</v>
      </c>
      <c r="O248" s="7"/>
    </row>
    <row r="249">
      <c r="A249" s="26" t="s">
        <v>1019</v>
      </c>
      <c r="B249" s="31" t="s">
        <v>1020</v>
      </c>
      <c r="C249" s="26" t="s">
        <v>589</v>
      </c>
      <c r="D249" s="27"/>
      <c r="E249" s="26" t="s">
        <v>1021</v>
      </c>
      <c r="F249" s="30" t="s">
        <v>1022</v>
      </c>
      <c r="G249" s="13"/>
      <c r="H249" s="10"/>
      <c r="I249" s="30" t="s">
        <v>427</v>
      </c>
      <c r="J249" s="7"/>
      <c r="K249" s="7"/>
      <c r="L249" s="7"/>
      <c r="M249" s="7"/>
      <c r="N249" s="7">
        <f t="shared" si="3"/>
        <v>1</v>
      </c>
      <c r="O249" s="7"/>
    </row>
    <row r="250">
      <c r="A250" s="31" t="s">
        <v>1023</v>
      </c>
      <c r="B250" s="26" t="s">
        <v>1024</v>
      </c>
      <c r="C250" s="26" t="s">
        <v>589</v>
      </c>
      <c r="D250" s="26" t="s">
        <v>598</v>
      </c>
      <c r="E250" s="27"/>
      <c r="F250" s="29"/>
      <c r="G250" s="13"/>
      <c r="H250" s="10"/>
      <c r="I250" s="29"/>
      <c r="J250" s="7"/>
      <c r="K250" s="7"/>
      <c r="L250" s="7"/>
      <c r="M250" s="7"/>
      <c r="N250" s="7">
        <f t="shared" si="3"/>
        <v>0</v>
      </c>
      <c r="O250" s="7"/>
    </row>
    <row r="251">
      <c r="A251" s="31" t="s">
        <v>1023</v>
      </c>
      <c r="B251" s="26" t="s">
        <v>1024</v>
      </c>
      <c r="C251" s="26" t="s">
        <v>1025</v>
      </c>
      <c r="D251" s="26" t="s">
        <v>1026</v>
      </c>
      <c r="E251" s="27"/>
      <c r="F251" s="30" t="s">
        <v>1027</v>
      </c>
      <c r="G251" s="13"/>
      <c r="H251" s="10"/>
      <c r="I251" s="29"/>
      <c r="J251" s="7"/>
      <c r="K251" s="7"/>
      <c r="L251" s="7"/>
      <c r="M251" s="7"/>
      <c r="N251" s="7">
        <f t="shared" si="3"/>
        <v>1</v>
      </c>
      <c r="O251" s="7"/>
    </row>
    <row r="252">
      <c r="A252" s="26" t="s">
        <v>1028</v>
      </c>
      <c r="B252" s="26" t="s">
        <v>1029</v>
      </c>
      <c r="C252" s="26" t="s">
        <v>584</v>
      </c>
      <c r="D252" s="27"/>
      <c r="E252" s="32" t="s">
        <v>1030</v>
      </c>
      <c r="F252" s="29"/>
      <c r="G252" s="13"/>
      <c r="H252" s="10"/>
      <c r="I252" s="29"/>
      <c r="J252" s="7"/>
      <c r="K252" s="7"/>
      <c r="L252" s="7"/>
      <c r="M252" s="7"/>
      <c r="N252" s="7">
        <f t="shared" si="3"/>
        <v>0</v>
      </c>
      <c r="O252" s="7"/>
    </row>
    <row r="253">
      <c r="A253" s="26" t="s">
        <v>1031</v>
      </c>
      <c r="B253" s="26" t="s">
        <v>1032</v>
      </c>
      <c r="C253" s="26" t="s">
        <v>589</v>
      </c>
      <c r="D253" s="26" t="s">
        <v>598</v>
      </c>
      <c r="E253" s="28" t="s">
        <v>1033</v>
      </c>
      <c r="F253" s="29"/>
      <c r="G253" s="13"/>
      <c r="H253" s="10"/>
      <c r="I253" s="29"/>
      <c r="J253" s="7"/>
      <c r="K253" s="7"/>
      <c r="L253" s="7"/>
      <c r="M253" s="7"/>
      <c r="N253" s="7">
        <f t="shared" si="3"/>
        <v>0</v>
      </c>
      <c r="O253" s="7"/>
    </row>
    <row r="254">
      <c r="A254" s="26" t="s">
        <v>1035</v>
      </c>
      <c r="B254" s="26" t="s">
        <v>1036</v>
      </c>
      <c r="C254" s="26" t="s">
        <v>589</v>
      </c>
      <c r="D254" s="26" t="s">
        <v>635</v>
      </c>
      <c r="E254" s="28" t="s">
        <v>1037</v>
      </c>
      <c r="F254" s="30" t="s">
        <v>1038</v>
      </c>
      <c r="G254" s="13"/>
      <c r="H254" s="10"/>
      <c r="I254" s="29"/>
      <c r="J254" s="7"/>
      <c r="K254" s="7"/>
      <c r="L254" s="7"/>
      <c r="M254" s="7"/>
      <c r="N254" s="7">
        <f t="shared" si="3"/>
        <v>1</v>
      </c>
      <c r="O254" s="7"/>
    </row>
    <row r="255">
      <c r="A255" s="26" t="s">
        <v>1039</v>
      </c>
      <c r="B255" s="26" t="s">
        <v>1040</v>
      </c>
      <c r="C255" s="26" t="s">
        <v>589</v>
      </c>
      <c r="D255" s="27"/>
      <c r="E255" s="28" t="s">
        <v>1041</v>
      </c>
      <c r="F255" s="30" t="s">
        <v>1042</v>
      </c>
      <c r="G255" s="13"/>
      <c r="H255" s="10"/>
      <c r="I255" s="29"/>
      <c r="J255" s="7"/>
      <c r="K255" s="7"/>
      <c r="L255" s="7"/>
      <c r="M255" s="7"/>
      <c r="N255" s="7">
        <f t="shared" si="3"/>
        <v>1</v>
      </c>
      <c r="O255" s="7"/>
    </row>
    <row r="256">
      <c r="A256" s="26" t="s">
        <v>1043</v>
      </c>
      <c r="B256" s="26" t="s">
        <v>1044</v>
      </c>
      <c r="C256" s="26" t="s">
        <v>589</v>
      </c>
      <c r="D256" s="27"/>
      <c r="E256" s="28" t="s">
        <v>1045</v>
      </c>
      <c r="F256" s="29"/>
      <c r="G256" s="13"/>
      <c r="H256" s="10"/>
      <c r="I256" s="29"/>
      <c r="J256" s="7"/>
      <c r="K256" s="7"/>
      <c r="L256" s="7"/>
      <c r="M256" s="7"/>
      <c r="N256" s="7">
        <f t="shared" si="3"/>
        <v>0</v>
      </c>
      <c r="O256" s="7"/>
    </row>
    <row r="257">
      <c r="A257" s="26" t="s">
        <v>1047</v>
      </c>
      <c r="B257" s="26" t="s">
        <v>1048</v>
      </c>
      <c r="C257" s="26" t="s">
        <v>589</v>
      </c>
      <c r="D257" s="26" t="s">
        <v>635</v>
      </c>
      <c r="E257" s="28" t="s">
        <v>1049</v>
      </c>
      <c r="F257" s="29"/>
      <c r="G257" s="13"/>
      <c r="H257" s="10"/>
      <c r="I257" s="29"/>
      <c r="J257" s="7"/>
      <c r="K257" s="7"/>
      <c r="L257" s="7"/>
      <c r="M257" s="7"/>
      <c r="N257" s="7">
        <f t="shared" si="3"/>
        <v>0</v>
      </c>
      <c r="O257" s="7"/>
    </row>
    <row r="258">
      <c r="A258" s="26" t="s">
        <v>1050</v>
      </c>
      <c r="B258" s="26" t="s">
        <v>1051</v>
      </c>
      <c r="C258" s="26" t="s">
        <v>589</v>
      </c>
      <c r="D258" s="27"/>
      <c r="E258" s="28" t="s">
        <v>1052</v>
      </c>
      <c r="F258" s="30" t="s">
        <v>1053</v>
      </c>
      <c r="G258" s="13"/>
      <c r="H258" s="10"/>
      <c r="I258" s="29"/>
      <c r="J258" s="7"/>
      <c r="K258" s="7"/>
      <c r="L258" s="7"/>
      <c r="M258" s="7"/>
      <c r="N258" s="7">
        <f t="shared" si="3"/>
        <v>1</v>
      </c>
      <c r="O258" s="7"/>
    </row>
    <row r="259">
      <c r="A259" s="26" t="s">
        <v>1054</v>
      </c>
      <c r="B259" s="26" t="s">
        <v>1055</v>
      </c>
      <c r="C259" s="26" t="s">
        <v>589</v>
      </c>
      <c r="D259" s="27"/>
      <c r="E259" s="28" t="s">
        <v>1056</v>
      </c>
      <c r="F259" s="29"/>
      <c r="G259" s="13"/>
      <c r="H259" s="10"/>
      <c r="I259" s="29"/>
      <c r="J259" s="7"/>
      <c r="K259" s="7"/>
      <c r="L259" s="7"/>
      <c r="M259" s="7"/>
      <c r="N259" s="7">
        <f t="shared" si="3"/>
        <v>0</v>
      </c>
      <c r="O259" s="7"/>
    </row>
    <row r="260">
      <c r="A260" s="26" t="s">
        <v>1057</v>
      </c>
      <c r="B260" s="26" t="s">
        <v>1058</v>
      </c>
      <c r="C260" s="26" t="s">
        <v>1059</v>
      </c>
      <c r="D260" s="26" t="s">
        <v>635</v>
      </c>
      <c r="E260" s="28" t="s">
        <v>1060</v>
      </c>
      <c r="F260" s="30" t="s">
        <v>1061</v>
      </c>
      <c r="G260" s="13"/>
      <c r="H260" s="10"/>
      <c r="I260" s="29"/>
      <c r="J260" s="7"/>
      <c r="K260" s="7"/>
      <c r="L260" s="7"/>
      <c r="M260" s="7"/>
      <c r="N260" s="7">
        <f t="shared" si="3"/>
        <v>1</v>
      </c>
      <c r="O260" s="7"/>
    </row>
    <row r="261">
      <c r="A261" s="26" t="s">
        <v>1062</v>
      </c>
      <c r="B261" s="26" t="s">
        <v>1063</v>
      </c>
      <c r="C261" s="26" t="s">
        <v>589</v>
      </c>
      <c r="D261" s="26" t="s">
        <v>598</v>
      </c>
      <c r="E261" s="28" t="s">
        <v>1064</v>
      </c>
      <c r="F261" s="29"/>
      <c r="G261" s="13"/>
      <c r="H261" s="10"/>
      <c r="I261" s="29"/>
      <c r="J261" s="7"/>
      <c r="K261" s="7"/>
      <c r="L261" s="7"/>
      <c r="M261" s="7"/>
      <c r="N261" s="7">
        <f t="shared" si="3"/>
        <v>0</v>
      </c>
      <c r="O261" s="7"/>
    </row>
    <row r="262">
      <c r="A262" s="26" t="s">
        <v>1065</v>
      </c>
      <c r="B262" s="26" t="s">
        <v>1066</v>
      </c>
      <c r="C262" s="26" t="s">
        <v>584</v>
      </c>
      <c r="D262" s="27"/>
      <c r="E262" s="32" t="s">
        <v>1067</v>
      </c>
      <c r="F262" s="30" t="s">
        <v>1068</v>
      </c>
      <c r="G262" s="13"/>
      <c r="H262" s="10"/>
      <c r="I262" s="29"/>
      <c r="J262" s="7"/>
      <c r="K262" s="7"/>
      <c r="L262" s="7"/>
      <c r="M262" s="7"/>
      <c r="N262" s="7">
        <f t="shared" si="3"/>
        <v>1</v>
      </c>
      <c r="O262" s="7"/>
    </row>
    <row r="263">
      <c r="A263" s="26" t="s">
        <v>1070</v>
      </c>
      <c r="B263" s="26" t="s">
        <v>1071</v>
      </c>
      <c r="C263" s="26" t="s">
        <v>589</v>
      </c>
      <c r="D263" s="26" t="s">
        <v>598</v>
      </c>
      <c r="E263" s="28" t="s">
        <v>1072</v>
      </c>
      <c r="F263" s="29"/>
      <c r="G263" s="13"/>
      <c r="H263" s="10"/>
      <c r="I263" s="29"/>
      <c r="J263" s="7"/>
      <c r="K263" s="7"/>
      <c r="L263" s="7"/>
      <c r="M263" s="7"/>
      <c r="N263" s="7">
        <f t="shared" si="3"/>
        <v>0</v>
      </c>
      <c r="O263" s="7"/>
    </row>
    <row r="264">
      <c r="A264" s="26" t="s">
        <v>1073</v>
      </c>
      <c r="B264" s="26" t="s">
        <v>1074</v>
      </c>
      <c r="C264" s="26" t="s">
        <v>835</v>
      </c>
      <c r="D264" s="27"/>
      <c r="E264" s="28" t="s">
        <v>1075</v>
      </c>
      <c r="F264" s="29"/>
      <c r="G264" s="13"/>
      <c r="H264" s="10"/>
      <c r="I264" s="29"/>
      <c r="J264" s="7"/>
      <c r="K264" s="7"/>
      <c r="L264" s="7"/>
      <c r="M264" s="7"/>
      <c r="N264" s="7">
        <f t="shared" si="3"/>
        <v>0</v>
      </c>
      <c r="O264" s="7"/>
    </row>
    <row r="265">
      <c r="A265" s="26" t="s">
        <v>1076</v>
      </c>
      <c r="B265" s="26" t="s">
        <v>1077</v>
      </c>
      <c r="C265" s="26" t="s">
        <v>589</v>
      </c>
      <c r="D265" s="26" t="s">
        <v>598</v>
      </c>
      <c r="E265" s="28" t="s">
        <v>1078</v>
      </c>
      <c r="F265" s="29"/>
      <c r="G265" s="13"/>
      <c r="H265" s="10"/>
      <c r="I265" s="29"/>
      <c r="J265" s="7"/>
      <c r="K265" s="7"/>
      <c r="L265" s="7"/>
      <c r="M265" s="7"/>
      <c r="N265" s="7">
        <f t="shared" si="3"/>
        <v>0</v>
      </c>
      <c r="O265" s="7"/>
    </row>
    <row r="266">
      <c r="A266" s="26" t="s">
        <v>1079</v>
      </c>
      <c r="B266" s="26" t="s">
        <v>1080</v>
      </c>
      <c r="C266" s="26" t="s">
        <v>584</v>
      </c>
      <c r="D266" s="27"/>
      <c r="E266" s="28" t="s">
        <v>1081</v>
      </c>
      <c r="F266" s="29"/>
      <c r="G266" s="13"/>
      <c r="H266" s="10"/>
      <c r="I266" s="29"/>
      <c r="J266" s="7"/>
      <c r="K266" s="7"/>
      <c r="L266" s="7"/>
      <c r="M266" s="7"/>
      <c r="N266" s="7">
        <f t="shared" si="3"/>
        <v>0</v>
      </c>
      <c r="O266" s="7"/>
    </row>
    <row r="267">
      <c r="A267" s="26" t="s">
        <v>1082</v>
      </c>
      <c r="B267" s="26" t="s">
        <v>1083</v>
      </c>
      <c r="C267" s="26" t="s">
        <v>589</v>
      </c>
      <c r="D267" s="27"/>
      <c r="E267" s="28" t="s">
        <v>1084</v>
      </c>
      <c r="F267" s="29"/>
      <c r="G267" s="13"/>
      <c r="H267" s="10"/>
      <c r="I267" s="29"/>
      <c r="J267" s="7"/>
      <c r="K267" s="7"/>
      <c r="L267" s="7"/>
      <c r="M267" s="7"/>
      <c r="N267" s="7">
        <f t="shared" si="3"/>
        <v>0</v>
      </c>
      <c r="O267" s="7"/>
    </row>
    <row r="268">
      <c r="A268" s="26" t="s">
        <v>1085</v>
      </c>
      <c r="B268" s="26" t="s">
        <v>1086</v>
      </c>
      <c r="C268" s="26" t="s">
        <v>589</v>
      </c>
      <c r="D268" s="26" t="s">
        <v>1087</v>
      </c>
      <c r="E268" s="28" t="s">
        <v>1088</v>
      </c>
      <c r="F268" s="30" t="s">
        <v>1089</v>
      </c>
      <c r="G268" s="13"/>
      <c r="H268" s="10"/>
      <c r="I268" s="29"/>
      <c r="J268" s="7"/>
      <c r="K268" s="7"/>
      <c r="L268" s="7"/>
      <c r="M268" s="7"/>
      <c r="N268" s="7">
        <f t="shared" si="3"/>
        <v>1</v>
      </c>
      <c r="O268" s="7"/>
    </row>
    <row r="269">
      <c r="A269" s="26" t="s">
        <v>1090</v>
      </c>
      <c r="B269" s="26" t="s">
        <v>1091</v>
      </c>
      <c r="C269" s="26" t="s">
        <v>589</v>
      </c>
      <c r="D269" s="26" t="s">
        <v>235</v>
      </c>
      <c r="E269" s="28" t="s">
        <v>1088</v>
      </c>
      <c r="F269" s="30" t="s">
        <v>1092</v>
      </c>
      <c r="G269" s="13"/>
      <c r="H269" s="10"/>
      <c r="I269" s="30" t="s">
        <v>235</v>
      </c>
      <c r="J269" s="7"/>
      <c r="K269" s="7"/>
      <c r="L269" s="7"/>
      <c r="M269" s="7"/>
      <c r="N269" s="7">
        <f t="shared" si="3"/>
        <v>1</v>
      </c>
      <c r="O269" s="7"/>
    </row>
    <row r="270">
      <c r="A270" s="26" t="s">
        <v>1093</v>
      </c>
      <c r="B270" s="26" t="s">
        <v>1094</v>
      </c>
      <c r="C270" s="26" t="s">
        <v>589</v>
      </c>
      <c r="D270" s="26" t="s">
        <v>235</v>
      </c>
      <c r="E270" s="28" t="s">
        <v>1088</v>
      </c>
      <c r="F270" s="30" t="s">
        <v>1095</v>
      </c>
      <c r="G270" s="13"/>
      <c r="H270" s="10"/>
      <c r="I270" s="29"/>
      <c r="J270" s="7"/>
      <c r="K270" s="7"/>
      <c r="L270" s="7"/>
      <c r="M270" s="7"/>
      <c r="N270" s="7">
        <f t="shared" si="3"/>
        <v>1</v>
      </c>
      <c r="O270" s="7"/>
    </row>
    <row r="271">
      <c r="A271" s="26" t="s">
        <v>1096</v>
      </c>
      <c r="B271" s="26" t="s">
        <v>1097</v>
      </c>
      <c r="C271" s="26" t="s">
        <v>589</v>
      </c>
      <c r="D271" s="27"/>
      <c r="E271" s="32" t="s">
        <v>1098</v>
      </c>
      <c r="F271" s="30" t="s">
        <v>1099</v>
      </c>
      <c r="G271" s="13"/>
      <c r="H271" s="10"/>
      <c r="I271" s="29"/>
      <c r="J271" s="7"/>
      <c r="K271" s="7"/>
      <c r="L271" s="7"/>
      <c r="M271" s="7"/>
      <c r="N271" s="7">
        <f t="shared" si="3"/>
        <v>1</v>
      </c>
      <c r="O271" s="7"/>
    </row>
    <row r="272">
      <c r="A272" s="26" t="s">
        <v>1100</v>
      </c>
      <c r="B272" s="26" t="s">
        <v>1101</v>
      </c>
      <c r="C272" s="26" t="s">
        <v>589</v>
      </c>
      <c r="D272" s="27"/>
      <c r="E272" s="28" t="s">
        <v>1102</v>
      </c>
      <c r="F272" s="30" t="s">
        <v>1103</v>
      </c>
      <c r="G272" s="13"/>
      <c r="H272" s="10"/>
      <c r="I272" s="29"/>
      <c r="J272" s="7"/>
      <c r="K272" s="7"/>
      <c r="L272" s="7"/>
      <c r="M272" s="7"/>
      <c r="N272" s="7">
        <f t="shared" si="3"/>
        <v>1</v>
      </c>
      <c r="O272" s="7"/>
    </row>
    <row r="273">
      <c r="A273" s="26" t="s">
        <v>1104</v>
      </c>
      <c r="B273" s="26" t="s">
        <v>1105</v>
      </c>
      <c r="C273" s="26" t="s">
        <v>589</v>
      </c>
      <c r="D273" s="27"/>
      <c r="E273" s="28" t="s">
        <v>1106</v>
      </c>
      <c r="F273" s="30" t="s">
        <v>1107</v>
      </c>
      <c r="G273" s="13"/>
      <c r="H273" s="10"/>
      <c r="I273" s="29"/>
      <c r="J273" s="7"/>
      <c r="K273" s="7"/>
      <c r="L273" s="7"/>
      <c r="M273" s="7"/>
      <c r="N273" s="7">
        <f t="shared" si="3"/>
        <v>1</v>
      </c>
      <c r="O273" s="7"/>
    </row>
    <row r="274">
      <c r="A274" s="26" t="s">
        <v>1108</v>
      </c>
      <c r="B274" s="26" t="s">
        <v>1109</v>
      </c>
      <c r="C274" s="26" t="s">
        <v>648</v>
      </c>
      <c r="D274" s="26" t="s">
        <v>1026</v>
      </c>
      <c r="E274" s="27"/>
      <c r="F274" s="30" t="s">
        <v>1110</v>
      </c>
      <c r="G274" s="13"/>
      <c r="H274" s="10"/>
      <c r="I274" s="29"/>
      <c r="J274" s="7"/>
      <c r="K274" s="7"/>
      <c r="L274" s="7"/>
      <c r="M274" s="7"/>
      <c r="N274" s="7">
        <f t="shared" si="3"/>
        <v>1</v>
      </c>
      <c r="O274" s="7"/>
    </row>
    <row r="275">
      <c r="A275" s="26" t="s">
        <v>1111</v>
      </c>
      <c r="B275" s="26" t="s">
        <v>1112</v>
      </c>
      <c r="C275" s="26" t="s">
        <v>589</v>
      </c>
      <c r="D275" s="27"/>
      <c r="E275" s="28" t="s">
        <v>1113</v>
      </c>
      <c r="F275" s="29"/>
      <c r="G275" s="13"/>
      <c r="H275" s="10"/>
      <c r="I275" s="29"/>
      <c r="J275" s="7"/>
      <c r="K275" s="7"/>
      <c r="L275" s="7"/>
      <c r="M275" s="7"/>
      <c r="N275" s="7">
        <f t="shared" si="3"/>
        <v>0</v>
      </c>
      <c r="O275" s="7"/>
    </row>
    <row r="276">
      <c r="A276" s="26" t="s">
        <v>1114</v>
      </c>
      <c r="B276" s="26" t="s">
        <v>1115</v>
      </c>
      <c r="C276" s="26" t="s">
        <v>589</v>
      </c>
      <c r="D276" s="27"/>
      <c r="E276" s="28" t="s">
        <v>1116</v>
      </c>
      <c r="F276" s="29"/>
      <c r="G276" s="13"/>
      <c r="H276" s="10"/>
      <c r="I276" s="29"/>
      <c r="J276" s="7"/>
      <c r="K276" s="7"/>
      <c r="L276" s="7"/>
      <c r="M276" s="7"/>
      <c r="N276" s="7">
        <f t="shared" si="3"/>
        <v>0</v>
      </c>
      <c r="O276" s="7"/>
    </row>
    <row r="277">
      <c r="A277" s="26" t="s">
        <v>1117</v>
      </c>
      <c r="B277" s="26" t="s">
        <v>1118</v>
      </c>
      <c r="C277" s="26" t="s">
        <v>589</v>
      </c>
      <c r="D277" s="26" t="s">
        <v>598</v>
      </c>
      <c r="E277" s="28" t="s">
        <v>1119</v>
      </c>
      <c r="F277" s="29"/>
      <c r="G277" s="13"/>
      <c r="H277" s="10"/>
      <c r="I277" s="29"/>
      <c r="J277" s="7"/>
      <c r="K277" s="7"/>
      <c r="L277" s="7"/>
      <c r="M277" s="7"/>
      <c r="N277" s="7">
        <f t="shared" si="3"/>
        <v>0</v>
      </c>
      <c r="O277" s="7"/>
    </row>
    <row r="278">
      <c r="A278" s="26" t="s">
        <v>1120</v>
      </c>
      <c r="B278" s="26" t="s">
        <v>1020</v>
      </c>
      <c r="C278" s="26" t="s">
        <v>589</v>
      </c>
      <c r="D278" s="27"/>
      <c r="E278" s="28" t="s">
        <v>1121</v>
      </c>
      <c r="F278" s="30" t="s">
        <v>1122</v>
      </c>
      <c r="G278" s="13"/>
      <c r="H278" s="10"/>
      <c r="I278" s="30" t="s">
        <v>351</v>
      </c>
      <c r="J278" s="7"/>
      <c r="K278" s="7"/>
      <c r="L278" s="7"/>
      <c r="M278" s="7"/>
      <c r="N278" s="7">
        <f t="shared" si="3"/>
        <v>1</v>
      </c>
      <c r="O278" s="7"/>
    </row>
    <row r="279">
      <c r="A279" s="26" t="s">
        <v>1123</v>
      </c>
      <c r="B279" s="26" t="s">
        <v>1124</v>
      </c>
      <c r="C279" s="26" t="s">
        <v>589</v>
      </c>
      <c r="D279" s="27"/>
      <c r="E279" s="28" t="s">
        <v>1125</v>
      </c>
      <c r="F279" s="30" t="s">
        <v>1126</v>
      </c>
      <c r="G279" s="13"/>
      <c r="H279" s="10"/>
      <c r="I279" s="30" t="s">
        <v>260</v>
      </c>
      <c r="J279" s="7"/>
      <c r="K279" s="7"/>
      <c r="L279" s="7"/>
      <c r="M279" s="7"/>
      <c r="N279" s="7">
        <f t="shared" si="3"/>
        <v>1</v>
      </c>
      <c r="O279" s="7"/>
    </row>
    <row r="280">
      <c r="A280" s="26" t="s">
        <v>1127</v>
      </c>
      <c r="B280" s="26" t="s">
        <v>1128</v>
      </c>
      <c r="C280" s="26" t="s">
        <v>589</v>
      </c>
      <c r="D280" s="27"/>
      <c r="E280" s="28" t="s">
        <v>1129</v>
      </c>
      <c r="F280" s="30" t="s">
        <v>1130</v>
      </c>
      <c r="G280" s="13"/>
      <c r="H280" s="10"/>
      <c r="I280" s="30" t="s">
        <v>324</v>
      </c>
      <c r="J280" s="7"/>
      <c r="K280" s="7"/>
      <c r="L280" s="7"/>
      <c r="M280" s="7"/>
      <c r="N280" s="7">
        <f t="shared" si="3"/>
        <v>1</v>
      </c>
      <c r="O280" s="7"/>
    </row>
    <row r="281">
      <c r="A281" s="26" t="s">
        <v>1131</v>
      </c>
      <c r="B281" s="31" t="s">
        <v>1132</v>
      </c>
      <c r="C281" s="26" t="s">
        <v>589</v>
      </c>
      <c r="D281" s="26" t="s">
        <v>598</v>
      </c>
      <c r="E281" s="28" t="s">
        <v>1133</v>
      </c>
      <c r="F281" s="29"/>
      <c r="G281" s="13"/>
      <c r="H281" s="10"/>
      <c r="I281" s="29"/>
      <c r="J281" s="7"/>
      <c r="K281" s="7"/>
      <c r="L281" s="7"/>
      <c r="M281" s="7"/>
      <c r="N281" s="7">
        <f t="shared" si="3"/>
        <v>0</v>
      </c>
      <c r="O281" s="7"/>
    </row>
    <row r="282">
      <c r="A282" s="26" t="s">
        <v>1134</v>
      </c>
      <c r="B282" s="31" t="s">
        <v>1135</v>
      </c>
      <c r="C282" s="26" t="s">
        <v>589</v>
      </c>
      <c r="D282" s="27"/>
      <c r="E282" s="28" t="s">
        <v>1136</v>
      </c>
      <c r="F282" s="29"/>
      <c r="G282" s="13"/>
      <c r="H282" s="10"/>
      <c r="I282" s="29"/>
      <c r="J282" s="7"/>
      <c r="K282" s="7"/>
      <c r="L282" s="7"/>
      <c r="M282" s="7"/>
      <c r="N282" s="7">
        <f t="shared" si="3"/>
        <v>0</v>
      </c>
      <c r="O282" s="7"/>
    </row>
    <row r="283">
      <c r="A283" s="31" t="s">
        <v>1138</v>
      </c>
      <c r="B283" s="26" t="s">
        <v>1139</v>
      </c>
      <c r="C283" s="26" t="s">
        <v>589</v>
      </c>
      <c r="D283" s="26" t="s">
        <v>598</v>
      </c>
      <c r="E283" s="27"/>
      <c r="F283" s="30" t="s">
        <v>1140</v>
      </c>
      <c r="G283" s="13"/>
      <c r="H283" s="10"/>
      <c r="I283" s="29"/>
      <c r="J283" s="7"/>
      <c r="K283" s="7"/>
      <c r="L283" s="7"/>
      <c r="M283" s="7"/>
      <c r="N283" s="7">
        <f t="shared" si="3"/>
        <v>1</v>
      </c>
      <c r="O283" s="7"/>
    </row>
    <row r="284">
      <c r="A284" s="26" t="s">
        <v>1141</v>
      </c>
      <c r="B284" s="26" t="s">
        <v>1142</v>
      </c>
      <c r="C284" s="26" t="s">
        <v>589</v>
      </c>
      <c r="D284" s="27"/>
      <c r="E284" s="28" t="s">
        <v>1143</v>
      </c>
      <c r="F284" s="30" t="s">
        <v>1144</v>
      </c>
      <c r="G284" s="13"/>
      <c r="H284" s="10"/>
      <c r="I284" s="29"/>
      <c r="J284" s="7"/>
      <c r="K284" s="7"/>
      <c r="L284" s="7"/>
      <c r="M284" s="7"/>
      <c r="N284" s="7">
        <f t="shared" si="3"/>
        <v>1</v>
      </c>
      <c r="O284" s="7"/>
    </row>
    <row r="285">
      <c r="A285" s="26" t="s">
        <v>1145</v>
      </c>
      <c r="B285" s="26" t="s">
        <v>1146</v>
      </c>
      <c r="C285" s="26" t="s">
        <v>584</v>
      </c>
      <c r="D285" s="27"/>
      <c r="E285" s="33" t="s">
        <v>1147</v>
      </c>
      <c r="F285" s="30" t="s">
        <v>1148</v>
      </c>
      <c r="G285" s="13"/>
      <c r="H285" s="10"/>
      <c r="I285" s="29"/>
      <c r="J285" s="7"/>
      <c r="K285" s="7"/>
      <c r="L285" s="7"/>
      <c r="M285" s="7"/>
      <c r="N285" s="7">
        <f t="shared" si="3"/>
        <v>1</v>
      </c>
      <c r="O285" s="7"/>
    </row>
    <row r="286">
      <c r="A286" s="26" t="s">
        <v>1149</v>
      </c>
      <c r="B286" s="26" t="s">
        <v>1150</v>
      </c>
      <c r="C286" s="26" t="s">
        <v>1151</v>
      </c>
      <c r="D286" s="27"/>
      <c r="E286" s="28" t="s">
        <v>1152</v>
      </c>
      <c r="F286" s="29"/>
      <c r="G286" s="13"/>
      <c r="H286" s="10"/>
      <c r="I286" s="29"/>
      <c r="J286" s="7"/>
      <c r="K286" s="7"/>
      <c r="L286" s="7"/>
      <c r="M286" s="7"/>
      <c r="N286" s="7">
        <f t="shared" si="3"/>
        <v>0</v>
      </c>
      <c r="O286" s="7"/>
    </row>
    <row r="287">
      <c r="A287" s="31" t="s">
        <v>1153</v>
      </c>
      <c r="B287" s="26" t="s">
        <v>1154</v>
      </c>
      <c r="C287" s="26" t="s">
        <v>589</v>
      </c>
      <c r="D287" s="27"/>
      <c r="E287" s="28" t="s">
        <v>1155</v>
      </c>
      <c r="F287" s="30" t="s">
        <v>1156</v>
      </c>
      <c r="G287" s="13"/>
      <c r="H287" s="10"/>
      <c r="I287" s="30" t="s">
        <v>39</v>
      </c>
      <c r="J287" s="7"/>
      <c r="K287" s="7"/>
      <c r="L287" s="7"/>
      <c r="M287" s="7"/>
      <c r="N287" s="7">
        <f t="shared" si="3"/>
        <v>1</v>
      </c>
      <c r="O287" s="7"/>
    </row>
    <row r="288">
      <c r="A288" s="26" t="s">
        <v>1157</v>
      </c>
      <c r="B288" s="26" t="s">
        <v>1158</v>
      </c>
      <c r="C288" s="26" t="s">
        <v>584</v>
      </c>
      <c r="D288" s="27"/>
      <c r="E288" s="28" t="s">
        <v>1159</v>
      </c>
      <c r="F288" s="29"/>
      <c r="G288" s="13"/>
      <c r="H288" s="10"/>
      <c r="I288" s="29"/>
      <c r="J288" s="7"/>
      <c r="K288" s="7"/>
      <c r="L288" s="7"/>
      <c r="M288" s="7"/>
      <c r="N288" s="7">
        <f t="shared" si="3"/>
        <v>0</v>
      </c>
      <c r="O288" s="7"/>
    </row>
    <row r="289">
      <c r="A289" s="26" t="s">
        <v>1160</v>
      </c>
      <c r="B289" s="26" t="s">
        <v>1161</v>
      </c>
      <c r="C289" s="26" t="s">
        <v>1162</v>
      </c>
      <c r="D289" s="27"/>
      <c r="E289" s="28" t="s">
        <v>1163</v>
      </c>
      <c r="F289" s="29"/>
      <c r="G289" s="13"/>
      <c r="H289" s="10"/>
      <c r="I289" s="29"/>
      <c r="J289" s="7"/>
      <c r="K289" s="7"/>
      <c r="L289" s="7"/>
      <c r="M289" s="7"/>
      <c r="N289" s="7">
        <f t="shared" si="3"/>
        <v>0</v>
      </c>
      <c r="O289" s="7"/>
    </row>
    <row r="290">
      <c r="A290" s="26" t="s">
        <v>1164</v>
      </c>
      <c r="B290" s="26" t="s">
        <v>1165</v>
      </c>
      <c r="C290" s="26" t="s">
        <v>589</v>
      </c>
      <c r="D290" s="27"/>
      <c r="E290" s="28" t="s">
        <v>1166</v>
      </c>
      <c r="F290" s="30" t="s">
        <v>1167</v>
      </c>
      <c r="G290" s="13"/>
      <c r="H290" s="10"/>
      <c r="I290" s="29"/>
      <c r="J290" s="7"/>
      <c r="K290" s="7"/>
      <c r="L290" s="7"/>
      <c r="M290" s="7"/>
      <c r="N290" s="7">
        <f t="shared" si="3"/>
        <v>1</v>
      </c>
      <c r="O290" s="7"/>
    </row>
    <row r="291">
      <c r="A291" s="26" t="s">
        <v>1168</v>
      </c>
      <c r="B291" s="26" t="s">
        <v>1169</v>
      </c>
      <c r="C291" s="26" t="s">
        <v>1059</v>
      </c>
      <c r="D291" s="27"/>
      <c r="E291" s="28" t="s">
        <v>1170</v>
      </c>
      <c r="F291" s="30" t="s">
        <v>1171</v>
      </c>
      <c r="G291" s="13"/>
      <c r="H291" s="10"/>
      <c r="I291" s="29"/>
      <c r="J291" s="7"/>
      <c r="K291" s="7"/>
      <c r="L291" s="7"/>
      <c r="M291" s="7"/>
      <c r="N291" s="7">
        <f t="shared" si="3"/>
        <v>1</v>
      </c>
      <c r="O291" s="7"/>
    </row>
    <row r="292" ht="16.5" customHeight="1">
      <c r="A292" s="26" t="s">
        <v>1172</v>
      </c>
      <c r="B292" s="26" t="s">
        <v>1173</v>
      </c>
      <c r="C292" s="26" t="s">
        <v>589</v>
      </c>
      <c r="D292" s="28" t="s">
        <v>1174</v>
      </c>
      <c r="E292" s="33" t="s">
        <v>1175</v>
      </c>
      <c r="F292" s="30" t="s">
        <v>1176</v>
      </c>
      <c r="G292" s="13"/>
      <c r="H292" s="10"/>
      <c r="I292" s="30" t="s">
        <v>122</v>
      </c>
      <c r="J292" s="7"/>
      <c r="K292" s="7"/>
      <c r="L292" s="7"/>
      <c r="M292" s="7"/>
      <c r="N292" s="7">
        <f t="shared" si="3"/>
        <v>1</v>
      </c>
      <c r="O292" s="7"/>
    </row>
    <row r="293" ht="15.75" customHeight="1">
      <c r="A293" s="26" t="s">
        <v>1177</v>
      </c>
      <c r="B293" s="26" t="s">
        <v>1178</v>
      </c>
      <c r="C293" s="26" t="s">
        <v>589</v>
      </c>
      <c r="D293" s="28" t="s">
        <v>1174</v>
      </c>
      <c r="E293" s="28" t="s">
        <v>1179</v>
      </c>
      <c r="F293" s="30" t="s">
        <v>1180</v>
      </c>
      <c r="G293" s="13"/>
      <c r="H293" s="10"/>
      <c r="I293" s="30" t="s">
        <v>122</v>
      </c>
      <c r="J293" s="7"/>
      <c r="K293" s="7"/>
      <c r="L293" s="7"/>
      <c r="M293" s="7"/>
      <c r="N293" s="7">
        <f t="shared" si="3"/>
        <v>1</v>
      </c>
      <c r="O293" s="7"/>
    </row>
    <row r="294">
      <c r="A294" s="26" t="s">
        <v>1181</v>
      </c>
      <c r="B294" s="31" t="s">
        <v>1182</v>
      </c>
      <c r="C294" s="26" t="s">
        <v>589</v>
      </c>
      <c r="D294" s="26"/>
      <c r="E294" s="28" t="s">
        <v>1183</v>
      </c>
      <c r="F294" s="29"/>
      <c r="G294" s="13"/>
      <c r="H294" s="10"/>
      <c r="I294" s="30" t="s">
        <v>403</v>
      </c>
      <c r="J294" s="7"/>
      <c r="K294" s="7"/>
      <c r="L294" s="7"/>
      <c r="M294" s="7"/>
      <c r="N294" s="7">
        <f t="shared" si="3"/>
        <v>0</v>
      </c>
      <c r="O294" s="7"/>
    </row>
    <row r="295">
      <c r="A295" s="26" t="s">
        <v>1184</v>
      </c>
      <c r="B295" s="26" t="s">
        <v>1185</v>
      </c>
      <c r="C295" s="26" t="s">
        <v>835</v>
      </c>
      <c r="D295" s="26" t="s">
        <v>635</v>
      </c>
      <c r="E295" s="28" t="s">
        <v>1186</v>
      </c>
      <c r="F295" s="29"/>
      <c r="G295" s="13"/>
      <c r="H295" s="10"/>
      <c r="I295" s="29"/>
      <c r="J295" s="7"/>
      <c r="K295" s="7"/>
      <c r="L295" s="7"/>
      <c r="M295" s="7"/>
      <c r="N295" s="7">
        <f t="shared" si="3"/>
        <v>0</v>
      </c>
      <c r="O295" s="7"/>
    </row>
    <row r="296">
      <c r="A296" s="26" t="s">
        <v>1187</v>
      </c>
      <c r="B296" s="26" t="s">
        <v>1188</v>
      </c>
      <c r="C296" s="26" t="s">
        <v>589</v>
      </c>
      <c r="D296" s="27"/>
      <c r="E296" s="28" t="s">
        <v>1189</v>
      </c>
      <c r="F296" s="30" t="s">
        <v>1190</v>
      </c>
      <c r="G296" s="13"/>
      <c r="H296" s="10"/>
      <c r="I296" s="30" t="s">
        <v>52</v>
      </c>
      <c r="J296" s="7"/>
      <c r="K296" s="7"/>
      <c r="L296" s="7"/>
      <c r="M296" s="7"/>
      <c r="N296" s="7">
        <f t="shared" si="3"/>
        <v>1</v>
      </c>
      <c r="O296" s="7"/>
    </row>
    <row r="297">
      <c r="A297" s="26" t="s">
        <v>1191</v>
      </c>
      <c r="B297" s="26" t="s">
        <v>1192</v>
      </c>
      <c r="C297" s="26" t="s">
        <v>589</v>
      </c>
      <c r="D297" s="27"/>
      <c r="E297" s="28" t="s">
        <v>1193</v>
      </c>
      <c r="F297" s="30" t="s">
        <v>1194</v>
      </c>
      <c r="G297" s="13"/>
      <c r="H297" s="10"/>
      <c r="I297" s="29"/>
      <c r="J297" s="7"/>
      <c r="K297" s="7"/>
      <c r="L297" s="7"/>
      <c r="M297" s="7"/>
      <c r="N297" s="7">
        <f t="shared" si="3"/>
        <v>1</v>
      </c>
      <c r="O297" s="7"/>
    </row>
    <row r="298">
      <c r="A298" s="26" t="s">
        <v>1195</v>
      </c>
      <c r="B298" s="26" t="s">
        <v>1196</v>
      </c>
      <c r="C298" s="26" t="s">
        <v>648</v>
      </c>
      <c r="D298" s="27"/>
      <c r="E298" s="28" t="s">
        <v>1197</v>
      </c>
      <c r="F298" s="29"/>
      <c r="G298" s="13"/>
      <c r="H298" s="10"/>
      <c r="I298" s="29"/>
      <c r="J298" s="7"/>
      <c r="K298" s="7"/>
      <c r="L298" s="7"/>
      <c r="M298" s="7"/>
      <c r="N298" s="7">
        <f t="shared" si="3"/>
        <v>0</v>
      </c>
      <c r="O298" s="7"/>
    </row>
    <row r="299">
      <c r="A299" s="26" t="s">
        <v>1198</v>
      </c>
      <c r="B299" s="26" t="s">
        <v>1199</v>
      </c>
      <c r="C299" s="26" t="s">
        <v>589</v>
      </c>
      <c r="D299" s="27"/>
      <c r="E299" s="32" t="s">
        <v>1200</v>
      </c>
      <c r="F299" s="30" t="s">
        <v>1201</v>
      </c>
      <c r="G299" s="13"/>
      <c r="H299" s="10"/>
      <c r="I299" s="29"/>
      <c r="J299" s="7"/>
      <c r="K299" s="7"/>
      <c r="L299" s="7"/>
      <c r="M299" s="7"/>
      <c r="N299" s="7">
        <f t="shared" si="3"/>
        <v>1</v>
      </c>
      <c r="O299" s="7"/>
    </row>
    <row r="300">
      <c r="A300" s="26" t="s">
        <v>1202</v>
      </c>
      <c r="B300" s="26" t="s">
        <v>1203</v>
      </c>
      <c r="C300" s="26" t="s">
        <v>1204</v>
      </c>
      <c r="D300" s="27"/>
      <c r="E300" s="28" t="s">
        <v>1205</v>
      </c>
      <c r="F300" s="30" t="s">
        <v>1206</v>
      </c>
      <c r="G300" s="13"/>
      <c r="H300" s="10"/>
      <c r="I300" s="29"/>
      <c r="J300" s="7"/>
      <c r="K300" s="7"/>
      <c r="L300" s="7"/>
      <c r="M300" s="7"/>
      <c r="N300" s="7">
        <f t="shared" si="3"/>
        <v>1</v>
      </c>
      <c r="O300" s="7"/>
    </row>
    <row r="301">
      <c r="A301" s="26" t="s">
        <v>1207</v>
      </c>
      <c r="B301" s="26" t="s">
        <v>1208</v>
      </c>
      <c r="C301" s="26" t="s">
        <v>589</v>
      </c>
      <c r="D301" s="27"/>
      <c r="E301" s="28" t="s">
        <v>1209</v>
      </c>
      <c r="F301" s="30" t="s">
        <v>1210</v>
      </c>
      <c r="G301" s="13"/>
      <c r="H301" s="10"/>
      <c r="I301" s="29"/>
      <c r="J301" s="7"/>
      <c r="K301" s="7"/>
      <c r="L301" s="7"/>
      <c r="M301" s="7"/>
      <c r="N301" s="7">
        <f t="shared" si="3"/>
        <v>1</v>
      </c>
      <c r="O301" s="7"/>
    </row>
    <row r="302">
      <c r="A302" s="31" t="s">
        <v>1212</v>
      </c>
      <c r="B302" s="26" t="s">
        <v>1213</v>
      </c>
      <c r="C302" s="26" t="s">
        <v>589</v>
      </c>
      <c r="D302" s="26" t="s">
        <v>598</v>
      </c>
      <c r="E302" s="28" t="s">
        <v>1214</v>
      </c>
      <c r="F302" s="30" t="s">
        <v>1215</v>
      </c>
      <c r="G302" s="13"/>
      <c r="H302" s="10"/>
      <c r="I302" s="29"/>
      <c r="J302" s="7"/>
      <c r="K302" s="7"/>
      <c r="L302" s="7"/>
      <c r="M302" s="7"/>
      <c r="N302" s="7">
        <f t="shared" si="3"/>
        <v>1</v>
      </c>
      <c r="O302" s="7"/>
    </row>
    <row r="303">
      <c r="A303" s="26" t="s">
        <v>1216</v>
      </c>
      <c r="B303" s="26" t="s">
        <v>1217</v>
      </c>
      <c r="C303" s="26" t="s">
        <v>584</v>
      </c>
      <c r="D303" s="26" t="s">
        <v>635</v>
      </c>
      <c r="E303" s="28" t="s">
        <v>1218</v>
      </c>
      <c r="F303" s="29"/>
      <c r="G303" s="13"/>
      <c r="H303" s="10"/>
      <c r="I303" s="29"/>
      <c r="J303" s="7"/>
      <c r="K303" s="7"/>
      <c r="L303" s="7"/>
      <c r="M303" s="7"/>
      <c r="N303" s="7">
        <f t="shared" si="3"/>
        <v>0</v>
      </c>
      <c r="O303" s="7"/>
    </row>
    <row r="304">
      <c r="A304" s="26" t="s">
        <v>1219</v>
      </c>
      <c r="B304" s="26" t="s">
        <v>1220</v>
      </c>
      <c r="C304" s="26" t="s">
        <v>584</v>
      </c>
      <c r="D304" s="27"/>
      <c r="E304" s="28" t="s">
        <v>1221</v>
      </c>
      <c r="F304" s="29"/>
      <c r="G304" s="13"/>
      <c r="H304" s="10"/>
      <c r="I304" s="29"/>
      <c r="J304" s="7"/>
      <c r="K304" s="7"/>
      <c r="L304" s="7"/>
      <c r="M304" s="7"/>
      <c r="N304" s="7">
        <f t="shared" si="3"/>
        <v>0</v>
      </c>
      <c r="O304" s="7"/>
    </row>
    <row r="305">
      <c r="A305" s="26" t="s">
        <v>1223</v>
      </c>
      <c r="B305" s="31" t="s">
        <v>1224</v>
      </c>
      <c r="C305" s="26" t="s">
        <v>589</v>
      </c>
      <c r="D305" s="26" t="s">
        <v>635</v>
      </c>
      <c r="E305" s="28" t="s">
        <v>1225</v>
      </c>
      <c r="F305" s="30" t="s">
        <v>1226</v>
      </c>
      <c r="G305" s="13"/>
      <c r="H305" s="10"/>
      <c r="I305" s="29"/>
      <c r="J305" s="7"/>
      <c r="K305" s="7"/>
      <c r="L305" s="7"/>
      <c r="M305" s="7"/>
      <c r="N305" s="7">
        <f t="shared" si="3"/>
        <v>1</v>
      </c>
      <c r="O305" s="7"/>
    </row>
    <row r="306">
      <c r="A306" s="26" t="s">
        <v>1227</v>
      </c>
      <c r="B306" s="26" t="s">
        <v>1228</v>
      </c>
      <c r="C306" s="26" t="s">
        <v>589</v>
      </c>
      <c r="D306" s="27"/>
      <c r="E306" s="28" t="s">
        <v>1229</v>
      </c>
      <c r="F306" s="29"/>
      <c r="G306" s="13"/>
      <c r="H306" s="10"/>
      <c r="I306" s="29"/>
      <c r="J306" s="7"/>
      <c r="K306" s="7"/>
      <c r="L306" s="7"/>
      <c r="M306" s="7"/>
      <c r="N306" s="7">
        <f t="shared" si="3"/>
        <v>0</v>
      </c>
      <c r="O306" s="7"/>
    </row>
    <row r="307">
      <c r="A307" s="26" t="s">
        <v>1230</v>
      </c>
      <c r="B307" s="26" t="s">
        <v>1231</v>
      </c>
      <c r="C307" s="26" t="s">
        <v>589</v>
      </c>
      <c r="D307" s="26" t="s">
        <v>598</v>
      </c>
      <c r="E307" s="28" t="s">
        <v>1232</v>
      </c>
      <c r="F307" s="30" t="s">
        <v>1233</v>
      </c>
      <c r="G307" s="13"/>
      <c r="H307" s="10"/>
      <c r="I307" s="29"/>
      <c r="J307" s="7"/>
      <c r="K307" s="7"/>
      <c r="L307" s="7"/>
      <c r="M307" s="7"/>
      <c r="N307" s="7">
        <f t="shared" si="3"/>
        <v>1</v>
      </c>
      <c r="O307" s="7"/>
    </row>
    <row r="308">
      <c r="A308" s="26" t="s">
        <v>1234</v>
      </c>
      <c r="B308" s="26" t="s">
        <v>1235</v>
      </c>
      <c r="C308" s="26" t="s">
        <v>589</v>
      </c>
      <c r="D308" s="27"/>
      <c r="E308" s="28" t="s">
        <v>1236</v>
      </c>
      <c r="F308" s="30" t="s">
        <v>1237</v>
      </c>
      <c r="G308" s="13"/>
      <c r="H308" s="10"/>
      <c r="I308" s="29"/>
      <c r="J308" s="7"/>
      <c r="K308" s="7"/>
      <c r="L308" s="7"/>
      <c r="M308" s="7"/>
      <c r="N308" s="7">
        <f t="shared" si="3"/>
        <v>1</v>
      </c>
      <c r="O308" s="7"/>
    </row>
    <row r="309">
      <c r="A309" s="31" t="s">
        <v>1238</v>
      </c>
      <c r="B309" s="26" t="s">
        <v>1239</v>
      </c>
      <c r="C309" s="31" t="s">
        <v>589</v>
      </c>
      <c r="D309" s="26"/>
      <c r="E309" s="31" t="s">
        <v>1240</v>
      </c>
      <c r="F309" s="29"/>
      <c r="G309" s="13"/>
      <c r="H309" s="10"/>
      <c r="I309" s="30" t="s">
        <v>391</v>
      </c>
      <c r="J309" s="7"/>
      <c r="K309" s="7"/>
      <c r="L309" s="7"/>
      <c r="M309" s="7"/>
      <c r="N309" s="7">
        <f t="shared" si="3"/>
        <v>0</v>
      </c>
      <c r="O309" s="7"/>
    </row>
    <row r="310">
      <c r="A310" s="26" t="s">
        <v>1241</v>
      </c>
      <c r="B310" s="26" t="s">
        <v>1242</v>
      </c>
      <c r="C310" s="26" t="s">
        <v>589</v>
      </c>
      <c r="D310" s="26" t="s">
        <v>598</v>
      </c>
      <c r="E310" s="28" t="s">
        <v>1243</v>
      </c>
      <c r="F310" s="29"/>
      <c r="G310" s="13"/>
      <c r="H310" s="10"/>
      <c r="I310" s="29"/>
      <c r="J310" s="7"/>
      <c r="K310" s="7"/>
      <c r="L310" s="7"/>
      <c r="M310" s="7"/>
      <c r="N310" s="7">
        <f t="shared" si="3"/>
        <v>0</v>
      </c>
      <c r="O310" s="7"/>
    </row>
    <row r="311">
      <c r="A311" s="26" t="s">
        <v>1244</v>
      </c>
      <c r="B311" s="26" t="s">
        <v>1245</v>
      </c>
      <c r="C311" s="26" t="s">
        <v>584</v>
      </c>
      <c r="D311" s="26" t="s">
        <v>635</v>
      </c>
      <c r="E311" s="28" t="s">
        <v>1246</v>
      </c>
      <c r="F311" s="29"/>
      <c r="G311" s="13"/>
      <c r="H311" s="10"/>
      <c r="I311" s="29"/>
      <c r="J311" s="7"/>
      <c r="K311" s="7"/>
      <c r="L311" s="7"/>
      <c r="M311" s="7"/>
      <c r="N311" s="7">
        <f t="shared" si="3"/>
        <v>0</v>
      </c>
      <c r="O311" s="7"/>
    </row>
    <row r="312">
      <c r="A312" s="26" t="s">
        <v>1247</v>
      </c>
      <c r="B312" s="26" t="s">
        <v>1248</v>
      </c>
      <c r="C312" s="26" t="s">
        <v>589</v>
      </c>
      <c r="D312" s="27"/>
      <c r="E312" s="28" t="s">
        <v>1249</v>
      </c>
      <c r="F312" s="35" t="s">
        <v>188</v>
      </c>
      <c r="I312" s="29"/>
      <c r="J312" s="7"/>
      <c r="K312" s="7"/>
      <c r="L312" s="7"/>
      <c r="M312" s="7"/>
      <c r="N312" s="7">
        <f t="shared" si="3"/>
        <v>1</v>
      </c>
      <c r="O312" s="7"/>
    </row>
    <row r="313">
      <c r="A313" s="26" t="s">
        <v>1250</v>
      </c>
      <c r="B313" s="26" t="s">
        <v>1251</v>
      </c>
      <c r="C313" s="26" t="s">
        <v>589</v>
      </c>
      <c r="D313" s="27"/>
      <c r="E313" s="28" t="s">
        <v>1252</v>
      </c>
      <c r="F313" s="29"/>
      <c r="G313" s="13"/>
      <c r="H313" s="10"/>
      <c r="I313" s="29"/>
      <c r="J313" s="7"/>
      <c r="K313" s="7"/>
      <c r="L313" s="7"/>
      <c r="M313" s="7"/>
      <c r="N313" s="7">
        <f t="shared" si="3"/>
        <v>0</v>
      </c>
      <c r="O313" s="7"/>
    </row>
    <row r="314">
      <c r="A314" s="26" t="s">
        <v>1253</v>
      </c>
      <c r="B314" s="31" t="s">
        <v>1254</v>
      </c>
      <c r="C314" s="26" t="s">
        <v>589</v>
      </c>
      <c r="D314" s="26" t="s">
        <v>635</v>
      </c>
      <c r="E314" s="28" t="s">
        <v>1255</v>
      </c>
      <c r="F314" s="29"/>
      <c r="G314" s="13"/>
      <c r="H314" s="10"/>
      <c r="I314" s="29"/>
      <c r="J314" s="7"/>
      <c r="K314" s="7"/>
      <c r="L314" s="7"/>
      <c r="M314" s="7"/>
      <c r="N314" s="7">
        <f t="shared" si="3"/>
        <v>0</v>
      </c>
      <c r="O314" s="7"/>
    </row>
    <row r="315">
      <c r="A315" s="26" t="s">
        <v>1256</v>
      </c>
      <c r="B315" s="26" t="s">
        <v>1257</v>
      </c>
      <c r="C315" s="26" t="s">
        <v>589</v>
      </c>
      <c r="D315" s="26" t="s">
        <v>635</v>
      </c>
      <c r="E315" s="28" t="s">
        <v>1258</v>
      </c>
      <c r="F315" s="30" t="s">
        <v>1259</v>
      </c>
      <c r="G315" s="13"/>
      <c r="H315" s="10"/>
      <c r="I315" s="29"/>
      <c r="J315" s="7"/>
      <c r="K315" s="7"/>
      <c r="L315" s="7"/>
      <c r="M315" s="7"/>
      <c r="N315" s="7">
        <f t="shared" si="3"/>
        <v>1</v>
      </c>
      <c r="O315" s="7"/>
    </row>
    <row r="316">
      <c r="A316" s="26" t="s">
        <v>1260</v>
      </c>
      <c r="B316" s="26" t="s">
        <v>1261</v>
      </c>
      <c r="C316" s="26" t="s">
        <v>589</v>
      </c>
      <c r="D316" s="27"/>
      <c r="E316" s="28" t="s">
        <v>1262</v>
      </c>
      <c r="F316" s="29"/>
      <c r="G316" s="13"/>
      <c r="H316" s="10"/>
      <c r="I316" s="29"/>
      <c r="J316" s="7"/>
      <c r="K316" s="7"/>
      <c r="L316" s="7"/>
      <c r="M316" s="7"/>
      <c r="N316" s="7">
        <f t="shared" si="3"/>
        <v>0</v>
      </c>
      <c r="O316" s="7"/>
    </row>
    <row r="317">
      <c r="A317" s="26" t="s">
        <v>1264</v>
      </c>
      <c r="B317" s="26" t="s">
        <v>1265</v>
      </c>
      <c r="C317" s="26" t="s">
        <v>589</v>
      </c>
      <c r="D317" s="27"/>
      <c r="E317" s="28" t="s">
        <v>1266</v>
      </c>
      <c r="F317" s="30" t="s">
        <v>1267</v>
      </c>
      <c r="G317" s="13"/>
      <c r="H317" s="10"/>
      <c r="I317" s="29"/>
      <c r="J317" s="7"/>
      <c r="K317" s="7"/>
      <c r="L317" s="7"/>
      <c r="M317" s="7"/>
      <c r="N317" s="7">
        <f t="shared" si="3"/>
        <v>1</v>
      </c>
      <c r="O317" s="7"/>
    </row>
    <row r="318">
      <c r="A318" s="26" t="s">
        <v>1268</v>
      </c>
      <c r="B318" s="26" t="s">
        <v>1269</v>
      </c>
      <c r="C318" s="26" t="s">
        <v>589</v>
      </c>
      <c r="D318" s="26" t="s">
        <v>635</v>
      </c>
      <c r="E318" s="33" t="s">
        <v>1270</v>
      </c>
      <c r="F318" s="30" t="s">
        <v>1271</v>
      </c>
      <c r="G318" s="13"/>
      <c r="H318" s="10"/>
      <c r="I318" s="30" t="s">
        <v>356</v>
      </c>
      <c r="J318" s="7"/>
      <c r="K318" s="7"/>
      <c r="L318" s="7"/>
      <c r="M318" s="7"/>
      <c r="N318" s="7">
        <f t="shared" si="3"/>
        <v>1</v>
      </c>
      <c r="O318" s="7"/>
    </row>
    <row r="319">
      <c r="A319" s="26" t="s">
        <v>1272</v>
      </c>
      <c r="B319" s="31" t="s">
        <v>1273</v>
      </c>
      <c r="C319" s="26" t="s">
        <v>589</v>
      </c>
      <c r="D319" s="27"/>
      <c r="E319" s="28" t="s">
        <v>1274</v>
      </c>
      <c r="F319" s="29"/>
      <c r="G319" s="13"/>
      <c r="H319" s="10"/>
      <c r="I319" s="29"/>
      <c r="J319" s="7"/>
      <c r="K319" s="7"/>
      <c r="L319" s="7"/>
      <c r="M319" s="7"/>
      <c r="N319" s="7">
        <f t="shared" si="3"/>
        <v>0</v>
      </c>
      <c r="O319" s="7"/>
    </row>
    <row r="320">
      <c r="A320" s="26" t="s">
        <v>1275</v>
      </c>
      <c r="B320" s="26" t="s">
        <v>1276</v>
      </c>
      <c r="C320" s="26" t="s">
        <v>589</v>
      </c>
      <c r="D320" s="27"/>
      <c r="E320" s="28" t="s">
        <v>1277</v>
      </c>
      <c r="F320" s="30" t="s">
        <v>1279</v>
      </c>
      <c r="G320" s="13"/>
      <c r="H320" s="10"/>
      <c r="I320" s="29"/>
      <c r="J320" s="7"/>
      <c r="K320" s="7"/>
      <c r="L320" s="7"/>
      <c r="M320" s="7"/>
      <c r="N320" s="7">
        <f t="shared" si="3"/>
        <v>1</v>
      </c>
      <c r="O320" s="7"/>
    </row>
    <row r="321">
      <c r="A321" s="26" t="s">
        <v>1280</v>
      </c>
      <c r="B321" s="26" t="s">
        <v>1281</v>
      </c>
      <c r="C321" s="26" t="s">
        <v>584</v>
      </c>
      <c r="D321" s="26" t="s">
        <v>635</v>
      </c>
      <c r="E321" s="28" t="s">
        <v>1282</v>
      </c>
      <c r="F321" s="29"/>
      <c r="G321" s="13"/>
      <c r="H321" s="10"/>
      <c r="I321" s="29"/>
      <c r="J321" s="7"/>
      <c r="K321" s="7"/>
      <c r="L321" s="7"/>
      <c r="M321" s="7"/>
      <c r="N321" s="7">
        <f t="shared" si="3"/>
        <v>0</v>
      </c>
      <c r="O321" s="7"/>
    </row>
    <row r="322">
      <c r="A322" s="26" t="s">
        <v>1283</v>
      </c>
      <c r="B322" s="26" t="s">
        <v>1284</v>
      </c>
      <c r="C322" s="26" t="s">
        <v>589</v>
      </c>
      <c r="D322" s="27"/>
      <c r="E322" s="28" t="s">
        <v>1285</v>
      </c>
      <c r="F322" s="29"/>
      <c r="G322" s="13"/>
      <c r="H322" s="10"/>
      <c r="I322" s="29"/>
      <c r="J322" s="7"/>
      <c r="K322" s="7"/>
      <c r="L322" s="7"/>
      <c r="M322" s="7"/>
      <c r="N322" s="7">
        <f t="shared" si="3"/>
        <v>0</v>
      </c>
      <c r="O322" s="7"/>
    </row>
    <row r="323">
      <c r="A323" s="26" t="s">
        <v>1286</v>
      </c>
      <c r="B323" s="26" t="s">
        <v>1287</v>
      </c>
      <c r="C323" s="26" t="s">
        <v>584</v>
      </c>
      <c r="D323" s="27"/>
      <c r="E323" s="33" t="s">
        <v>1288</v>
      </c>
      <c r="F323" s="29"/>
      <c r="G323" s="13"/>
      <c r="H323" s="10"/>
      <c r="I323" s="29"/>
      <c r="J323" s="7"/>
      <c r="K323" s="7"/>
      <c r="L323" s="7"/>
      <c r="M323" s="7"/>
      <c r="N323" s="7">
        <f t="shared" si="3"/>
        <v>0</v>
      </c>
      <c r="O323" s="7"/>
    </row>
    <row r="324">
      <c r="A324" s="26" t="s">
        <v>1289</v>
      </c>
      <c r="B324" s="26" t="s">
        <v>1290</v>
      </c>
      <c r="C324" s="26" t="s">
        <v>589</v>
      </c>
      <c r="D324" s="26" t="s">
        <v>1026</v>
      </c>
      <c r="E324" s="27"/>
      <c r="F324" s="30" t="s">
        <v>1291</v>
      </c>
      <c r="G324" s="13"/>
      <c r="H324" s="10"/>
      <c r="I324" s="29"/>
      <c r="J324" s="7"/>
      <c r="K324" s="7"/>
      <c r="L324" s="7"/>
      <c r="M324" s="7"/>
      <c r="N324" s="7">
        <f t="shared" si="3"/>
        <v>1</v>
      </c>
      <c r="O324" s="7"/>
    </row>
    <row r="325">
      <c r="A325" s="26" t="s">
        <v>1292</v>
      </c>
      <c r="B325" s="26" t="s">
        <v>1293</v>
      </c>
      <c r="C325" s="26" t="s">
        <v>589</v>
      </c>
      <c r="D325" s="27"/>
      <c r="E325" s="28" t="s">
        <v>1294</v>
      </c>
      <c r="F325" s="29"/>
      <c r="G325" s="13"/>
      <c r="H325" s="10"/>
      <c r="I325" s="29"/>
      <c r="J325" s="7"/>
      <c r="K325" s="7"/>
      <c r="L325" s="7"/>
      <c r="M325" s="7"/>
      <c r="N325" s="7">
        <f t="shared" si="3"/>
        <v>0</v>
      </c>
      <c r="O325" s="7"/>
    </row>
    <row r="326">
      <c r="A326" s="26" t="s">
        <v>1295</v>
      </c>
      <c r="B326" s="26" t="s">
        <v>1296</v>
      </c>
      <c r="C326" s="26" t="s">
        <v>589</v>
      </c>
      <c r="D326" s="27"/>
      <c r="E326" s="28" t="s">
        <v>1297</v>
      </c>
      <c r="F326" s="30" t="s">
        <v>1298</v>
      </c>
      <c r="G326" s="13"/>
      <c r="H326" s="10"/>
      <c r="I326" s="29"/>
      <c r="J326" s="7"/>
      <c r="K326" s="7"/>
      <c r="L326" s="7"/>
      <c r="M326" s="7"/>
      <c r="N326" s="7">
        <f t="shared" si="3"/>
        <v>1</v>
      </c>
      <c r="O326" s="7"/>
    </row>
    <row r="327">
      <c r="A327" s="26" t="s">
        <v>1299</v>
      </c>
      <c r="B327" s="26" t="s">
        <v>1300</v>
      </c>
      <c r="C327" s="26" t="s">
        <v>589</v>
      </c>
      <c r="D327" s="27"/>
      <c r="E327" s="28" t="s">
        <v>1301</v>
      </c>
      <c r="F327" s="29"/>
      <c r="G327" s="13"/>
      <c r="H327" s="10"/>
      <c r="I327" s="29"/>
      <c r="J327" s="7"/>
      <c r="K327" s="7"/>
      <c r="L327" s="7"/>
      <c r="M327" s="7"/>
      <c r="N327" s="7">
        <f t="shared" si="3"/>
        <v>0</v>
      </c>
      <c r="O327" s="7"/>
    </row>
    <row r="328">
      <c r="A328" s="26" t="s">
        <v>1302</v>
      </c>
      <c r="B328" s="26" t="s">
        <v>1303</v>
      </c>
      <c r="C328" s="26" t="s">
        <v>584</v>
      </c>
      <c r="D328" s="27"/>
      <c r="E328" s="28" t="s">
        <v>1304</v>
      </c>
      <c r="F328" s="29"/>
      <c r="G328" s="13"/>
      <c r="H328" s="10"/>
      <c r="I328" s="29"/>
      <c r="J328" s="7"/>
      <c r="K328" s="7"/>
      <c r="L328" s="7"/>
      <c r="M328" s="7"/>
      <c r="N328" s="7">
        <f t="shared" si="3"/>
        <v>0</v>
      </c>
      <c r="O328" s="7"/>
    </row>
    <row r="329">
      <c r="A329" s="31" t="s">
        <v>1305</v>
      </c>
      <c r="B329" s="26" t="s">
        <v>1058</v>
      </c>
      <c r="C329" s="26" t="s">
        <v>589</v>
      </c>
      <c r="D329" s="27"/>
      <c r="E329" s="28" t="s">
        <v>1306</v>
      </c>
      <c r="F329" s="30" t="s">
        <v>1307</v>
      </c>
      <c r="G329" s="13"/>
      <c r="H329" s="10"/>
      <c r="I329" s="29"/>
      <c r="J329" s="7"/>
      <c r="K329" s="7"/>
      <c r="L329" s="7"/>
      <c r="M329" s="7"/>
      <c r="N329" s="7">
        <f t="shared" si="3"/>
        <v>1</v>
      </c>
      <c r="O329" s="7"/>
    </row>
    <row r="330">
      <c r="A330" s="31" t="s">
        <v>1308</v>
      </c>
      <c r="B330" s="26" t="s">
        <v>1309</v>
      </c>
      <c r="C330" s="26" t="s">
        <v>589</v>
      </c>
      <c r="D330" s="27"/>
      <c r="E330" s="28" t="s">
        <v>1310</v>
      </c>
      <c r="F330" s="29"/>
      <c r="G330" s="13"/>
      <c r="H330" s="10"/>
      <c r="I330" s="29"/>
      <c r="J330" s="7"/>
      <c r="K330" s="7"/>
      <c r="L330" s="7"/>
      <c r="M330" s="7"/>
      <c r="N330" s="7">
        <f t="shared" si="3"/>
        <v>0</v>
      </c>
      <c r="O330" s="7"/>
    </row>
    <row r="331">
      <c r="A331" s="31" t="s">
        <v>1311</v>
      </c>
      <c r="B331" s="26" t="s">
        <v>1312</v>
      </c>
      <c r="C331" s="26" t="s">
        <v>589</v>
      </c>
      <c r="D331" s="31" t="s">
        <v>598</v>
      </c>
      <c r="E331" s="28" t="s">
        <v>1313</v>
      </c>
      <c r="F331" s="30" t="s">
        <v>1314</v>
      </c>
      <c r="G331" s="13"/>
      <c r="H331" s="10"/>
      <c r="I331" s="29"/>
      <c r="J331" s="7"/>
      <c r="K331" s="7"/>
      <c r="L331" s="7"/>
      <c r="M331" s="7"/>
      <c r="N331" s="7">
        <f t="shared" si="3"/>
        <v>1</v>
      </c>
      <c r="O331" s="7"/>
    </row>
    <row r="332">
      <c r="A332" s="26" t="s">
        <v>1315</v>
      </c>
      <c r="B332" s="26" t="s">
        <v>1316</v>
      </c>
      <c r="C332" s="26" t="s">
        <v>589</v>
      </c>
      <c r="D332" s="26" t="s">
        <v>598</v>
      </c>
      <c r="E332" s="28" t="s">
        <v>1317</v>
      </c>
      <c r="F332" s="29"/>
      <c r="G332" s="13"/>
      <c r="H332" s="10"/>
      <c r="I332" s="29"/>
      <c r="J332" s="7"/>
      <c r="K332" s="7"/>
      <c r="L332" s="7"/>
      <c r="M332" s="7"/>
      <c r="N332" s="7">
        <f t="shared" si="3"/>
        <v>0</v>
      </c>
      <c r="O332" s="7"/>
    </row>
    <row r="333">
      <c r="A333" s="26" t="s">
        <v>1319</v>
      </c>
      <c r="B333" s="26" t="s">
        <v>1320</v>
      </c>
      <c r="C333" s="26" t="s">
        <v>589</v>
      </c>
      <c r="D333" s="27"/>
      <c r="E333" s="34" t="s">
        <v>1321</v>
      </c>
      <c r="F333" s="30" t="s">
        <v>1322</v>
      </c>
      <c r="G333" s="13"/>
      <c r="H333" s="10"/>
      <c r="I333" s="29"/>
      <c r="J333" s="7"/>
      <c r="K333" s="7"/>
      <c r="L333" s="7"/>
      <c r="M333" s="7"/>
      <c r="N333" s="7">
        <f t="shared" si="3"/>
        <v>1</v>
      </c>
      <c r="O333" s="7"/>
    </row>
    <row r="334">
      <c r="A334" s="26" t="s">
        <v>1323</v>
      </c>
      <c r="B334" s="26" t="s">
        <v>1324</v>
      </c>
      <c r="C334" s="26" t="s">
        <v>589</v>
      </c>
      <c r="D334" s="26" t="s">
        <v>598</v>
      </c>
      <c r="E334" s="28" t="s">
        <v>1325</v>
      </c>
      <c r="F334" s="29"/>
      <c r="G334" s="13"/>
      <c r="H334" s="10"/>
      <c r="I334" s="29"/>
      <c r="J334" s="7"/>
      <c r="K334" s="7"/>
      <c r="L334" s="7"/>
      <c r="M334" s="7"/>
      <c r="N334" s="7">
        <f t="shared" si="3"/>
        <v>0</v>
      </c>
      <c r="O334" s="7"/>
    </row>
    <row r="335">
      <c r="A335" s="26" t="s">
        <v>1326</v>
      </c>
      <c r="B335" s="26" t="s">
        <v>1327</v>
      </c>
      <c r="C335" s="26" t="s">
        <v>589</v>
      </c>
      <c r="D335" s="27"/>
      <c r="E335" s="28" t="s">
        <v>1328</v>
      </c>
      <c r="F335" s="30" t="s">
        <v>1329</v>
      </c>
      <c r="G335" s="13"/>
      <c r="H335" s="10"/>
      <c r="I335" s="29"/>
      <c r="J335" s="7"/>
      <c r="K335" s="7"/>
      <c r="L335" s="7"/>
      <c r="M335" s="7"/>
      <c r="N335" s="7">
        <f t="shared" si="3"/>
        <v>1</v>
      </c>
      <c r="O335" s="7"/>
    </row>
    <row r="336">
      <c r="A336" s="26" t="s">
        <v>1330</v>
      </c>
      <c r="B336" s="26" t="s">
        <v>1331</v>
      </c>
      <c r="C336" s="26" t="s">
        <v>589</v>
      </c>
      <c r="D336" s="27"/>
      <c r="E336" s="32" t="s">
        <v>1332</v>
      </c>
      <c r="F336" s="30" t="s">
        <v>1333</v>
      </c>
      <c r="G336" s="13"/>
      <c r="H336" s="10"/>
      <c r="I336" s="30" t="s">
        <v>260</v>
      </c>
      <c r="J336" s="7"/>
      <c r="K336" s="7"/>
      <c r="L336" s="7"/>
      <c r="M336" s="7"/>
      <c r="N336" s="7">
        <f t="shared" si="3"/>
        <v>1</v>
      </c>
      <c r="O336" s="7"/>
    </row>
    <row r="337">
      <c r="A337" s="31" t="s">
        <v>1334</v>
      </c>
      <c r="B337" s="31" t="s">
        <v>568</v>
      </c>
      <c r="C337" s="31" t="s">
        <v>589</v>
      </c>
      <c r="D337" s="27"/>
      <c r="E337" s="32"/>
      <c r="F337" s="30" t="s">
        <v>1336</v>
      </c>
      <c r="G337" s="13"/>
      <c r="H337" s="10"/>
      <c r="I337" s="30"/>
      <c r="J337" s="7"/>
      <c r="K337" s="7"/>
      <c r="L337" s="7"/>
      <c r="M337" s="7"/>
      <c r="N337" s="7"/>
      <c r="O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f>SUM(N141:N336)</f>
        <v>115</v>
      </c>
      <c r="P339" s="7"/>
      <c r="Q339" s="7"/>
      <c r="R339" s="7"/>
      <c r="S339" s="7"/>
      <c r="T339" s="7"/>
      <c r="U339" s="7"/>
      <c r="V339" s="7"/>
      <c r="W339" s="7"/>
      <c r="X339" s="7"/>
      <c r="Y339" s="7"/>
      <c r="Z339" s="7"/>
    </row>
    <row r="340">
      <c r="A340" s="25" t="s">
        <v>1338</v>
      </c>
      <c r="B340" s="25" t="s">
        <v>577</v>
      </c>
      <c r="C340" s="25" t="s">
        <v>578</v>
      </c>
      <c r="D340" s="25" t="s">
        <v>1339</v>
      </c>
      <c r="E340" s="36" t="s">
        <v>1340</v>
      </c>
      <c r="F340" s="25" t="s">
        <v>1341</v>
      </c>
      <c r="G340" s="25" t="s">
        <v>581</v>
      </c>
      <c r="H340" s="25"/>
      <c r="I340" s="36" t="s">
        <v>4</v>
      </c>
      <c r="J340" s="7"/>
      <c r="K340" s="7"/>
      <c r="L340" s="7"/>
      <c r="M340" s="7"/>
      <c r="N340" s="7"/>
      <c r="O340" s="7"/>
    </row>
    <row r="341">
      <c r="A341" s="26" t="s">
        <v>1342</v>
      </c>
      <c r="B341" s="26" t="s">
        <v>1343</v>
      </c>
      <c r="C341" s="26" t="s">
        <v>584</v>
      </c>
      <c r="D341" s="33" t="s">
        <v>1344</v>
      </c>
      <c r="E341" s="37" t="s">
        <v>584</v>
      </c>
      <c r="F341" s="37">
        <v>1.0</v>
      </c>
      <c r="G341" s="30" t="s">
        <v>1345</v>
      </c>
      <c r="H341" s="38"/>
      <c r="I341" s="17" t="s">
        <v>445</v>
      </c>
      <c r="J341" s="7"/>
      <c r="K341" s="7"/>
      <c r="L341" s="7"/>
      <c r="M341" s="7"/>
      <c r="N341" s="7">
        <f t="shared" ref="N341:N357" si="4"> IF(ISBLANK(G341), 0, 1)</f>
        <v>1</v>
      </c>
      <c r="O341" s="7"/>
    </row>
    <row r="342">
      <c r="A342" s="26" t="s">
        <v>1346</v>
      </c>
      <c r="B342" s="26" t="s">
        <v>1347</v>
      </c>
      <c r="C342" s="26" t="s">
        <v>584</v>
      </c>
      <c r="D342" s="33" t="s">
        <v>1349</v>
      </c>
      <c r="E342" s="37" t="s">
        <v>584</v>
      </c>
      <c r="F342" s="37">
        <v>1.0</v>
      </c>
      <c r="G342" s="30" t="s">
        <v>1350</v>
      </c>
      <c r="H342" s="38"/>
      <c r="I342" s="37"/>
      <c r="J342" s="7"/>
      <c r="K342" s="7"/>
      <c r="L342" s="7"/>
      <c r="M342" s="7"/>
      <c r="N342" s="7">
        <f t="shared" si="4"/>
        <v>1</v>
      </c>
      <c r="O342" s="7"/>
    </row>
    <row r="343">
      <c r="A343" s="26" t="s">
        <v>1351</v>
      </c>
      <c r="B343" s="26" t="s">
        <v>1352</v>
      </c>
      <c r="C343" s="26" t="s">
        <v>584</v>
      </c>
      <c r="D343" s="33" t="s">
        <v>1353</v>
      </c>
      <c r="E343" s="37" t="s">
        <v>584</v>
      </c>
      <c r="F343" s="37">
        <v>1.0</v>
      </c>
      <c r="G343" s="30" t="s">
        <v>1354</v>
      </c>
      <c r="H343" s="38"/>
      <c r="I343" s="37"/>
      <c r="J343" s="7"/>
      <c r="K343" s="7"/>
      <c r="L343" s="7"/>
      <c r="M343" s="7"/>
      <c r="N343" s="7">
        <f t="shared" si="4"/>
        <v>1</v>
      </c>
      <c r="O343" s="7"/>
    </row>
    <row r="344">
      <c r="A344" s="26" t="s">
        <v>1355</v>
      </c>
      <c r="B344" s="26" t="s">
        <v>1356</v>
      </c>
      <c r="C344" s="26" t="s">
        <v>584</v>
      </c>
      <c r="D344" s="28" t="s">
        <v>1357</v>
      </c>
      <c r="E344" s="37" t="s">
        <v>584</v>
      </c>
      <c r="F344" s="37">
        <v>1.0</v>
      </c>
      <c r="G344" s="30" t="s">
        <v>1359</v>
      </c>
      <c r="H344" s="38"/>
      <c r="I344" s="37"/>
      <c r="J344" s="7"/>
      <c r="K344" s="7"/>
      <c r="L344" s="7"/>
      <c r="M344" s="7"/>
      <c r="N344" s="7">
        <f t="shared" si="4"/>
        <v>1</v>
      </c>
      <c r="O344" s="7"/>
    </row>
    <row r="345">
      <c r="A345" s="26" t="s">
        <v>1360</v>
      </c>
      <c r="B345" s="26" t="s">
        <v>1361</v>
      </c>
      <c r="C345" s="26" t="s">
        <v>584</v>
      </c>
      <c r="D345" s="33" t="s">
        <v>1362</v>
      </c>
      <c r="E345" s="37" t="s">
        <v>589</v>
      </c>
      <c r="F345" s="37">
        <v>2.0</v>
      </c>
      <c r="G345" s="30" t="s">
        <v>1363</v>
      </c>
      <c r="H345" s="38"/>
      <c r="I345" s="37" t="s">
        <v>344</v>
      </c>
      <c r="J345" s="7"/>
      <c r="K345" s="7"/>
      <c r="L345" s="7"/>
      <c r="M345" s="7"/>
      <c r="N345" s="7">
        <f t="shared" si="4"/>
        <v>1</v>
      </c>
      <c r="O345" s="7"/>
    </row>
    <row r="346">
      <c r="A346" s="26" t="s">
        <v>1364</v>
      </c>
      <c r="B346" s="26" t="s">
        <v>1365</v>
      </c>
      <c r="C346" s="26" t="s">
        <v>589</v>
      </c>
      <c r="D346" s="28" t="s">
        <v>1366</v>
      </c>
      <c r="E346" s="37" t="s">
        <v>589</v>
      </c>
      <c r="F346" s="37">
        <v>3.0</v>
      </c>
      <c r="G346" s="30" t="s">
        <v>1367</v>
      </c>
      <c r="H346" s="38"/>
      <c r="I346" s="37" t="s">
        <v>403</v>
      </c>
      <c r="J346" s="7"/>
      <c r="K346" s="7"/>
      <c r="L346" s="7"/>
      <c r="M346" s="7"/>
      <c r="N346" s="7">
        <f t="shared" si="4"/>
        <v>1</v>
      </c>
      <c r="O346" s="7"/>
    </row>
    <row r="347">
      <c r="A347" s="31" t="s">
        <v>1368</v>
      </c>
      <c r="B347" s="31" t="s">
        <v>1369</v>
      </c>
      <c r="C347" s="31" t="s">
        <v>589</v>
      </c>
      <c r="D347" s="31" t="s">
        <v>595</v>
      </c>
      <c r="E347" s="37" t="s">
        <v>589</v>
      </c>
      <c r="F347" s="37">
        <v>3.0</v>
      </c>
      <c r="G347" s="30" t="s">
        <v>1370</v>
      </c>
      <c r="H347" s="38"/>
      <c r="I347" s="37" t="s">
        <v>247</v>
      </c>
      <c r="J347" s="7"/>
      <c r="K347" s="7"/>
      <c r="L347" s="7"/>
      <c r="M347" s="7"/>
      <c r="N347" s="7">
        <f t="shared" si="4"/>
        <v>1</v>
      </c>
      <c r="O347" s="7"/>
    </row>
    <row r="348">
      <c r="A348" s="26" t="s">
        <v>1371</v>
      </c>
      <c r="B348" s="26" t="s">
        <v>1372</v>
      </c>
      <c r="C348" s="26" t="s">
        <v>589</v>
      </c>
      <c r="D348" s="28" t="s">
        <v>1373</v>
      </c>
      <c r="E348" s="37" t="s">
        <v>589</v>
      </c>
      <c r="F348" s="37">
        <v>2.0</v>
      </c>
      <c r="G348" s="30" t="s">
        <v>1374</v>
      </c>
      <c r="H348" s="38"/>
      <c r="I348" s="37" t="s">
        <v>461</v>
      </c>
      <c r="J348" s="7"/>
      <c r="K348" s="7"/>
      <c r="L348" s="7"/>
      <c r="M348" s="7"/>
      <c r="N348" s="7">
        <f t="shared" si="4"/>
        <v>1</v>
      </c>
      <c r="O348" s="7"/>
    </row>
    <row r="349">
      <c r="A349" s="26" t="s">
        <v>1375</v>
      </c>
      <c r="B349" s="26" t="s">
        <v>1376</v>
      </c>
      <c r="C349" s="26" t="s">
        <v>584</v>
      </c>
      <c r="D349" s="33" t="s">
        <v>1377</v>
      </c>
      <c r="E349" s="37" t="s">
        <v>589</v>
      </c>
      <c r="F349" s="37">
        <v>3.0</v>
      </c>
      <c r="G349" s="30" t="s">
        <v>1379</v>
      </c>
      <c r="H349" s="38"/>
      <c r="I349" s="37" t="s">
        <v>520</v>
      </c>
      <c r="J349" s="7"/>
      <c r="K349" s="7"/>
      <c r="L349" s="7"/>
      <c r="M349" s="7"/>
      <c r="N349" s="7">
        <f t="shared" si="4"/>
        <v>1</v>
      </c>
      <c r="O349" s="7"/>
    </row>
    <row r="350">
      <c r="A350" s="26" t="s">
        <v>1380</v>
      </c>
      <c r="B350" s="26" t="s">
        <v>1381</v>
      </c>
      <c r="C350" s="26" t="s">
        <v>584</v>
      </c>
      <c r="D350" s="28" t="s">
        <v>1382</v>
      </c>
      <c r="E350" s="37" t="s">
        <v>589</v>
      </c>
      <c r="F350" s="37">
        <v>3.0</v>
      </c>
      <c r="G350" s="30" t="s">
        <v>1383</v>
      </c>
      <c r="H350" s="38"/>
      <c r="I350" s="37" t="s">
        <v>290</v>
      </c>
      <c r="J350" s="7"/>
      <c r="K350" s="7"/>
      <c r="L350" s="7"/>
      <c r="M350" s="7"/>
      <c r="N350" s="7">
        <f t="shared" si="4"/>
        <v>1</v>
      </c>
      <c r="O350" s="7"/>
    </row>
    <row r="351">
      <c r="A351" s="26" t="s">
        <v>1384</v>
      </c>
      <c r="B351" s="26" t="s">
        <v>1385</v>
      </c>
      <c r="C351" s="26" t="s">
        <v>584</v>
      </c>
      <c r="D351" s="28" t="s">
        <v>1386</v>
      </c>
      <c r="E351" s="37" t="s">
        <v>589</v>
      </c>
      <c r="F351" s="37">
        <v>2.0</v>
      </c>
      <c r="G351" s="30" t="s">
        <v>1387</v>
      </c>
      <c r="H351" s="38"/>
      <c r="I351" s="37"/>
      <c r="J351" s="7"/>
      <c r="K351" s="7"/>
      <c r="L351" s="7"/>
      <c r="M351" s="7"/>
      <c r="N351" s="7">
        <f t="shared" si="4"/>
        <v>1</v>
      </c>
      <c r="O351" s="7"/>
    </row>
    <row r="352">
      <c r="A352" s="26" t="s">
        <v>1388</v>
      </c>
      <c r="B352" s="26" t="s">
        <v>1389</v>
      </c>
      <c r="C352" s="26" t="s">
        <v>584</v>
      </c>
      <c r="D352" s="33" t="s">
        <v>1390</v>
      </c>
      <c r="E352" s="37" t="s">
        <v>589</v>
      </c>
      <c r="F352" s="37">
        <v>2.0</v>
      </c>
      <c r="G352" s="30" t="s">
        <v>1391</v>
      </c>
      <c r="H352" s="38"/>
      <c r="I352" s="37" t="s">
        <v>374</v>
      </c>
      <c r="J352" s="7"/>
      <c r="K352" s="7"/>
      <c r="L352" s="7"/>
      <c r="M352" s="7"/>
      <c r="N352" s="7">
        <f t="shared" si="4"/>
        <v>1</v>
      </c>
      <c r="O352" s="7"/>
    </row>
    <row r="353">
      <c r="A353" s="26" t="s">
        <v>1392</v>
      </c>
      <c r="B353" s="26" t="s">
        <v>1393</v>
      </c>
      <c r="C353" s="26" t="s">
        <v>584</v>
      </c>
      <c r="D353" s="33" t="s">
        <v>1394</v>
      </c>
      <c r="E353" s="37" t="s">
        <v>589</v>
      </c>
      <c r="F353" s="37">
        <v>2.0</v>
      </c>
      <c r="G353" s="30" t="s">
        <v>1395</v>
      </c>
      <c r="H353" s="38"/>
      <c r="I353" s="37"/>
      <c r="J353" s="7"/>
      <c r="K353" s="7"/>
      <c r="L353" s="7"/>
      <c r="M353" s="7"/>
      <c r="N353" s="7">
        <f t="shared" si="4"/>
        <v>1</v>
      </c>
      <c r="O353" s="7"/>
    </row>
    <row r="354">
      <c r="A354" s="26" t="s">
        <v>1396</v>
      </c>
      <c r="B354" s="26" t="s">
        <v>1397</v>
      </c>
      <c r="C354" s="26" t="s">
        <v>589</v>
      </c>
      <c r="D354" s="28" t="s">
        <v>1088</v>
      </c>
      <c r="E354" s="37" t="s">
        <v>589</v>
      </c>
      <c r="F354" s="37">
        <v>3.0</v>
      </c>
      <c r="G354" s="30" t="s">
        <v>1398</v>
      </c>
      <c r="H354" s="38"/>
      <c r="I354" s="37" t="s">
        <v>235</v>
      </c>
      <c r="J354" s="7"/>
      <c r="K354" s="7"/>
      <c r="L354" s="7"/>
      <c r="M354" s="7"/>
      <c r="N354" s="7">
        <f t="shared" si="4"/>
        <v>1</v>
      </c>
      <c r="O354" s="7"/>
    </row>
    <row r="355">
      <c r="A355" s="26" t="s">
        <v>1399</v>
      </c>
      <c r="B355" s="26" t="s">
        <v>1397</v>
      </c>
      <c r="C355" s="26" t="s">
        <v>589</v>
      </c>
      <c r="D355" s="28" t="s">
        <v>1088</v>
      </c>
      <c r="E355" s="37" t="s">
        <v>589</v>
      </c>
      <c r="F355" s="37">
        <v>3.0</v>
      </c>
      <c r="G355" s="30" t="s">
        <v>1400</v>
      </c>
      <c r="H355" s="38"/>
      <c r="I355" s="37" t="s">
        <v>391</v>
      </c>
      <c r="J355" s="7"/>
      <c r="K355" s="7"/>
      <c r="L355" s="7"/>
      <c r="M355" s="7"/>
      <c r="N355" s="7">
        <f t="shared" si="4"/>
        <v>1</v>
      </c>
      <c r="O355" s="7"/>
    </row>
    <row r="356">
      <c r="A356" s="37" t="s">
        <v>1401</v>
      </c>
      <c r="B356" s="37" t="s">
        <v>1402</v>
      </c>
      <c r="C356" s="37" t="s">
        <v>584</v>
      </c>
      <c r="D356" s="37" t="s">
        <v>595</v>
      </c>
      <c r="E356" s="37" t="s">
        <v>589</v>
      </c>
      <c r="F356" s="37">
        <v>4.0</v>
      </c>
      <c r="G356" s="30" t="s">
        <v>1403</v>
      </c>
      <c r="H356" s="38"/>
      <c r="I356" s="37" t="s">
        <v>1404</v>
      </c>
      <c r="J356" s="7"/>
      <c r="K356" s="7"/>
      <c r="L356" s="7"/>
      <c r="M356" s="7"/>
      <c r="N356" s="7">
        <f t="shared" si="4"/>
        <v>1</v>
      </c>
      <c r="O356" s="7"/>
    </row>
    <row r="357">
      <c r="A357" s="37" t="s">
        <v>1405</v>
      </c>
      <c r="B357" s="37" t="s">
        <v>1406</v>
      </c>
      <c r="C357" s="37" t="s">
        <v>589</v>
      </c>
      <c r="D357" s="37" t="s">
        <v>1407</v>
      </c>
      <c r="E357" s="37" t="s">
        <v>589</v>
      </c>
      <c r="F357" s="37">
        <v>3.0</v>
      </c>
      <c r="G357" s="30" t="s">
        <v>1408</v>
      </c>
      <c r="H357" s="38"/>
      <c r="I357" s="37" t="s">
        <v>280</v>
      </c>
      <c r="J357" s="7"/>
      <c r="K357" s="7"/>
      <c r="L357" s="7"/>
      <c r="M357" s="7"/>
      <c r="N357" s="7">
        <f t="shared" si="4"/>
        <v>1</v>
      </c>
      <c r="O357" s="7"/>
    </row>
    <row r="358">
      <c r="A358" s="7"/>
      <c r="B358" s="7"/>
      <c r="C358" s="7"/>
      <c r="D358" s="7"/>
      <c r="E358" s="7"/>
      <c r="F358" s="7"/>
      <c r="G358" s="7"/>
      <c r="H358" s="7"/>
      <c r="I358" s="7"/>
      <c r="J358" s="7"/>
      <c r="K358" s="7"/>
      <c r="L358" s="7"/>
      <c r="M358" s="7"/>
      <c r="N358" s="7"/>
      <c r="O358" s="7"/>
      <c r="P358" s="7"/>
      <c r="Q358" s="7"/>
      <c r="R358" s="7"/>
      <c r="S358" s="7"/>
      <c r="T358" s="7"/>
      <c r="U358" s="7"/>
    </row>
    <row r="359">
      <c r="A359" s="25" t="s">
        <v>1338</v>
      </c>
      <c r="B359" s="25" t="s">
        <v>581</v>
      </c>
      <c r="C359" s="7"/>
      <c r="D359" s="7"/>
      <c r="E359" s="7"/>
      <c r="F359" s="7"/>
      <c r="G359" s="7"/>
      <c r="H359" s="7">
        <f>SUM(N341:N357)</f>
        <v>17</v>
      </c>
      <c r="I359" s="7"/>
      <c r="J359" s="7"/>
      <c r="K359" s="7"/>
      <c r="L359" s="7"/>
      <c r="M359" s="7"/>
      <c r="N359" s="7"/>
      <c r="O359" s="7"/>
      <c r="P359" s="7"/>
      <c r="Q359" s="7"/>
      <c r="R359" s="7"/>
      <c r="S359" s="7"/>
    </row>
    <row r="360">
      <c r="A360" s="31" t="s">
        <v>1410</v>
      </c>
      <c r="B360" s="30" t="s">
        <v>1411</v>
      </c>
      <c r="C360" s="7"/>
      <c r="D360" s="7"/>
      <c r="E360" s="7"/>
      <c r="F360" s="7"/>
      <c r="G360" s="7"/>
      <c r="H360" s="7"/>
      <c r="I360" s="7"/>
      <c r="J360" s="7"/>
      <c r="K360" s="7"/>
      <c r="L360" s="7"/>
      <c r="M360" s="7"/>
      <c r="N360" s="7">
        <f t="shared" ref="N360:N376" si="5"> IF(ISBLANK(B360), 0, 1)</f>
        <v>1</v>
      </c>
      <c r="O360" s="7"/>
      <c r="P360" s="7"/>
      <c r="Q360" s="7"/>
      <c r="R360" s="7"/>
      <c r="S360" s="7"/>
    </row>
    <row r="361">
      <c r="A361" s="31" t="s">
        <v>1412</v>
      </c>
      <c r="B361" s="30" t="s">
        <v>1413</v>
      </c>
      <c r="C361" s="7"/>
      <c r="D361" s="7"/>
      <c r="E361" s="7"/>
      <c r="F361" s="7"/>
      <c r="G361" s="7"/>
      <c r="H361" s="7"/>
      <c r="I361" s="7"/>
      <c r="J361" s="7"/>
      <c r="K361" s="7"/>
      <c r="L361" s="7"/>
      <c r="M361" s="7"/>
      <c r="N361" s="7">
        <f t="shared" si="5"/>
        <v>1</v>
      </c>
      <c r="O361" s="7"/>
      <c r="P361" s="7"/>
      <c r="Q361" s="7"/>
      <c r="R361" s="7"/>
      <c r="S361" s="7"/>
    </row>
    <row r="362">
      <c r="A362" s="31" t="s">
        <v>1414</v>
      </c>
      <c r="B362" s="30" t="s">
        <v>1415</v>
      </c>
      <c r="C362" s="7"/>
      <c r="D362" s="7"/>
      <c r="E362" s="7"/>
      <c r="F362" s="7"/>
      <c r="G362" s="7"/>
      <c r="H362" s="7"/>
      <c r="I362" s="7"/>
      <c r="J362" s="7"/>
      <c r="K362" s="7"/>
      <c r="L362" s="7"/>
      <c r="M362" s="7"/>
      <c r="N362" s="7">
        <f t="shared" si="5"/>
        <v>1</v>
      </c>
      <c r="O362" s="7"/>
      <c r="P362" s="7"/>
      <c r="Q362" s="7"/>
      <c r="R362" s="7"/>
      <c r="S362" s="7"/>
    </row>
    <row r="363">
      <c r="A363" s="31" t="s">
        <v>1416</v>
      </c>
      <c r="B363" s="30" t="s">
        <v>1417</v>
      </c>
      <c r="C363" s="7"/>
      <c r="D363" s="7"/>
      <c r="E363" s="7"/>
      <c r="F363" s="7"/>
      <c r="G363" s="7"/>
      <c r="H363" s="7"/>
      <c r="I363" s="7"/>
      <c r="J363" s="7"/>
      <c r="K363" s="7"/>
      <c r="L363" s="7"/>
      <c r="M363" s="7"/>
      <c r="N363" s="7">
        <f t="shared" si="5"/>
        <v>1</v>
      </c>
      <c r="O363" s="7"/>
      <c r="P363" s="7"/>
      <c r="Q363" s="7"/>
      <c r="R363" s="7"/>
      <c r="S363" s="7"/>
    </row>
    <row r="364">
      <c r="A364" s="31" t="s">
        <v>1418</v>
      </c>
      <c r="B364" s="30" t="s">
        <v>1419</v>
      </c>
      <c r="C364" s="7"/>
      <c r="D364" s="7"/>
      <c r="E364" s="7"/>
      <c r="F364" s="7"/>
      <c r="G364" s="7"/>
      <c r="H364" s="7"/>
      <c r="I364" s="7"/>
      <c r="J364" s="7"/>
      <c r="K364" s="7"/>
      <c r="L364" s="7"/>
      <c r="M364" s="7"/>
      <c r="N364" s="7">
        <f t="shared" si="5"/>
        <v>1</v>
      </c>
      <c r="O364" s="7"/>
      <c r="P364" s="7"/>
      <c r="Q364" s="7"/>
      <c r="R364" s="7"/>
      <c r="S364" s="7"/>
    </row>
    <row r="365">
      <c r="A365" s="31" t="s">
        <v>1420</v>
      </c>
      <c r="B365" s="30" t="s">
        <v>1421</v>
      </c>
      <c r="C365" s="7"/>
      <c r="D365" s="7"/>
      <c r="E365" s="7"/>
      <c r="F365" s="7"/>
      <c r="G365" s="7"/>
      <c r="H365" s="7"/>
      <c r="I365" s="7"/>
      <c r="J365" s="7"/>
      <c r="K365" s="7"/>
      <c r="L365" s="7"/>
      <c r="M365" s="7"/>
      <c r="N365" s="7">
        <f t="shared" si="5"/>
        <v>1</v>
      </c>
      <c r="O365" s="7"/>
      <c r="P365" s="7"/>
      <c r="Q365" s="7"/>
      <c r="R365" s="7"/>
      <c r="S365" s="7"/>
    </row>
    <row r="366">
      <c r="A366" s="31" t="s">
        <v>1422</v>
      </c>
      <c r="B366" s="30" t="s">
        <v>884</v>
      </c>
      <c r="C366" s="7"/>
      <c r="D366" s="7"/>
      <c r="E366" s="7"/>
      <c r="F366" s="7"/>
      <c r="G366" s="7"/>
      <c r="H366" s="7"/>
      <c r="I366" s="7"/>
      <c r="J366" s="7"/>
      <c r="K366" s="7"/>
      <c r="L366" s="7"/>
      <c r="M366" s="7"/>
      <c r="N366" s="7">
        <f t="shared" si="5"/>
        <v>1</v>
      </c>
      <c r="O366" s="7"/>
      <c r="P366" s="7"/>
      <c r="Q366" s="7"/>
      <c r="R366" s="7"/>
      <c r="S366" s="7"/>
    </row>
    <row r="367">
      <c r="A367" s="31" t="s">
        <v>1424</v>
      </c>
      <c r="B367" s="30" t="s">
        <v>1425</v>
      </c>
      <c r="C367" s="7"/>
      <c r="D367" s="7"/>
      <c r="E367" s="7"/>
      <c r="F367" s="7"/>
      <c r="G367" s="7"/>
      <c r="H367" s="7"/>
      <c r="I367" s="7"/>
      <c r="J367" s="7"/>
      <c r="K367" s="7"/>
      <c r="L367" s="7"/>
      <c r="M367" s="7"/>
      <c r="N367" s="7">
        <f t="shared" si="5"/>
        <v>1</v>
      </c>
      <c r="O367" s="7"/>
      <c r="P367" s="7"/>
      <c r="Q367" s="7"/>
      <c r="R367" s="7"/>
      <c r="S367" s="7"/>
    </row>
    <row r="368">
      <c r="A368" s="31" t="s">
        <v>1426</v>
      </c>
      <c r="B368" s="30" t="s">
        <v>1427</v>
      </c>
      <c r="C368" s="7"/>
      <c r="D368" s="7"/>
      <c r="E368" s="7"/>
      <c r="F368" s="7"/>
      <c r="G368" s="7"/>
      <c r="H368" s="7"/>
      <c r="I368" s="7"/>
      <c r="J368" s="7"/>
      <c r="K368" s="7"/>
      <c r="L368" s="7"/>
      <c r="M368" s="7"/>
      <c r="N368" s="7">
        <f t="shared" si="5"/>
        <v>1</v>
      </c>
      <c r="O368" s="7"/>
      <c r="P368" s="7"/>
      <c r="Q368" s="7"/>
      <c r="R368" s="7"/>
      <c r="S368" s="7"/>
    </row>
    <row r="369">
      <c r="A369" s="31" t="s">
        <v>1428</v>
      </c>
      <c r="B369" s="30" t="s">
        <v>1345</v>
      </c>
      <c r="C369" s="7"/>
      <c r="D369" s="7"/>
      <c r="E369" s="7"/>
      <c r="F369" s="7"/>
      <c r="G369" s="7"/>
      <c r="H369" s="7"/>
      <c r="I369" s="7"/>
      <c r="J369" s="7"/>
      <c r="K369" s="7"/>
      <c r="L369" s="7"/>
      <c r="M369" s="7"/>
      <c r="N369" s="7">
        <f t="shared" si="5"/>
        <v>1</v>
      </c>
      <c r="O369" s="7"/>
      <c r="P369" s="7"/>
      <c r="Q369" s="7"/>
      <c r="R369" s="7"/>
      <c r="S369" s="7"/>
    </row>
    <row r="370">
      <c r="A370" s="31" t="s">
        <v>1429</v>
      </c>
      <c r="B370" s="30" t="s">
        <v>1430</v>
      </c>
      <c r="C370" s="7"/>
      <c r="D370" s="7"/>
      <c r="E370" s="7"/>
      <c r="F370" s="7"/>
      <c r="G370" s="7"/>
      <c r="H370" s="7"/>
      <c r="I370" s="7"/>
      <c r="J370" s="7"/>
      <c r="K370" s="7"/>
      <c r="L370" s="7"/>
      <c r="M370" s="7"/>
      <c r="N370" s="7">
        <f t="shared" si="5"/>
        <v>1</v>
      </c>
      <c r="O370" s="7"/>
      <c r="P370" s="7"/>
      <c r="Q370" s="7"/>
      <c r="R370" s="7"/>
      <c r="S370" s="7"/>
    </row>
    <row r="371">
      <c r="A371" s="31" t="s">
        <v>1431</v>
      </c>
      <c r="B371" s="30" t="s">
        <v>253</v>
      </c>
      <c r="C371" s="7"/>
      <c r="D371" s="7"/>
      <c r="E371" s="7"/>
      <c r="F371" s="7"/>
      <c r="G371" s="7"/>
      <c r="H371" s="7"/>
      <c r="I371" s="7"/>
      <c r="J371" s="7"/>
      <c r="K371" s="7"/>
      <c r="L371" s="7"/>
      <c r="M371" s="7"/>
      <c r="N371" s="7">
        <f t="shared" si="5"/>
        <v>1</v>
      </c>
      <c r="O371" s="7"/>
      <c r="P371" s="7"/>
      <c r="Q371" s="7"/>
      <c r="R371" s="7"/>
      <c r="S371" s="7"/>
    </row>
    <row r="372">
      <c r="A372" s="31" t="s">
        <v>1432</v>
      </c>
      <c r="B372" s="30" t="s">
        <v>1433</v>
      </c>
      <c r="C372" s="7"/>
      <c r="D372" s="7"/>
      <c r="E372" s="7"/>
      <c r="F372" s="7"/>
      <c r="G372" s="7"/>
      <c r="H372" s="7"/>
      <c r="I372" s="7"/>
      <c r="J372" s="7"/>
      <c r="K372" s="7"/>
      <c r="L372" s="7"/>
      <c r="M372" s="7"/>
      <c r="N372" s="7">
        <f t="shared" si="5"/>
        <v>1</v>
      </c>
      <c r="O372" s="7"/>
      <c r="P372" s="7"/>
      <c r="Q372" s="7"/>
      <c r="R372" s="7"/>
      <c r="S372" s="7"/>
    </row>
    <row r="373">
      <c r="A373" s="31" t="s">
        <v>1434</v>
      </c>
      <c r="B373" s="30" t="s">
        <v>1435</v>
      </c>
      <c r="C373" s="7"/>
      <c r="D373" s="7"/>
      <c r="E373" s="7"/>
      <c r="F373" s="7"/>
      <c r="G373" s="7"/>
      <c r="H373" s="7"/>
      <c r="I373" s="7"/>
      <c r="J373" s="7"/>
      <c r="K373" s="7"/>
      <c r="L373" s="7"/>
      <c r="M373" s="7"/>
      <c r="N373" s="7">
        <f t="shared" si="5"/>
        <v>1</v>
      </c>
      <c r="O373" s="7"/>
      <c r="P373" s="7"/>
      <c r="Q373" s="7"/>
      <c r="R373" s="7"/>
      <c r="S373" s="7"/>
    </row>
    <row r="374">
      <c r="A374" s="26" t="s">
        <v>1399</v>
      </c>
      <c r="B374" s="30" t="s">
        <v>1400</v>
      </c>
      <c r="C374" s="7"/>
      <c r="D374" s="7"/>
      <c r="E374" s="7"/>
      <c r="F374" s="7"/>
      <c r="G374" s="7"/>
      <c r="H374" s="7"/>
      <c r="I374" s="7"/>
      <c r="J374" s="7"/>
      <c r="K374" s="7"/>
      <c r="L374" s="7"/>
      <c r="M374" s="7"/>
      <c r="N374" s="7">
        <f t="shared" si="5"/>
        <v>1</v>
      </c>
      <c r="O374" s="7"/>
      <c r="P374" s="7"/>
      <c r="Q374" s="7"/>
      <c r="R374" s="7"/>
      <c r="S374" s="7"/>
    </row>
    <row r="375">
      <c r="A375" s="31" t="s">
        <v>1436</v>
      </c>
      <c r="B375" s="30" t="s">
        <v>1437</v>
      </c>
      <c r="C375" s="7"/>
      <c r="D375" s="7"/>
      <c r="E375" s="7"/>
      <c r="F375" s="7"/>
      <c r="G375" s="7"/>
      <c r="H375" s="7"/>
      <c r="I375" s="7"/>
      <c r="J375" s="7"/>
      <c r="K375" s="7"/>
      <c r="L375" s="7"/>
      <c r="M375" s="7"/>
      <c r="N375" s="7">
        <f t="shared" si="5"/>
        <v>1</v>
      </c>
      <c r="O375" s="7"/>
      <c r="P375" s="7"/>
      <c r="Q375" s="7"/>
      <c r="R375" s="7"/>
      <c r="S375" s="7"/>
    </row>
    <row r="376">
      <c r="A376" s="31" t="s">
        <v>1438</v>
      </c>
      <c r="B376" s="30" t="s">
        <v>1439</v>
      </c>
      <c r="C376" s="7"/>
      <c r="D376" s="7"/>
      <c r="E376" s="7"/>
      <c r="F376" s="7"/>
      <c r="G376" s="7"/>
      <c r="H376" s="7"/>
      <c r="I376" s="7"/>
      <c r="J376" s="7"/>
      <c r="K376" s="7"/>
      <c r="L376" s="7"/>
      <c r="M376" s="7"/>
      <c r="N376" s="7">
        <f t="shared" si="5"/>
        <v>1</v>
      </c>
      <c r="O376" s="7"/>
      <c r="P376" s="7"/>
      <c r="Q376" s="7"/>
      <c r="R376" s="7"/>
      <c r="S376" s="7"/>
    </row>
    <row r="377">
      <c r="A377" s="7"/>
      <c r="B377" s="7"/>
      <c r="C377" s="7"/>
      <c r="D377" s="7"/>
      <c r="E377" s="7"/>
      <c r="F377" s="7"/>
      <c r="G377" s="7"/>
      <c r="H377" s="7"/>
      <c r="I377" s="7">
        <f>SUM(N360:N376)</f>
        <v>17</v>
      </c>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f>SUM(H359,O339,O139,I377)</f>
        <v>250</v>
      </c>
      <c r="O379" s="7"/>
      <c r="P379" s="7"/>
      <c r="Q379" s="7"/>
      <c r="R379" s="7"/>
      <c r="S379" s="7"/>
      <c r="T379" s="7"/>
      <c r="U379" s="7"/>
      <c r="V379" s="7"/>
      <c r="W379" s="7"/>
      <c r="X379" s="7"/>
      <c r="Y379" s="7"/>
      <c r="Z379" s="7"/>
    </row>
    <row r="380">
      <c r="A380" s="39" t="s">
        <v>1440</v>
      </c>
      <c r="B380" s="40"/>
      <c r="C380" s="41" t="s">
        <v>1441</v>
      </c>
      <c r="D380" s="42"/>
      <c r="E380" s="43" t="s">
        <v>1442</v>
      </c>
      <c r="F380" s="43" t="s">
        <v>1443</v>
      </c>
      <c r="G380" s="44" t="s">
        <v>1444</v>
      </c>
      <c r="H380" s="45"/>
      <c r="I380" s="46"/>
      <c r="J380" s="47" t="s">
        <v>1445</v>
      </c>
      <c r="K380" s="7"/>
      <c r="L380" s="7"/>
      <c r="M380" s="7"/>
      <c r="N380" s="7">
        <f>COUNT(N2:N376)</f>
        <v>360</v>
      </c>
      <c r="O380" s="22"/>
    </row>
    <row r="381">
      <c r="A381" s="48" t="s">
        <v>1446</v>
      </c>
      <c r="B381" s="10"/>
      <c r="C381" s="49" t="s">
        <v>1447</v>
      </c>
      <c r="D381" s="50"/>
      <c r="E381" s="51" t="s">
        <v>1448</v>
      </c>
      <c r="F381" s="51">
        <v>0.3</v>
      </c>
      <c r="G381" s="52" t="s">
        <v>1449</v>
      </c>
      <c r="H381" s="13"/>
      <c r="I381" s="10"/>
      <c r="J381" s="6" t="s">
        <v>1450</v>
      </c>
      <c r="K381" s="7"/>
      <c r="L381" s="7"/>
      <c r="M381" s="7"/>
      <c r="N381" s="7">
        <f>N379/N380</f>
        <v>0.6944444444</v>
      </c>
      <c r="O381" s="7"/>
    </row>
    <row r="382">
      <c r="A382" s="53" t="s">
        <v>1452</v>
      </c>
      <c r="B382" s="54"/>
      <c r="C382" s="55" t="s">
        <v>1447</v>
      </c>
      <c r="D382" s="50"/>
      <c r="E382" s="56" t="s">
        <v>1448</v>
      </c>
      <c r="F382" s="56">
        <v>2.0</v>
      </c>
      <c r="G382" s="57"/>
      <c r="H382" s="58"/>
      <c r="I382" s="54"/>
      <c r="J382" s="6" t="s">
        <v>589</v>
      </c>
      <c r="K382" s="7"/>
      <c r="L382" s="7"/>
      <c r="M382" s="7"/>
      <c r="N382" s="7"/>
      <c r="O382" s="7"/>
    </row>
    <row r="383">
      <c r="A383" s="48" t="s">
        <v>1453</v>
      </c>
      <c r="B383" s="10"/>
      <c r="C383" s="49" t="s">
        <v>1454</v>
      </c>
      <c r="D383" s="50"/>
      <c r="E383" s="51" t="s">
        <v>1448</v>
      </c>
      <c r="F383" s="51">
        <v>10.0</v>
      </c>
      <c r="G383" s="52"/>
      <c r="H383" s="13"/>
      <c r="I383" s="10"/>
      <c r="J383" s="6" t="s">
        <v>584</v>
      </c>
      <c r="K383" s="7"/>
      <c r="L383" s="7"/>
      <c r="M383" s="7"/>
      <c r="N383" s="7"/>
      <c r="O383" s="7"/>
    </row>
    <row r="384">
      <c r="A384" s="48" t="s">
        <v>1455</v>
      </c>
      <c r="B384" s="10"/>
      <c r="C384" s="49" t="s">
        <v>1456</v>
      </c>
      <c r="D384" s="50"/>
      <c r="E384" s="51" t="s">
        <v>1448</v>
      </c>
      <c r="F384" s="51">
        <v>20.0</v>
      </c>
      <c r="G384" s="52"/>
      <c r="H384" s="13"/>
      <c r="I384" s="10"/>
      <c r="J384" s="6" t="s">
        <v>584</v>
      </c>
      <c r="K384" s="7"/>
      <c r="L384" s="7"/>
      <c r="M384" s="7"/>
      <c r="N384" s="7"/>
      <c r="O384" s="7"/>
    </row>
    <row r="385">
      <c r="A385" s="48" t="s">
        <v>1457</v>
      </c>
      <c r="B385" s="10"/>
      <c r="C385" s="49" t="s">
        <v>1456</v>
      </c>
      <c r="D385" s="50"/>
      <c r="E385" s="51" t="s">
        <v>1448</v>
      </c>
      <c r="F385" s="51">
        <v>30.0</v>
      </c>
      <c r="G385" s="52"/>
      <c r="H385" s="13"/>
      <c r="I385" s="10"/>
      <c r="J385" s="6" t="s">
        <v>584</v>
      </c>
      <c r="K385" s="7"/>
      <c r="L385" s="7"/>
      <c r="M385" s="7"/>
      <c r="N385" s="7"/>
      <c r="O385" s="7"/>
    </row>
    <row r="386">
      <c r="A386" s="48" t="s">
        <v>1458</v>
      </c>
      <c r="B386" s="10"/>
      <c r="C386" s="49" t="s">
        <v>1447</v>
      </c>
      <c r="D386" s="50"/>
      <c r="E386" s="51" t="s">
        <v>1448</v>
      </c>
      <c r="F386" s="51">
        <v>1.0</v>
      </c>
      <c r="G386" s="52"/>
      <c r="H386" s="13"/>
      <c r="I386" s="10"/>
      <c r="J386" s="6" t="s">
        <v>589</v>
      </c>
      <c r="K386" s="7"/>
      <c r="L386" s="7"/>
      <c r="M386" s="7"/>
      <c r="N386" s="7"/>
      <c r="O386" s="7"/>
    </row>
    <row r="387">
      <c r="A387" s="48" t="s">
        <v>1459</v>
      </c>
      <c r="B387" s="10"/>
      <c r="C387" s="49" t="s">
        <v>1447</v>
      </c>
      <c r="D387" s="50"/>
      <c r="E387" s="51" t="s">
        <v>1448</v>
      </c>
      <c r="F387" s="51">
        <v>4.0</v>
      </c>
      <c r="G387" s="52"/>
      <c r="H387" s="13"/>
      <c r="I387" s="10"/>
      <c r="J387" s="6" t="s">
        <v>589</v>
      </c>
      <c r="K387" s="7"/>
      <c r="L387" s="7"/>
      <c r="M387" s="7"/>
      <c r="N387" s="7"/>
      <c r="O387" s="7"/>
    </row>
    <row r="388">
      <c r="A388" s="48" t="s">
        <v>1460</v>
      </c>
      <c r="B388" s="10"/>
      <c r="C388" s="49" t="s">
        <v>1463</v>
      </c>
      <c r="D388" s="50"/>
      <c r="E388" s="51" t="s">
        <v>1448</v>
      </c>
      <c r="F388" s="51">
        <v>50.0</v>
      </c>
      <c r="G388" s="52"/>
      <c r="H388" s="13"/>
      <c r="I388" s="10"/>
      <c r="J388" s="6" t="s">
        <v>584</v>
      </c>
      <c r="K388" s="7"/>
      <c r="L388" s="7"/>
      <c r="M388" s="7"/>
      <c r="N388" s="7"/>
      <c r="O388" s="7"/>
    </row>
    <row r="389">
      <c r="A389" s="48" t="s">
        <v>1464</v>
      </c>
      <c r="B389" s="10"/>
      <c r="C389" s="49" t="s">
        <v>1447</v>
      </c>
      <c r="D389" s="50"/>
      <c r="E389" s="51" t="s">
        <v>1448</v>
      </c>
      <c r="F389" s="51">
        <v>2.0</v>
      </c>
      <c r="G389" s="52"/>
      <c r="H389" s="13"/>
      <c r="I389" s="10"/>
      <c r="J389" s="6" t="s">
        <v>589</v>
      </c>
      <c r="K389" s="7"/>
      <c r="L389" s="7"/>
      <c r="M389" s="7"/>
      <c r="N389" s="7"/>
      <c r="O389" s="7"/>
    </row>
    <row r="390">
      <c r="A390" s="48" t="s">
        <v>1180</v>
      </c>
      <c r="B390" s="10"/>
      <c r="C390" s="49"/>
      <c r="D390" s="50"/>
      <c r="E390" s="51" t="s">
        <v>1448</v>
      </c>
      <c r="F390" s="51">
        <v>50.0</v>
      </c>
      <c r="G390" s="52" t="s">
        <v>1465</v>
      </c>
      <c r="H390" s="13"/>
      <c r="I390" s="10"/>
      <c r="J390" s="6" t="s">
        <v>584</v>
      </c>
      <c r="K390" s="7"/>
      <c r="L390" s="7"/>
      <c r="M390" s="7"/>
      <c r="N390" s="7"/>
      <c r="O390" s="7"/>
    </row>
    <row r="391">
      <c r="A391" s="48" t="s">
        <v>1466</v>
      </c>
      <c r="B391" s="10"/>
      <c r="C391" s="49" t="s">
        <v>1463</v>
      </c>
      <c r="D391" s="50"/>
      <c r="E391" s="51" t="s">
        <v>1448</v>
      </c>
      <c r="F391" s="51">
        <v>30.0</v>
      </c>
      <c r="G391" s="52"/>
      <c r="H391" s="13"/>
      <c r="I391" s="10"/>
      <c r="J391" s="6" t="s">
        <v>584</v>
      </c>
      <c r="K391" s="7"/>
      <c r="L391" s="7"/>
      <c r="M391" s="7"/>
      <c r="N391" s="7"/>
      <c r="O391" s="7"/>
    </row>
    <row r="392">
      <c r="A392" s="48" t="s">
        <v>1467</v>
      </c>
      <c r="B392" s="10"/>
      <c r="C392" s="49" t="s">
        <v>1447</v>
      </c>
      <c r="D392" s="50"/>
      <c r="E392" s="51" t="s">
        <v>1448</v>
      </c>
      <c r="F392" s="51">
        <v>3.0</v>
      </c>
      <c r="G392" s="52"/>
      <c r="H392" s="13"/>
      <c r="I392" s="10"/>
      <c r="J392" s="6" t="s">
        <v>584</v>
      </c>
      <c r="K392" s="7"/>
      <c r="L392" s="7"/>
      <c r="M392" s="7"/>
      <c r="N392" s="7"/>
      <c r="O392" s="7"/>
    </row>
    <row r="393">
      <c r="A393" s="48" t="s">
        <v>1468</v>
      </c>
      <c r="B393" s="10"/>
      <c r="C393" s="59"/>
      <c r="D393" s="50"/>
      <c r="E393" s="51" t="s">
        <v>1469</v>
      </c>
      <c r="F393" s="51" t="s">
        <v>1470</v>
      </c>
      <c r="G393" s="52" t="s">
        <v>1471</v>
      </c>
      <c r="H393" s="13"/>
      <c r="I393" s="10"/>
      <c r="J393" s="6" t="s">
        <v>589</v>
      </c>
      <c r="K393" s="7"/>
      <c r="L393" s="7"/>
      <c r="M393" s="7"/>
      <c r="N393" s="7"/>
      <c r="O393" s="7"/>
    </row>
    <row r="394">
      <c r="A394" s="48" t="s">
        <v>1472</v>
      </c>
      <c r="B394" s="10"/>
      <c r="C394" s="59"/>
      <c r="D394" s="50"/>
      <c r="E394" s="51" t="s">
        <v>1473</v>
      </c>
      <c r="F394" s="51" t="s">
        <v>1474</v>
      </c>
      <c r="G394" s="52" t="s">
        <v>1475</v>
      </c>
      <c r="H394" s="13"/>
      <c r="I394" s="10"/>
      <c r="J394" s="6" t="s">
        <v>1450</v>
      </c>
      <c r="K394" s="7"/>
      <c r="L394" s="7"/>
      <c r="M394" s="7"/>
      <c r="N394" s="7"/>
      <c r="O394" s="7"/>
    </row>
    <row r="395">
      <c r="A395" s="48" t="s">
        <v>1476</v>
      </c>
      <c r="B395" s="10"/>
      <c r="C395" s="59"/>
      <c r="D395" s="50"/>
      <c r="E395" s="51" t="s">
        <v>1477</v>
      </c>
      <c r="F395" s="51" t="s">
        <v>710</v>
      </c>
      <c r="G395" s="52" t="s">
        <v>1478</v>
      </c>
      <c r="H395" s="13"/>
      <c r="I395" s="10"/>
      <c r="J395" s="6" t="s">
        <v>584</v>
      </c>
      <c r="K395" s="7"/>
      <c r="L395" s="7"/>
      <c r="M395" s="7"/>
      <c r="N395" s="7"/>
      <c r="O395" s="7"/>
    </row>
    <row r="396">
      <c r="A396" s="48" t="s">
        <v>1479</v>
      </c>
      <c r="B396" s="10"/>
      <c r="C396" s="49" t="s">
        <v>1480</v>
      </c>
      <c r="D396" s="50"/>
      <c r="E396" s="51" t="s">
        <v>1482</v>
      </c>
      <c r="F396" s="51">
        <v>0.03</v>
      </c>
      <c r="G396" s="52" t="s">
        <v>1483</v>
      </c>
      <c r="H396" s="13"/>
      <c r="I396" s="10"/>
      <c r="J396" s="6" t="s">
        <v>589</v>
      </c>
      <c r="K396" s="7"/>
      <c r="L396" s="7"/>
      <c r="M396" s="7"/>
      <c r="N396" s="7"/>
      <c r="O396" s="7"/>
    </row>
    <row r="397">
      <c r="A397" s="48" t="s">
        <v>1484</v>
      </c>
      <c r="B397" s="10"/>
      <c r="C397" s="49" t="s">
        <v>1485</v>
      </c>
      <c r="D397" s="60"/>
      <c r="E397" s="51" t="s">
        <v>1486</v>
      </c>
      <c r="F397" s="51">
        <v>20.0</v>
      </c>
      <c r="G397" s="52" t="s">
        <v>1487</v>
      </c>
      <c r="H397" s="13"/>
      <c r="I397" s="10"/>
      <c r="J397" s="6" t="s">
        <v>584</v>
      </c>
      <c r="K397" s="7"/>
      <c r="L397" s="7"/>
      <c r="M397" s="7"/>
      <c r="N397" s="7"/>
      <c r="O397" s="7"/>
    </row>
    <row r="398">
      <c r="A398" s="48" t="s">
        <v>1488</v>
      </c>
      <c r="B398" s="10"/>
      <c r="C398" s="49" t="s">
        <v>1447</v>
      </c>
      <c r="D398" s="60"/>
      <c r="E398" s="51" t="s">
        <v>1489</v>
      </c>
      <c r="F398" s="51">
        <v>20.0</v>
      </c>
      <c r="G398" s="52" t="s">
        <v>1490</v>
      </c>
      <c r="H398" s="13"/>
      <c r="I398" s="10"/>
      <c r="J398" s="6" t="s">
        <v>1450</v>
      </c>
      <c r="K398" s="7"/>
      <c r="L398" s="7"/>
      <c r="M398" s="7"/>
      <c r="N398" s="7"/>
      <c r="O398" s="7"/>
    </row>
    <row r="399">
      <c r="A399" s="48" t="s">
        <v>1491</v>
      </c>
      <c r="B399" s="10"/>
      <c r="C399" s="49" t="s">
        <v>1447</v>
      </c>
      <c r="D399" s="60"/>
      <c r="E399" s="51" t="s">
        <v>1492</v>
      </c>
      <c r="F399" s="51">
        <v>30.0</v>
      </c>
      <c r="G399" s="52" t="s">
        <v>1493</v>
      </c>
      <c r="H399" s="13"/>
      <c r="I399" s="10"/>
      <c r="J399" s="6" t="s">
        <v>1450</v>
      </c>
      <c r="K399" s="7"/>
      <c r="L399" s="7"/>
      <c r="M399" s="7"/>
      <c r="N399" s="7"/>
      <c r="O399" s="7"/>
    </row>
    <row r="400">
      <c r="A400" s="48" t="s">
        <v>1494</v>
      </c>
      <c r="B400" s="10"/>
      <c r="C400" s="59"/>
      <c r="D400" s="60"/>
      <c r="E400" s="51" t="s">
        <v>1495</v>
      </c>
      <c r="F400" s="51" t="s">
        <v>1496</v>
      </c>
      <c r="G400" s="52" t="s">
        <v>1497</v>
      </c>
      <c r="H400" s="13"/>
      <c r="I400" s="10"/>
      <c r="J400" s="6" t="s">
        <v>1450</v>
      </c>
      <c r="K400" s="7"/>
      <c r="L400" s="7"/>
      <c r="M400" s="7"/>
      <c r="N400" s="7"/>
      <c r="O400" s="7"/>
    </row>
    <row r="401">
      <c r="A401" s="48" t="s">
        <v>188</v>
      </c>
      <c r="B401" s="10"/>
      <c r="C401" s="49" t="s">
        <v>1463</v>
      </c>
      <c r="D401" s="60"/>
      <c r="E401" s="51" t="s">
        <v>1498</v>
      </c>
      <c r="F401" s="51" t="s">
        <v>1470</v>
      </c>
      <c r="G401" s="52" t="s">
        <v>1499</v>
      </c>
      <c r="H401" s="13"/>
      <c r="I401" s="10"/>
      <c r="J401" s="6" t="s">
        <v>1450</v>
      </c>
      <c r="K401" s="7"/>
      <c r="L401" s="7"/>
      <c r="M401" s="7"/>
      <c r="N401" s="7"/>
      <c r="O401" s="7"/>
    </row>
    <row r="402">
      <c r="A402" s="48" t="s">
        <v>1500</v>
      </c>
      <c r="B402" s="10"/>
      <c r="C402" s="59"/>
      <c r="D402" s="60"/>
      <c r="E402" s="51" t="s">
        <v>1501</v>
      </c>
      <c r="F402" s="51" t="s">
        <v>1470</v>
      </c>
      <c r="G402" s="52" t="s">
        <v>1502</v>
      </c>
      <c r="H402" s="13"/>
      <c r="I402" s="10"/>
      <c r="J402" s="6" t="s">
        <v>589</v>
      </c>
      <c r="K402" s="7"/>
      <c r="L402" s="7"/>
      <c r="M402" s="7"/>
      <c r="N402" s="7"/>
      <c r="O402" s="7"/>
    </row>
    <row r="403">
      <c r="A403" s="48" t="s">
        <v>1144</v>
      </c>
      <c r="B403" s="10"/>
      <c r="C403" s="59"/>
      <c r="D403" s="60"/>
      <c r="E403" s="51" t="s">
        <v>1501</v>
      </c>
      <c r="F403" s="51" t="s">
        <v>1503</v>
      </c>
      <c r="G403" s="61"/>
      <c r="H403" s="58"/>
      <c r="I403" s="54"/>
      <c r="J403" s="6" t="s">
        <v>589</v>
      </c>
      <c r="K403" s="7"/>
      <c r="L403" s="7"/>
      <c r="M403" s="7"/>
      <c r="N403" s="7"/>
      <c r="O403" s="7"/>
    </row>
    <row r="404">
      <c r="A404" s="48" t="s">
        <v>1504</v>
      </c>
      <c r="B404" s="10"/>
      <c r="C404" s="49" t="s">
        <v>1505</v>
      </c>
      <c r="D404" s="60"/>
      <c r="E404" s="51" t="s">
        <v>1506</v>
      </c>
      <c r="F404" s="51">
        <v>1.2</v>
      </c>
      <c r="G404" s="52" t="s">
        <v>1507</v>
      </c>
      <c r="H404" s="13"/>
      <c r="I404" s="10"/>
      <c r="J404" s="6" t="s">
        <v>589</v>
      </c>
      <c r="K404" s="7"/>
      <c r="L404" s="7"/>
      <c r="M404" s="7"/>
      <c r="N404" s="7"/>
      <c r="O404" s="7"/>
    </row>
    <row r="405">
      <c r="A405" s="48" t="s">
        <v>1419</v>
      </c>
      <c r="B405" s="10"/>
      <c r="C405" s="59"/>
      <c r="D405" s="60"/>
      <c r="E405" s="51" t="s">
        <v>1501</v>
      </c>
      <c r="F405" s="51" t="s">
        <v>1496</v>
      </c>
      <c r="G405" s="52" t="s">
        <v>1508</v>
      </c>
      <c r="H405" s="13"/>
      <c r="I405" s="10"/>
      <c r="J405" s="6" t="s">
        <v>584</v>
      </c>
      <c r="K405" s="7"/>
      <c r="L405" s="7"/>
      <c r="M405" s="7"/>
      <c r="N405" s="7"/>
      <c r="O405" s="7"/>
    </row>
    <row r="406">
      <c r="A406" s="48" t="s">
        <v>1509</v>
      </c>
      <c r="B406" s="10"/>
      <c r="C406" s="49"/>
      <c r="D406" s="60"/>
      <c r="E406" s="51" t="s">
        <v>1501</v>
      </c>
      <c r="F406" s="51"/>
      <c r="G406" s="52" t="s">
        <v>1510</v>
      </c>
      <c r="H406" s="13"/>
      <c r="I406" s="10"/>
      <c r="J406" s="6" t="s">
        <v>1450</v>
      </c>
      <c r="K406" s="7"/>
      <c r="L406" s="7"/>
      <c r="M406" s="7"/>
      <c r="N406" s="7"/>
      <c r="O406" s="7"/>
    </row>
    <row r="407">
      <c r="A407" s="48" t="s">
        <v>1511</v>
      </c>
      <c r="B407" s="10"/>
      <c r="C407" s="49" t="s">
        <v>1512</v>
      </c>
      <c r="D407" s="60"/>
      <c r="E407" s="51" t="s">
        <v>1513</v>
      </c>
      <c r="F407" s="51">
        <v>10.0</v>
      </c>
      <c r="G407" s="52" t="s">
        <v>1514</v>
      </c>
      <c r="H407" s="13"/>
      <c r="I407" s="10"/>
      <c r="J407" s="6" t="s">
        <v>584</v>
      </c>
      <c r="K407" s="7"/>
      <c r="L407" s="7"/>
      <c r="M407" s="7"/>
      <c r="N407" s="7"/>
      <c r="O407" s="7"/>
    </row>
    <row r="408">
      <c r="A408" s="48" t="s">
        <v>1515</v>
      </c>
      <c r="B408" s="10"/>
      <c r="C408" s="49" t="s">
        <v>1516</v>
      </c>
      <c r="D408" s="50" t="s">
        <v>1517</v>
      </c>
      <c r="E408" s="51" t="s">
        <v>1482</v>
      </c>
      <c r="F408" s="51" t="s">
        <v>1519</v>
      </c>
      <c r="G408" s="52" t="s">
        <v>1520</v>
      </c>
      <c r="H408" s="13"/>
      <c r="I408" s="10"/>
      <c r="J408" s="6" t="s">
        <v>589</v>
      </c>
      <c r="K408" s="7"/>
      <c r="L408" s="7"/>
      <c r="M408" s="7"/>
      <c r="N408" s="7"/>
      <c r="O408" s="7"/>
    </row>
    <row r="409">
      <c r="A409" s="48" t="s">
        <v>1521</v>
      </c>
      <c r="B409" s="10"/>
      <c r="C409" s="49" t="s">
        <v>1522</v>
      </c>
      <c r="D409" s="62" t="s">
        <v>1523</v>
      </c>
      <c r="E409" s="51" t="s">
        <v>1501</v>
      </c>
      <c r="F409" s="51" t="s">
        <v>1524</v>
      </c>
      <c r="G409" s="52"/>
      <c r="H409" s="13"/>
      <c r="I409" s="10"/>
      <c r="J409" s="6" t="s">
        <v>584</v>
      </c>
      <c r="K409" s="7"/>
      <c r="L409" s="7"/>
      <c r="M409" s="7"/>
      <c r="N409" s="7"/>
      <c r="O409" s="7"/>
    </row>
    <row r="410">
      <c r="A410" s="48" t="s">
        <v>1525</v>
      </c>
      <c r="B410" s="10"/>
      <c r="C410" s="49" t="s">
        <v>1526</v>
      </c>
      <c r="D410" s="60"/>
      <c r="E410" s="51" t="s">
        <v>1527</v>
      </c>
      <c r="F410" s="51" t="s">
        <v>1528</v>
      </c>
      <c r="G410" s="52" t="s">
        <v>1529</v>
      </c>
      <c r="H410" s="13"/>
      <c r="I410" s="10"/>
      <c r="J410" s="6" t="s">
        <v>1450</v>
      </c>
      <c r="K410" s="7"/>
      <c r="L410" s="7"/>
      <c r="M410" s="7"/>
      <c r="N410" s="7"/>
      <c r="O410" s="7"/>
    </row>
    <row r="411">
      <c r="A411" s="48" t="s">
        <v>1530</v>
      </c>
      <c r="B411" s="10"/>
      <c r="C411" s="49" t="s">
        <v>1526</v>
      </c>
      <c r="D411" s="60"/>
      <c r="E411" s="51" t="s">
        <v>1527</v>
      </c>
      <c r="F411" s="51" t="s">
        <v>1531</v>
      </c>
      <c r="G411" s="52" t="s">
        <v>1532</v>
      </c>
      <c r="H411" s="13"/>
      <c r="I411" s="10"/>
      <c r="J411" s="6" t="s">
        <v>1450</v>
      </c>
      <c r="K411" s="7"/>
      <c r="L411" s="7"/>
      <c r="M411" s="7"/>
      <c r="N411" s="7"/>
      <c r="O411" s="7"/>
    </row>
    <row r="412">
      <c r="A412" s="48" t="s">
        <v>1533</v>
      </c>
      <c r="B412" s="10"/>
      <c r="C412" s="49" t="s">
        <v>1534</v>
      </c>
      <c r="D412" s="60"/>
      <c r="E412" s="51" t="s">
        <v>1535</v>
      </c>
      <c r="F412" s="51">
        <v>3.0</v>
      </c>
      <c r="G412" s="52" t="s">
        <v>1536</v>
      </c>
      <c r="H412" s="13"/>
      <c r="I412" s="10"/>
      <c r="J412" s="6" t="s">
        <v>584</v>
      </c>
      <c r="K412" s="7"/>
      <c r="L412" s="7"/>
      <c r="M412" s="7"/>
      <c r="N412" s="7"/>
      <c r="O412" s="7"/>
    </row>
    <row r="413">
      <c r="A413" s="48" t="s">
        <v>1537</v>
      </c>
      <c r="B413" s="10"/>
      <c r="C413" s="49" t="s">
        <v>1538</v>
      </c>
      <c r="D413" s="60"/>
      <c r="E413" s="51" t="s">
        <v>1539</v>
      </c>
      <c r="F413" s="51">
        <v>8.0</v>
      </c>
      <c r="G413" s="52" t="s">
        <v>1540</v>
      </c>
      <c r="H413" s="13"/>
      <c r="I413" s="10"/>
      <c r="J413" s="6" t="s">
        <v>584</v>
      </c>
      <c r="K413" s="7"/>
      <c r="L413" s="7"/>
      <c r="M413" s="7"/>
      <c r="N413" s="7"/>
      <c r="O413" s="7"/>
    </row>
    <row r="414">
      <c r="A414" s="48" t="s">
        <v>1541</v>
      </c>
      <c r="B414" s="10"/>
      <c r="C414" s="49" t="s">
        <v>1542</v>
      </c>
      <c r="D414" s="60"/>
      <c r="E414" s="51" t="s">
        <v>1543</v>
      </c>
      <c r="F414" s="51">
        <v>2.0</v>
      </c>
      <c r="G414" s="52" t="s">
        <v>1544</v>
      </c>
      <c r="H414" s="13"/>
      <c r="I414" s="10"/>
      <c r="J414" s="6" t="s">
        <v>584</v>
      </c>
      <c r="K414" s="7"/>
      <c r="L414" s="7"/>
      <c r="M414" s="7"/>
      <c r="N414" s="7"/>
      <c r="O414" s="7"/>
    </row>
    <row r="415">
      <c r="A415" s="48" t="s">
        <v>1545</v>
      </c>
      <c r="B415" s="10"/>
      <c r="C415" s="49" t="s">
        <v>1546</v>
      </c>
      <c r="D415" s="60"/>
      <c r="E415" s="51" t="s">
        <v>1547</v>
      </c>
      <c r="F415" s="51">
        <v>5.0</v>
      </c>
      <c r="G415" s="52" t="s">
        <v>1548</v>
      </c>
      <c r="H415" s="13"/>
      <c r="I415" s="10"/>
      <c r="J415" s="6" t="s">
        <v>584</v>
      </c>
      <c r="K415" s="7"/>
      <c r="L415" s="7"/>
      <c r="M415" s="7"/>
      <c r="N415" s="7"/>
      <c r="O415" s="7"/>
    </row>
    <row r="416">
      <c r="A416" s="48" t="s">
        <v>1549</v>
      </c>
      <c r="B416" s="10"/>
      <c r="C416" s="49" t="s">
        <v>1550</v>
      </c>
      <c r="D416" s="60"/>
      <c r="E416" s="51" t="s">
        <v>1551</v>
      </c>
      <c r="F416" s="51">
        <v>14.0</v>
      </c>
      <c r="G416" s="52" t="s">
        <v>1552</v>
      </c>
      <c r="H416" s="13"/>
      <c r="I416" s="10"/>
      <c r="J416" s="6" t="s">
        <v>584</v>
      </c>
      <c r="K416" s="7"/>
      <c r="L416" s="7"/>
      <c r="M416" s="7"/>
      <c r="N416" s="7"/>
      <c r="O416" s="7"/>
    </row>
    <row r="417">
      <c r="A417" s="48" t="s">
        <v>1140</v>
      </c>
      <c r="B417" s="10"/>
      <c r="C417" s="59"/>
      <c r="D417" s="50" t="s">
        <v>166</v>
      </c>
      <c r="E417" s="51" t="s">
        <v>1553</v>
      </c>
      <c r="F417" s="51" t="s">
        <v>1554</v>
      </c>
      <c r="G417" s="52" t="s">
        <v>1555</v>
      </c>
      <c r="H417" s="13"/>
      <c r="I417" s="10"/>
      <c r="J417" s="6" t="s">
        <v>584</v>
      </c>
      <c r="K417" s="7"/>
      <c r="L417" s="7"/>
      <c r="M417" s="7"/>
      <c r="N417" s="7"/>
      <c r="O417" s="7"/>
    </row>
    <row r="418">
      <c r="A418" s="48" t="s">
        <v>1556</v>
      </c>
      <c r="B418" s="10"/>
      <c r="C418" s="49" t="s">
        <v>1485</v>
      </c>
      <c r="D418" s="60"/>
      <c r="E418" s="51" t="s">
        <v>1557</v>
      </c>
      <c r="F418" s="51">
        <v>5.0</v>
      </c>
      <c r="G418" s="52" t="s">
        <v>1558</v>
      </c>
      <c r="H418" s="13"/>
      <c r="I418" s="10"/>
      <c r="J418" s="6" t="s">
        <v>584</v>
      </c>
      <c r="K418" s="7"/>
      <c r="L418" s="7"/>
      <c r="M418" s="7"/>
      <c r="N418" s="7"/>
      <c r="O418" s="7"/>
    </row>
    <row r="419">
      <c r="A419" s="48" t="s">
        <v>912</v>
      </c>
      <c r="B419" s="10"/>
      <c r="C419" s="59"/>
      <c r="D419" s="60"/>
      <c r="E419" s="51" t="s">
        <v>1559</v>
      </c>
      <c r="F419" s="51" t="s">
        <v>1554</v>
      </c>
      <c r="G419" s="52" t="s">
        <v>1560</v>
      </c>
      <c r="H419" s="13"/>
      <c r="I419" s="10"/>
      <c r="J419" s="6" t="s">
        <v>584</v>
      </c>
      <c r="K419" s="7"/>
      <c r="L419" s="7"/>
      <c r="M419" s="7"/>
      <c r="N419" s="7"/>
      <c r="O419" s="7"/>
    </row>
    <row r="420">
      <c r="A420" s="48" t="s">
        <v>154</v>
      </c>
      <c r="B420" s="10"/>
      <c r="C420" s="59"/>
      <c r="D420" s="60"/>
      <c r="E420" s="51" t="s">
        <v>1561</v>
      </c>
      <c r="F420" s="51" t="s">
        <v>710</v>
      </c>
      <c r="G420" s="52" t="s">
        <v>1562</v>
      </c>
      <c r="H420" s="13"/>
      <c r="I420" s="10"/>
      <c r="J420" s="6" t="s">
        <v>584</v>
      </c>
      <c r="K420" s="7"/>
      <c r="L420" s="7"/>
      <c r="M420" s="7"/>
      <c r="N420" s="7"/>
      <c r="O420" s="7"/>
    </row>
    <row r="421">
      <c r="A421" s="48" t="s">
        <v>1563</v>
      </c>
      <c r="B421" s="10"/>
      <c r="C421" s="59"/>
      <c r="D421" s="60"/>
      <c r="E421" s="51" t="s">
        <v>1561</v>
      </c>
      <c r="F421" s="51" t="s">
        <v>710</v>
      </c>
      <c r="G421" s="52" t="s">
        <v>1564</v>
      </c>
      <c r="H421" s="13"/>
      <c r="I421" s="10"/>
      <c r="J421" s="6" t="s">
        <v>584</v>
      </c>
      <c r="K421" s="7"/>
      <c r="L421" s="7"/>
      <c r="M421" s="7"/>
      <c r="N421" s="7"/>
      <c r="O421" s="7"/>
    </row>
    <row r="422">
      <c r="A422" s="48" t="s">
        <v>1565</v>
      </c>
      <c r="B422" s="10"/>
      <c r="C422" s="59"/>
      <c r="D422" s="60"/>
      <c r="E422" s="51" t="s">
        <v>1561</v>
      </c>
      <c r="F422" s="51" t="s">
        <v>710</v>
      </c>
      <c r="G422" s="52" t="s">
        <v>1566</v>
      </c>
      <c r="H422" s="13"/>
      <c r="I422" s="10"/>
      <c r="J422" s="6" t="s">
        <v>584</v>
      </c>
      <c r="K422" s="7"/>
      <c r="L422" s="7"/>
      <c r="M422" s="7"/>
      <c r="N422" s="7"/>
      <c r="O422" s="7"/>
    </row>
    <row r="423">
      <c r="A423" s="48" t="s">
        <v>1567</v>
      </c>
      <c r="B423" s="10"/>
      <c r="C423" s="59"/>
      <c r="D423" s="60"/>
      <c r="E423" s="51" t="s">
        <v>1568</v>
      </c>
      <c r="F423" s="51" t="s">
        <v>1554</v>
      </c>
      <c r="G423" s="52" t="s">
        <v>1569</v>
      </c>
      <c r="H423" s="13"/>
      <c r="I423" s="10"/>
      <c r="J423" s="6" t="s">
        <v>584</v>
      </c>
      <c r="K423" s="7"/>
      <c r="L423" s="7"/>
      <c r="M423" s="7"/>
      <c r="N423" s="7"/>
      <c r="O423" s="7"/>
    </row>
    <row r="424">
      <c r="A424" s="48" t="s">
        <v>31</v>
      </c>
      <c r="B424" s="10"/>
      <c r="C424" s="59"/>
      <c r="D424" s="60"/>
      <c r="E424" s="51" t="s">
        <v>1570</v>
      </c>
      <c r="F424" s="51"/>
      <c r="G424" s="52" t="s">
        <v>1571</v>
      </c>
      <c r="H424" s="13"/>
      <c r="I424" s="10"/>
      <c r="J424" s="6" t="s">
        <v>584</v>
      </c>
      <c r="K424" s="7"/>
      <c r="L424" s="7"/>
      <c r="M424" s="7"/>
      <c r="N424" s="7"/>
      <c r="O424" s="7"/>
    </row>
    <row r="425">
      <c r="A425" s="48" t="s">
        <v>722</v>
      </c>
      <c r="B425" s="10"/>
      <c r="C425" s="59"/>
      <c r="D425" s="60"/>
      <c r="E425" s="51" t="s">
        <v>1572</v>
      </c>
      <c r="F425" s="51" t="s">
        <v>1573</v>
      </c>
      <c r="G425" s="52" t="s">
        <v>1574</v>
      </c>
      <c r="H425" s="13"/>
      <c r="I425" s="10"/>
      <c r="J425" s="6" t="s">
        <v>584</v>
      </c>
      <c r="K425" s="7"/>
      <c r="L425" s="7"/>
      <c r="M425" s="7"/>
      <c r="N425" s="7"/>
      <c r="O425" s="7"/>
    </row>
    <row r="426">
      <c r="A426" s="48" t="s">
        <v>1575</v>
      </c>
      <c r="B426" s="10"/>
      <c r="C426" s="49" t="s">
        <v>1576</v>
      </c>
      <c r="D426" s="60"/>
      <c r="E426" s="51" t="s">
        <v>1501</v>
      </c>
      <c r="F426" s="51"/>
      <c r="G426" s="52" t="s">
        <v>1577</v>
      </c>
      <c r="H426" s="13"/>
      <c r="I426" s="10"/>
      <c r="J426" s="6" t="s">
        <v>1450</v>
      </c>
      <c r="K426" s="7"/>
      <c r="L426" s="7"/>
      <c r="M426" s="7"/>
      <c r="N426" s="7"/>
      <c r="O426" s="7"/>
    </row>
    <row r="427">
      <c r="A427" s="63" t="s">
        <v>1578</v>
      </c>
      <c r="B427" s="10"/>
      <c r="C427" s="49" t="s">
        <v>1580</v>
      </c>
      <c r="D427" s="60"/>
      <c r="E427" s="51" t="s">
        <v>1581</v>
      </c>
      <c r="F427" s="51"/>
      <c r="G427" s="52" t="s">
        <v>1582</v>
      </c>
      <c r="H427" s="13"/>
      <c r="I427" s="10"/>
      <c r="J427" s="6" t="s">
        <v>584</v>
      </c>
      <c r="K427" s="7"/>
      <c r="L427" s="7"/>
      <c r="M427" s="7"/>
      <c r="N427" s="7"/>
      <c r="O427" s="7"/>
    </row>
    <row r="428">
      <c r="A428" s="63" t="s">
        <v>1583</v>
      </c>
      <c r="B428" s="10"/>
      <c r="C428" s="49"/>
      <c r="D428" s="60"/>
      <c r="E428" s="51" t="s">
        <v>1501</v>
      </c>
      <c r="F428" s="51"/>
      <c r="G428" s="52" t="s">
        <v>1584</v>
      </c>
      <c r="H428" s="13"/>
      <c r="I428" s="10"/>
      <c r="J428" s="6" t="s">
        <v>584</v>
      </c>
      <c r="K428" s="7"/>
      <c r="L428" s="7"/>
      <c r="M428" s="7"/>
      <c r="N428" s="7"/>
      <c r="O428" s="7"/>
    </row>
    <row r="429">
      <c r="A429" s="63" t="s">
        <v>1585</v>
      </c>
      <c r="B429" s="10"/>
      <c r="C429" s="49"/>
      <c r="D429" s="60"/>
      <c r="E429" s="51" t="s">
        <v>1501</v>
      </c>
      <c r="F429" s="51"/>
      <c r="G429" s="52" t="s">
        <v>1586</v>
      </c>
      <c r="H429" s="13"/>
      <c r="I429" s="10"/>
      <c r="J429" s="6" t="s">
        <v>584</v>
      </c>
      <c r="K429" s="7"/>
      <c r="L429" s="7"/>
      <c r="M429" s="7"/>
      <c r="N429" s="7"/>
      <c r="O429" s="7"/>
    </row>
    <row r="430">
      <c r="A430" s="63" t="s">
        <v>111</v>
      </c>
      <c r="B430" s="10"/>
      <c r="C430" s="49"/>
      <c r="D430" s="60"/>
      <c r="E430" s="51" t="s">
        <v>1501</v>
      </c>
      <c r="F430" s="51"/>
      <c r="G430" s="52" t="s">
        <v>1587</v>
      </c>
      <c r="H430" s="13"/>
      <c r="I430" s="10"/>
      <c r="J430" s="6" t="s">
        <v>584</v>
      </c>
      <c r="K430" s="7"/>
      <c r="L430" s="7"/>
      <c r="M430" s="7"/>
      <c r="N430" s="7"/>
      <c r="O430" s="7"/>
    </row>
    <row r="431">
      <c r="A431" s="63" t="s">
        <v>1588</v>
      </c>
      <c r="B431" s="10"/>
      <c r="C431" s="49"/>
      <c r="D431" s="60"/>
      <c r="E431" s="51" t="s">
        <v>1501</v>
      </c>
      <c r="F431" s="51"/>
      <c r="G431" s="52" t="s">
        <v>1590</v>
      </c>
      <c r="H431" s="13"/>
      <c r="I431" s="10"/>
      <c r="J431" s="6" t="s">
        <v>584</v>
      </c>
      <c r="K431" s="7"/>
      <c r="L431" s="7"/>
      <c r="M431" s="7"/>
      <c r="N431" s="7"/>
      <c r="O431" s="7"/>
    </row>
    <row r="432">
      <c r="A432" s="63" t="s">
        <v>1591</v>
      </c>
      <c r="B432" s="10"/>
      <c r="C432" s="49"/>
      <c r="D432" s="60"/>
      <c r="E432" s="51" t="s">
        <v>1501</v>
      </c>
      <c r="F432" s="51"/>
      <c r="G432" s="52" t="s">
        <v>1592</v>
      </c>
      <c r="H432" s="13"/>
      <c r="I432" s="10"/>
      <c r="J432" s="6" t="s">
        <v>584</v>
      </c>
      <c r="K432" s="7"/>
      <c r="L432" s="64" t="s">
        <v>1593</v>
      </c>
      <c r="N432" s="7"/>
      <c r="O432" s="7"/>
    </row>
    <row r="433">
      <c r="A433" s="63" t="s">
        <v>1594</v>
      </c>
      <c r="B433" s="10"/>
      <c r="C433" s="49"/>
      <c r="D433" s="60"/>
      <c r="E433" s="51" t="s">
        <v>1501</v>
      </c>
      <c r="F433" s="51"/>
      <c r="G433" s="52" t="s">
        <v>1595</v>
      </c>
      <c r="H433" s="13"/>
      <c r="I433" s="10"/>
      <c r="J433" s="6" t="s">
        <v>584</v>
      </c>
      <c r="K433" s="7"/>
      <c r="L433" s="65" t="s">
        <v>1596</v>
      </c>
      <c r="M433" s="66"/>
      <c r="N433" s="7"/>
      <c r="O433" s="7"/>
    </row>
    <row r="434">
      <c r="A434" s="63" t="s">
        <v>1597</v>
      </c>
      <c r="B434" s="10"/>
      <c r="C434" s="49"/>
      <c r="D434" s="60"/>
      <c r="E434" s="51" t="s">
        <v>1501</v>
      </c>
      <c r="F434" s="51"/>
      <c r="G434" s="52" t="s">
        <v>1598</v>
      </c>
      <c r="H434" s="13"/>
      <c r="I434" s="10"/>
      <c r="J434" s="6" t="s">
        <v>584</v>
      </c>
      <c r="K434" s="7"/>
      <c r="L434" s="65" t="s">
        <v>1599</v>
      </c>
      <c r="M434" s="66"/>
      <c r="N434" s="7"/>
      <c r="O434" s="7"/>
    </row>
    <row r="435">
      <c r="A435" s="63" t="s">
        <v>1600</v>
      </c>
      <c r="B435" s="10"/>
      <c r="C435" s="49"/>
      <c r="D435" s="60"/>
      <c r="E435" s="51" t="s">
        <v>1501</v>
      </c>
      <c r="F435" s="51"/>
      <c r="G435" s="52" t="s">
        <v>1601</v>
      </c>
      <c r="H435" s="13"/>
      <c r="I435" s="10"/>
      <c r="J435" s="6" t="s">
        <v>584</v>
      </c>
      <c r="K435" s="7"/>
      <c r="L435" s="65" t="s">
        <v>1602</v>
      </c>
      <c r="M435" s="66"/>
      <c r="N435" s="7"/>
      <c r="O435" s="7"/>
    </row>
    <row r="436">
      <c r="A436" s="63" t="s">
        <v>1603</v>
      </c>
      <c r="B436" s="10"/>
      <c r="C436" s="49" t="s">
        <v>1604</v>
      </c>
      <c r="D436" s="60"/>
      <c r="E436" s="51" t="s">
        <v>1605</v>
      </c>
      <c r="F436" s="51"/>
      <c r="G436" s="52" t="s">
        <v>1606</v>
      </c>
      <c r="H436" s="13"/>
      <c r="I436" s="10"/>
      <c r="J436" s="6" t="s">
        <v>584</v>
      </c>
      <c r="K436" s="7"/>
      <c r="L436" s="65" t="s">
        <v>1607</v>
      </c>
      <c r="M436" s="66"/>
      <c r="N436" s="7"/>
      <c r="O436" s="7"/>
    </row>
    <row r="437">
      <c r="A437" s="63" t="s">
        <v>1608</v>
      </c>
      <c r="B437" s="10"/>
      <c r="C437" s="49" t="s">
        <v>1609</v>
      </c>
      <c r="D437" s="60"/>
      <c r="E437" s="51" t="s">
        <v>1501</v>
      </c>
      <c r="F437" s="51"/>
      <c r="G437" s="52" t="s">
        <v>1610</v>
      </c>
      <c r="H437" s="13"/>
      <c r="I437" s="10"/>
      <c r="J437" s="6" t="s">
        <v>584</v>
      </c>
      <c r="K437" s="7"/>
      <c r="L437" s="65" t="s">
        <v>1611</v>
      </c>
      <c r="M437" s="66"/>
      <c r="N437" s="7"/>
      <c r="O437" s="7"/>
    </row>
    <row r="438">
      <c r="A438" s="63" t="s">
        <v>1612</v>
      </c>
      <c r="B438" s="10"/>
      <c r="C438" s="49"/>
      <c r="D438" s="60"/>
      <c r="E438" s="51" t="s">
        <v>1501</v>
      </c>
      <c r="F438" s="51"/>
      <c r="G438" s="52" t="s">
        <v>1613</v>
      </c>
      <c r="H438" s="13"/>
      <c r="I438" s="10"/>
      <c r="J438" s="6" t="s">
        <v>584</v>
      </c>
      <c r="K438" s="7"/>
      <c r="L438" s="65" t="s">
        <v>1614</v>
      </c>
      <c r="M438" s="66"/>
      <c r="N438" s="7"/>
      <c r="O438" s="7"/>
    </row>
    <row r="439">
      <c r="A439" s="63" t="s">
        <v>1615</v>
      </c>
      <c r="B439" s="10"/>
      <c r="C439" s="49" t="s">
        <v>1616</v>
      </c>
      <c r="D439" s="67"/>
      <c r="E439" s="51"/>
      <c r="F439" s="67"/>
      <c r="G439" s="52" t="s">
        <v>1617</v>
      </c>
      <c r="H439" s="13"/>
      <c r="I439" s="10"/>
      <c r="J439" s="6" t="s">
        <v>584</v>
      </c>
      <c r="K439" s="7"/>
      <c r="L439" s="65" t="s">
        <v>1618</v>
      </c>
      <c r="M439" s="66"/>
      <c r="N439" s="7"/>
      <c r="O439" s="7"/>
    </row>
    <row r="440">
      <c r="A440" s="68" t="s">
        <v>1619</v>
      </c>
      <c r="B440" s="10"/>
      <c r="C440" s="69"/>
      <c r="D440" s="70"/>
      <c r="E440" s="47" t="s">
        <v>1620</v>
      </c>
      <c r="F440" s="47"/>
      <c r="G440" s="71"/>
      <c r="H440" s="13"/>
      <c r="I440" s="10"/>
      <c r="J440" s="72"/>
      <c r="K440" s="7"/>
      <c r="L440" s="7"/>
      <c r="M440" s="7"/>
      <c r="N440" s="7"/>
      <c r="O440" s="7"/>
    </row>
    <row r="441">
      <c r="A441" s="48" t="s">
        <v>1621</v>
      </c>
      <c r="B441" s="10"/>
      <c r="C441" s="59"/>
      <c r="D441" s="60"/>
      <c r="E441" s="51"/>
      <c r="F441" s="51"/>
      <c r="G441" s="52" t="s">
        <v>1622</v>
      </c>
      <c r="H441" s="13"/>
      <c r="I441" s="10"/>
      <c r="J441" s="6" t="s">
        <v>584</v>
      </c>
      <c r="K441" s="7"/>
      <c r="L441" s="7"/>
      <c r="M441" s="7"/>
      <c r="N441" s="7"/>
      <c r="O441" s="7"/>
    </row>
    <row r="442">
      <c r="A442" s="48" t="s">
        <v>1623</v>
      </c>
      <c r="B442" s="10"/>
      <c r="C442" s="59"/>
      <c r="D442" s="60"/>
      <c r="E442" s="51"/>
      <c r="F442" s="51"/>
      <c r="G442" s="52" t="s">
        <v>1624</v>
      </c>
      <c r="H442" s="13"/>
      <c r="I442" s="10"/>
      <c r="J442" s="6" t="s">
        <v>1450</v>
      </c>
      <c r="K442" s="7"/>
      <c r="L442" s="7"/>
      <c r="M442" s="7"/>
      <c r="N442" s="7"/>
      <c r="O442" s="7"/>
    </row>
    <row r="443">
      <c r="A443" s="48" t="s">
        <v>1625</v>
      </c>
      <c r="B443" s="10"/>
      <c r="C443" s="59"/>
      <c r="D443" s="60"/>
      <c r="E443" s="51"/>
      <c r="F443" s="51"/>
      <c r="G443" s="52" t="s">
        <v>1626</v>
      </c>
      <c r="H443" s="13"/>
      <c r="I443" s="10"/>
      <c r="J443" s="6" t="s">
        <v>1450</v>
      </c>
      <c r="K443" s="7"/>
      <c r="L443" s="7"/>
      <c r="M443" s="7"/>
      <c r="N443" s="7"/>
      <c r="O443" s="7"/>
    </row>
    <row r="444">
      <c r="A444" s="48" t="s">
        <v>1627</v>
      </c>
      <c r="B444" s="10"/>
      <c r="C444" s="59"/>
      <c r="D444" s="60"/>
      <c r="E444" s="51"/>
      <c r="F444" s="51"/>
      <c r="G444" s="52" t="s">
        <v>1628</v>
      </c>
      <c r="H444" s="13"/>
      <c r="I444" s="10"/>
      <c r="J444" s="6" t="s">
        <v>584</v>
      </c>
      <c r="K444" s="7"/>
      <c r="L444" s="7"/>
      <c r="M444" s="7"/>
      <c r="N444" s="7"/>
      <c r="O444" s="7"/>
    </row>
    <row r="445">
      <c r="A445" s="48" t="s">
        <v>1629</v>
      </c>
      <c r="B445" s="10"/>
      <c r="C445" s="59"/>
      <c r="D445" s="60"/>
      <c r="E445" s="51"/>
      <c r="F445" s="51"/>
      <c r="G445" s="52" t="s">
        <v>1630</v>
      </c>
      <c r="H445" s="13"/>
      <c r="I445" s="10"/>
      <c r="J445" s="6" t="s">
        <v>584</v>
      </c>
      <c r="K445" s="7"/>
      <c r="L445" s="7"/>
      <c r="M445" s="7"/>
      <c r="N445" s="7"/>
      <c r="O445" s="7"/>
    </row>
    <row r="446">
      <c r="A446" s="48" t="s">
        <v>1631</v>
      </c>
      <c r="B446" s="10"/>
      <c r="C446" s="59"/>
      <c r="D446" s="60"/>
      <c r="E446" s="51"/>
      <c r="F446" s="51"/>
      <c r="G446" s="52" t="s">
        <v>1632</v>
      </c>
      <c r="H446" s="13"/>
      <c r="I446" s="10"/>
      <c r="J446" s="6" t="s">
        <v>584</v>
      </c>
      <c r="K446" s="7"/>
      <c r="L446" s="7"/>
      <c r="M446" s="7"/>
      <c r="N446" s="7"/>
      <c r="O446" s="7"/>
    </row>
    <row r="447">
      <c r="A447" s="48" t="s">
        <v>1633</v>
      </c>
      <c r="B447" s="10"/>
      <c r="C447" s="59"/>
      <c r="D447" s="60"/>
      <c r="E447" s="51"/>
      <c r="F447" s="51"/>
      <c r="G447" s="52" t="s">
        <v>1634</v>
      </c>
      <c r="H447" s="13"/>
      <c r="I447" s="10"/>
      <c r="J447" s="6" t="s">
        <v>584</v>
      </c>
      <c r="K447" s="7"/>
      <c r="L447" s="7"/>
      <c r="M447" s="7"/>
      <c r="N447" s="7"/>
      <c r="O447" s="7"/>
    </row>
    <row r="448">
      <c r="A448" s="73"/>
      <c r="B448" s="74"/>
      <c r="C448" s="74"/>
      <c r="D448" s="73"/>
      <c r="E448" s="22"/>
      <c r="F448" s="22"/>
      <c r="G448" s="22"/>
      <c r="H448" s="7"/>
      <c r="I448" s="7"/>
      <c r="J448" s="7">
        <f>COUNTIFS(J381:J447,"Yes")</f>
        <v>44</v>
      </c>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f>COUNTIF(J381:J447,"Changes")</f>
        <v>12</v>
      </c>
      <c r="K449" s="7"/>
      <c r="L449" s="7"/>
      <c r="M449" s="7"/>
      <c r="N449" s="7"/>
      <c r="O449" s="7"/>
      <c r="P449" s="7"/>
      <c r="Q449" s="7"/>
      <c r="R449" s="7"/>
      <c r="S449" s="7"/>
      <c r="T449" s="7"/>
      <c r="U449" s="7"/>
      <c r="V449" s="7"/>
      <c r="W449" s="7"/>
      <c r="X449" s="7"/>
      <c r="Y449" s="7"/>
      <c r="Z449" s="7"/>
    </row>
    <row r="450">
      <c r="A450" s="36" t="s">
        <v>1635</v>
      </c>
      <c r="B450" s="75" t="s">
        <v>1636</v>
      </c>
      <c r="C450" s="5"/>
      <c r="D450" s="5"/>
      <c r="E450" s="5"/>
      <c r="F450" s="5"/>
      <c r="G450" s="5"/>
      <c r="H450" s="5"/>
      <c r="I450" s="3"/>
      <c r="J450" s="7">
        <f>COUNTIF(J381:J447, "No")</f>
        <v>10</v>
      </c>
      <c r="K450" s="7"/>
      <c r="L450" s="7"/>
      <c r="M450" s="7"/>
      <c r="N450" s="7"/>
      <c r="O450" s="7"/>
    </row>
    <row r="451">
      <c r="A451" s="76" t="s">
        <v>1637</v>
      </c>
      <c r="B451" s="13"/>
      <c r="C451" s="13"/>
      <c r="D451" s="13"/>
      <c r="E451" s="13"/>
      <c r="F451" s="13"/>
      <c r="G451" s="13"/>
      <c r="H451" s="13"/>
      <c r="I451" s="10"/>
      <c r="J451" s="7">
        <f>J448+J449+J450</f>
        <v>66</v>
      </c>
      <c r="K451" s="7"/>
      <c r="L451" s="7"/>
      <c r="M451" s="7"/>
      <c r="N451" s="7"/>
      <c r="O451" s="7"/>
    </row>
    <row r="452">
      <c r="A452" s="36" t="s">
        <v>1639</v>
      </c>
      <c r="B452" s="36" t="s">
        <v>1640</v>
      </c>
      <c r="C452" s="36" t="s">
        <v>1641</v>
      </c>
      <c r="D452" s="36" t="s">
        <v>1642</v>
      </c>
      <c r="E452" s="36" t="s">
        <v>581</v>
      </c>
      <c r="F452" s="36"/>
      <c r="G452" s="36"/>
      <c r="H452" s="36"/>
      <c r="I452" s="36" t="s">
        <v>1643</v>
      </c>
      <c r="J452" s="7"/>
      <c r="K452" s="7"/>
      <c r="L452" s="7"/>
      <c r="M452" s="7"/>
      <c r="N452" s="7"/>
      <c r="O452" s="7"/>
    </row>
    <row r="453">
      <c r="A453" s="31" t="s">
        <v>20</v>
      </c>
      <c r="B453" s="31" t="s">
        <v>17</v>
      </c>
      <c r="C453" s="77" t="s">
        <v>960</v>
      </c>
      <c r="D453" s="37" t="s">
        <v>595</v>
      </c>
      <c r="E453" s="30" t="s">
        <v>1644</v>
      </c>
      <c r="F453" s="13"/>
      <c r="G453" s="13"/>
      <c r="H453" s="10"/>
      <c r="I453" s="37"/>
      <c r="J453" s="7"/>
      <c r="K453" s="7"/>
      <c r="L453" s="7"/>
      <c r="M453" s="7"/>
      <c r="N453" s="7">
        <f t="shared" ref="N453:N475" si="6"> IF(ISBLANK(E453), 0, 1)</f>
        <v>1</v>
      </c>
      <c r="O453" s="7"/>
    </row>
    <row r="454">
      <c r="A454" s="31" t="s">
        <v>403</v>
      </c>
      <c r="B454" s="31" t="s">
        <v>400</v>
      </c>
      <c r="C454" s="31" t="s">
        <v>1645</v>
      </c>
      <c r="D454" s="37" t="s">
        <v>1364</v>
      </c>
      <c r="E454" s="30" t="s">
        <v>1646</v>
      </c>
      <c r="F454" s="13"/>
      <c r="G454" s="13"/>
      <c r="H454" s="10"/>
      <c r="I454" s="37"/>
      <c r="J454" s="7"/>
      <c r="K454" s="7"/>
      <c r="L454" s="7"/>
      <c r="M454" s="7"/>
      <c r="N454" s="7">
        <f t="shared" si="6"/>
        <v>1</v>
      </c>
      <c r="O454" s="7"/>
    </row>
    <row r="455">
      <c r="A455" s="31" t="s">
        <v>290</v>
      </c>
      <c r="B455" s="31" t="s">
        <v>285</v>
      </c>
      <c r="C455" s="77" t="s">
        <v>945</v>
      </c>
      <c r="D455" s="37" t="s">
        <v>1380</v>
      </c>
      <c r="E455" s="30" t="s">
        <v>1647</v>
      </c>
      <c r="F455" s="13"/>
      <c r="G455" s="13"/>
      <c r="H455" s="10"/>
      <c r="I455" s="37"/>
      <c r="J455" s="7"/>
      <c r="K455" s="7"/>
      <c r="L455" s="7"/>
      <c r="M455" s="7"/>
      <c r="N455" s="7">
        <f t="shared" si="6"/>
        <v>1</v>
      </c>
      <c r="O455" s="7"/>
    </row>
    <row r="456">
      <c r="A456" s="31" t="s">
        <v>324</v>
      </c>
      <c r="B456" s="31" t="s">
        <v>319</v>
      </c>
      <c r="C456" s="31" t="s">
        <v>1127</v>
      </c>
      <c r="D456" s="37" t="s">
        <v>595</v>
      </c>
      <c r="E456" s="30" t="s">
        <v>1648</v>
      </c>
      <c r="F456" s="13"/>
      <c r="G456" s="13"/>
      <c r="H456" s="10"/>
      <c r="I456" s="37"/>
      <c r="J456" s="7"/>
      <c r="K456" s="7"/>
      <c r="L456" s="7"/>
      <c r="M456" s="7"/>
      <c r="N456" s="7">
        <f t="shared" si="6"/>
        <v>1</v>
      </c>
      <c r="O456" s="7"/>
    </row>
    <row r="457">
      <c r="A457" s="31" t="s">
        <v>122</v>
      </c>
      <c r="B457" s="31" t="s">
        <v>115</v>
      </c>
      <c r="C457" s="31" t="s">
        <v>1649</v>
      </c>
      <c r="D457" s="37" t="s">
        <v>595</v>
      </c>
      <c r="E457" s="30" t="s">
        <v>1650</v>
      </c>
      <c r="F457" s="13"/>
      <c r="G457" s="13"/>
      <c r="H457" s="10"/>
      <c r="I457" s="37"/>
      <c r="J457" s="7"/>
      <c r="K457" s="7"/>
      <c r="L457" s="7"/>
      <c r="M457" s="7"/>
      <c r="N457" s="7">
        <f t="shared" si="6"/>
        <v>1</v>
      </c>
      <c r="O457" s="7"/>
    </row>
    <row r="458">
      <c r="A458" s="31" t="s">
        <v>391</v>
      </c>
      <c r="B458" s="31" t="s">
        <v>1651</v>
      </c>
      <c r="C458" s="31" t="s">
        <v>387</v>
      </c>
      <c r="D458" s="37" t="s">
        <v>1399</v>
      </c>
      <c r="E458" s="30" t="s">
        <v>1652</v>
      </c>
      <c r="F458" s="13"/>
      <c r="G458" s="13"/>
      <c r="H458" s="10"/>
      <c r="I458" s="37"/>
      <c r="J458" s="7"/>
      <c r="K458" s="7"/>
      <c r="L458" s="7"/>
      <c r="M458" s="7"/>
      <c r="N458" s="7">
        <f t="shared" si="6"/>
        <v>1</v>
      </c>
      <c r="O458" s="7"/>
    </row>
    <row r="459">
      <c r="A459" s="31" t="s">
        <v>82</v>
      </c>
      <c r="B459" s="31" t="s">
        <v>78</v>
      </c>
      <c r="C459" s="77" t="s">
        <v>1653</v>
      </c>
      <c r="D459" s="37" t="s">
        <v>595</v>
      </c>
      <c r="E459" s="30" t="s">
        <v>1654</v>
      </c>
      <c r="F459" s="13"/>
      <c r="G459" s="13"/>
      <c r="H459" s="10"/>
      <c r="I459" s="37"/>
      <c r="J459" s="7"/>
      <c r="K459" s="7"/>
      <c r="L459" s="7"/>
      <c r="M459" s="7"/>
      <c r="N459" s="7">
        <f t="shared" si="6"/>
        <v>1</v>
      </c>
      <c r="O459" s="7"/>
    </row>
    <row r="460">
      <c r="A460" s="31" t="s">
        <v>356</v>
      </c>
      <c r="B460" s="31" t="s">
        <v>352</v>
      </c>
      <c r="C460" s="31" t="s">
        <v>1268</v>
      </c>
      <c r="D460" s="37" t="s">
        <v>595</v>
      </c>
      <c r="E460" s="30" t="s">
        <v>1655</v>
      </c>
      <c r="F460" s="13"/>
      <c r="G460" s="13"/>
      <c r="H460" s="10"/>
      <c r="I460" s="37"/>
      <c r="J460" s="7"/>
      <c r="K460" s="7"/>
      <c r="L460" s="7"/>
      <c r="M460" s="7"/>
      <c r="N460" s="7">
        <f t="shared" si="6"/>
        <v>1</v>
      </c>
      <c r="O460" s="7"/>
    </row>
    <row r="461">
      <c r="A461" s="31" t="s">
        <v>1404</v>
      </c>
      <c r="B461" s="31" t="s">
        <v>423</v>
      </c>
      <c r="C461" s="31" t="s">
        <v>1019</v>
      </c>
      <c r="D461" s="37" t="s">
        <v>1656</v>
      </c>
      <c r="E461" s="30" t="s">
        <v>1657</v>
      </c>
      <c r="F461" s="13"/>
      <c r="G461" s="13"/>
      <c r="H461" s="10"/>
      <c r="I461" s="37"/>
      <c r="J461" s="7"/>
      <c r="K461" s="7"/>
      <c r="L461" s="7"/>
      <c r="M461" s="7"/>
      <c r="N461" s="7">
        <f t="shared" si="6"/>
        <v>1</v>
      </c>
      <c r="O461" s="7"/>
    </row>
    <row r="462">
      <c r="A462" s="31" t="s">
        <v>351</v>
      </c>
      <c r="B462" s="31" t="s">
        <v>345</v>
      </c>
      <c r="C462" s="77" t="s">
        <v>1120</v>
      </c>
      <c r="D462" s="37" t="s">
        <v>595</v>
      </c>
      <c r="E462" s="30" t="s">
        <v>1658</v>
      </c>
      <c r="F462" s="13"/>
      <c r="G462" s="13"/>
      <c r="H462" s="10"/>
      <c r="I462" s="37"/>
      <c r="J462" s="7"/>
      <c r="K462" s="7"/>
      <c r="L462" s="7"/>
      <c r="M462" s="7"/>
      <c r="N462" s="7">
        <f t="shared" si="6"/>
        <v>1</v>
      </c>
      <c r="O462" s="7"/>
    </row>
    <row r="463">
      <c r="A463" s="31" t="s">
        <v>260</v>
      </c>
      <c r="B463" s="31" t="s">
        <v>1659</v>
      </c>
      <c r="C463" s="77" t="s">
        <v>1123</v>
      </c>
      <c r="D463" s="37" t="s">
        <v>595</v>
      </c>
      <c r="E463" s="30" t="s">
        <v>1660</v>
      </c>
      <c r="F463" s="13"/>
      <c r="G463" s="13"/>
      <c r="H463" s="10"/>
      <c r="I463" s="37"/>
      <c r="J463" s="7"/>
      <c r="K463" s="7"/>
      <c r="L463" s="7"/>
      <c r="M463" s="7"/>
      <c r="N463" s="7">
        <f t="shared" si="6"/>
        <v>1</v>
      </c>
      <c r="O463" s="7"/>
    </row>
    <row r="464">
      <c r="A464" s="31" t="s">
        <v>420</v>
      </c>
      <c r="B464" s="31" t="s">
        <v>415</v>
      </c>
      <c r="C464" s="31" t="s">
        <v>775</v>
      </c>
      <c r="D464" s="37" t="s">
        <v>595</v>
      </c>
      <c r="E464" s="30" t="s">
        <v>1661</v>
      </c>
      <c r="F464" s="13"/>
      <c r="G464" s="13"/>
      <c r="H464" s="10"/>
      <c r="I464" s="37"/>
      <c r="J464" s="7"/>
      <c r="K464" s="7"/>
      <c r="L464" s="7"/>
      <c r="M464" s="7"/>
      <c r="N464" s="7">
        <f t="shared" si="6"/>
        <v>1</v>
      </c>
      <c r="O464" s="7"/>
      <c r="P464" s="7"/>
      <c r="Q464" s="7"/>
      <c r="R464" s="7"/>
      <c r="S464" s="7"/>
      <c r="T464" s="7"/>
      <c r="U464" s="7"/>
      <c r="V464" s="7"/>
      <c r="W464" s="7"/>
      <c r="X464" s="7"/>
      <c r="Y464" s="7"/>
      <c r="Z464" s="7"/>
    </row>
    <row r="465">
      <c r="A465" s="31" t="s">
        <v>127</v>
      </c>
      <c r="B465" s="31" t="s">
        <v>123</v>
      </c>
      <c r="C465" s="31" t="s">
        <v>937</v>
      </c>
      <c r="D465" s="37" t="s">
        <v>595</v>
      </c>
      <c r="E465" s="30" t="s">
        <v>1662</v>
      </c>
      <c r="F465" s="13"/>
      <c r="G465" s="13"/>
      <c r="H465" s="10"/>
      <c r="I465" s="37"/>
      <c r="J465" s="7"/>
      <c r="K465" s="7"/>
      <c r="L465" s="7"/>
      <c r="M465" s="7"/>
      <c r="N465" s="7">
        <f t="shared" si="6"/>
        <v>1</v>
      </c>
      <c r="O465" s="7"/>
      <c r="P465" s="7"/>
      <c r="Q465" s="7"/>
      <c r="R465" s="7"/>
      <c r="S465" s="7"/>
      <c r="T465" s="7"/>
      <c r="U465" s="7"/>
      <c r="V465" s="7"/>
      <c r="W465" s="7"/>
      <c r="X465" s="7"/>
      <c r="Y465" s="7"/>
      <c r="Z465" s="7"/>
    </row>
    <row r="466">
      <c r="A466" s="37" t="s">
        <v>374</v>
      </c>
      <c r="B466" s="37" t="s">
        <v>371</v>
      </c>
      <c r="C466" s="37" t="s">
        <v>813</v>
      </c>
      <c r="D466" s="37" t="s">
        <v>1388</v>
      </c>
      <c r="E466" s="30" t="s">
        <v>1663</v>
      </c>
      <c r="F466" s="13"/>
      <c r="G466" s="13"/>
      <c r="H466" s="10"/>
      <c r="I466" s="37"/>
      <c r="J466" s="7"/>
      <c r="K466" s="7"/>
      <c r="L466" s="7"/>
      <c r="M466" s="7"/>
      <c r="N466" s="7">
        <f t="shared" si="6"/>
        <v>1</v>
      </c>
      <c r="O466" s="7"/>
      <c r="P466" s="7"/>
      <c r="Q466" s="7"/>
      <c r="R466" s="7"/>
      <c r="S466" s="7"/>
      <c r="T466" s="7"/>
      <c r="U466" s="7"/>
      <c r="V466" s="7"/>
      <c r="W466" s="7"/>
      <c r="X466" s="7"/>
      <c r="Y466" s="7"/>
      <c r="Z466" s="7"/>
    </row>
    <row r="467">
      <c r="A467" s="37" t="s">
        <v>39</v>
      </c>
      <c r="B467" s="37" t="s">
        <v>35</v>
      </c>
      <c r="C467" s="37" t="s">
        <v>1153</v>
      </c>
      <c r="D467" s="37" t="s">
        <v>595</v>
      </c>
      <c r="E467" s="30" t="s">
        <v>1665</v>
      </c>
      <c r="F467" s="13"/>
      <c r="G467" s="13"/>
      <c r="H467" s="10"/>
      <c r="I467" s="37"/>
      <c r="J467" s="7"/>
      <c r="K467" s="7"/>
      <c r="L467" s="7"/>
      <c r="M467" s="7"/>
      <c r="N467" s="7">
        <f t="shared" si="6"/>
        <v>1</v>
      </c>
      <c r="O467" s="7"/>
      <c r="P467" s="7"/>
      <c r="Q467" s="7"/>
      <c r="R467" s="7"/>
      <c r="S467" s="7"/>
      <c r="T467" s="7"/>
      <c r="U467" s="7"/>
      <c r="V467" s="7"/>
      <c r="W467" s="7"/>
      <c r="X467" s="7"/>
      <c r="Y467" s="7"/>
      <c r="Z467" s="7"/>
    </row>
    <row r="468">
      <c r="A468" s="37" t="s">
        <v>466</v>
      </c>
      <c r="B468" s="37" t="s">
        <v>1667</v>
      </c>
      <c r="C468" s="37" t="s">
        <v>1668</v>
      </c>
      <c r="D468" s="37" t="s">
        <v>595</v>
      </c>
      <c r="E468" s="30" t="s">
        <v>1669</v>
      </c>
      <c r="F468" s="13"/>
      <c r="G468" s="13"/>
      <c r="H468" s="10"/>
      <c r="I468" s="37"/>
      <c r="J468" s="7"/>
      <c r="K468" s="7"/>
      <c r="L468" s="7"/>
      <c r="M468" s="7"/>
      <c r="N468" s="7">
        <f t="shared" si="6"/>
        <v>1</v>
      </c>
      <c r="O468" s="7"/>
      <c r="P468" s="7"/>
      <c r="Q468" s="7"/>
      <c r="R468" s="7"/>
      <c r="S468" s="7"/>
      <c r="T468" s="7"/>
      <c r="U468" s="7"/>
      <c r="V468" s="7"/>
      <c r="W468" s="7"/>
      <c r="X468" s="7"/>
      <c r="Y468" s="7"/>
      <c r="Z468" s="7"/>
    </row>
    <row r="469">
      <c r="A469" s="37" t="s">
        <v>254</v>
      </c>
      <c r="B469" s="37" t="s">
        <v>248</v>
      </c>
      <c r="C469" s="37" t="s">
        <v>880</v>
      </c>
      <c r="D469" s="37" t="s">
        <v>595</v>
      </c>
      <c r="E469" s="30" t="s">
        <v>1670</v>
      </c>
      <c r="F469" s="13"/>
      <c r="G469" s="13"/>
      <c r="H469" s="10"/>
      <c r="I469" s="37"/>
      <c r="J469" s="7"/>
      <c r="K469" s="7"/>
      <c r="L469" s="7"/>
      <c r="M469" s="7"/>
      <c r="N469" s="7">
        <f t="shared" si="6"/>
        <v>1</v>
      </c>
      <c r="O469" s="7"/>
      <c r="P469" s="7"/>
      <c r="Q469" s="7"/>
      <c r="R469" s="7"/>
      <c r="S469" s="7"/>
      <c r="T469" s="7"/>
      <c r="U469" s="7"/>
      <c r="V469" s="7"/>
      <c r="W469" s="7"/>
      <c r="X469" s="7"/>
      <c r="Y469" s="7"/>
      <c r="Z469" s="7"/>
    </row>
    <row r="470">
      <c r="A470" s="37" t="s">
        <v>445</v>
      </c>
      <c r="B470" s="37" t="s">
        <v>440</v>
      </c>
      <c r="C470" s="37" t="s">
        <v>734</v>
      </c>
      <c r="D470" s="37" t="s">
        <v>1342</v>
      </c>
      <c r="E470" s="30" t="s">
        <v>1671</v>
      </c>
      <c r="F470" s="13"/>
      <c r="G470" s="13"/>
      <c r="H470" s="10"/>
      <c r="I470" s="37"/>
      <c r="J470" s="7"/>
      <c r="K470" s="7"/>
      <c r="L470" s="7"/>
      <c r="M470" s="7"/>
      <c r="N470" s="7">
        <f t="shared" si="6"/>
        <v>1</v>
      </c>
      <c r="O470" s="7"/>
      <c r="P470" s="7"/>
      <c r="Q470" s="7"/>
      <c r="R470" s="7"/>
      <c r="S470" s="7"/>
      <c r="T470" s="7"/>
      <c r="U470" s="7"/>
      <c r="V470" s="7"/>
      <c r="W470" s="7"/>
      <c r="X470" s="7"/>
      <c r="Y470" s="7"/>
      <c r="Z470" s="7"/>
    </row>
    <row r="471">
      <c r="A471" s="37" t="s">
        <v>520</v>
      </c>
      <c r="B471" s="37" t="s">
        <v>516</v>
      </c>
      <c r="C471" s="37" t="s">
        <v>602</v>
      </c>
      <c r="D471" s="37" t="s">
        <v>1375</v>
      </c>
      <c r="E471" s="30" t="s">
        <v>1673</v>
      </c>
      <c r="F471" s="13"/>
      <c r="G471" s="13"/>
      <c r="H471" s="10"/>
      <c r="I471" s="37"/>
      <c r="J471" s="7"/>
      <c r="K471" s="7"/>
      <c r="L471" s="7"/>
      <c r="M471" s="7"/>
      <c r="N471" s="7">
        <f t="shared" si="6"/>
        <v>1</v>
      </c>
      <c r="O471" s="7"/>
      <c r="P471" s="7"/>
      <c r="Q471" s="7"/>
      <c r="R471" s="7"/>
      <c r="S471" s="7"/>
      <c r="T471" s="7"/>
      <c r="U471" s="7"/>
      <c r="V471" s="7"/>
      <c r="W471" s="7"/>
      <c r="X471" s="7"/>
      <c r="Y471" s="7"/>
      <c r="Z471" s="7"/>
    </row>
    <row r="472">
      <c r="A472" s="37" t="s">
        <v>344</v>
      </c>
      <c r="B472" s="37" t="s">
        <v>1675</v>
      </c>
      <c r="C472" s="37" t="s">
        <v>1676</v>
      </c>
      <c r="D472" s="37" t="s">
        <v>1360</v>
      </c>
      <c r="E472" s="30" t="s">
        <v>1677</v>
      </c>
      <c r="F472" s="13"/>
      <c r="G472" s="13"/>
      <c r="H472" s="10"/>
      <c r="I472" s="37"/>
      <c r="J472" s="7"/>
      <c r="K472" s="7"/>
      <c r="L472" s="7"/>
      <c r="M472" s="7"/>
      <c r="N472" s="7">
        <f t="shared" si="6"/>
        <v>1</v>
      </c>
      <c r="O472" s="7"/>
      <c r="P472" s="7"/>
      <c r="Q472" s="7"/>
      <c r="R472" s="7"/>
      <c r="S472" s="7"/>
      <c r="T472" s="7"/>
      <c r="U472" s="7"/>
      <c r="V472" s="7"/>
      <c r="W472" s="7"/>
      <c r="X472" s="7"/>
      <c r="Y472" s="7"/>
      <c r="Z472" s="7"/>
    </row>
    <row r="473">
      <c r="A473" s="37" t="s">
        <v>280</v>
      </c>
      <c r="B473" s="37" t="s">
        <v>276</v>
      </c>
      <c r="C473" s="37" t="s">
        <v>958</v>
      </c>
      <c r="D473" s="37" t="s">
        <v>1405</v>
      </c>
      <c r="E473" s="30" t="s">
        <v>1679</v>
      </c>
      <c r="F473" s="13"/>
      <c r="G473" s="13"/>
      <c r="H473" s="10"/>
      <c r="I473" s="37"/>
      <c r="J473" s="7"/>
      <c r="K473" s="7"/>
      <c r="L473" s="7"/>
      <c r="M473" s="7"/>
      <c r="N473" s="7">
        <f t="shared" si="6"/>
        <v>1</v>
      </c>
      <c r="O473" s="7"/>
      <c r="P473" s="7"/>
      <c r="Q473" s="7"/>
      <c r="R473" s="7"/>
      <c r="S473" s="7"/>
      <c r="T473" s="7"/>
      <c r="U473" s="7"/>
      <c r="V473" s="7"/>
      <c r="W473" s="7"/>
      <c r="X473" s="7"/>
      <c r="Y473" s="7"/>
      <c r="Z473" s="7"/>
    </row>
    <row r="474">
      <c r="A474" s="37" t="s">
        <v>52</v>
      </c>
      <c r="B474" s="37" t="s">
        <v>48</v>
      </c>
      <c r="C474" s="37" t="s">
        <v>1187</v>
      </c>
      <c r="D474" s="37" t="s">
        <v>595</v>
      </c>
      <c r="E474" s="30" t="s">
        <v>1680</v>
      </c>
      <c r="F474" s="13"/>
      <c r="G474" s="13"/>
      <c r="H474" s="10"/>
      <c r="I474" s="37"/>
      <c r="J474" s="7"/>
      <c r="K474" s="7"/>
      <c r="L474" s="7"/>
      <c r="M474" s="7"/>
      <c r="N474" s="7">
        <f t="shared" si="6"/>
        <v>1</v>
      </c>
      <c r="O474" s="7"/>
      <c r="P474" s="7"/>
      <c r="Q474" s="7"/>
      <c r="R474" s="7"/>
      <c r="S474" s="7"/>
      <c r="T474" s="7"/>
      <c r="U474" s="7"/>
      <c r="V474" s="7"/>
      <c r="W474" s="7"/>
      <c r="X474" s="7"/>
      <c r="Y474" s="7"/>
      <c r="Z474" s="7"/>
    </row>
    <row r="475">
      <c r="A475" s="37" t="s">
        <v>1682</v>
      </c>
      <c r="B475" s="37" t="s">
        <v>242</v>
      </c>
      <c r="C475" s="37" t="s">
        <v>1683</v>
      </c>
      <c r="D475" s="37" t="s">
        <v>1368</v>
      </c>
      <c r="E475" s="30" t="s">
        <v>1684</v>
      </c>
      <c r="F475" s="13"/>
      <c r="G475" s="13"/>
      <c r="H475" s="10"/>
      <c r="I475" s="37"/>
      <c r="J475" s="7"/>
      <c r="K475" s="7"/>
      <c r="L475" s="7"/>
      <c r="M475" s="7"/>
      <c r="N475" s="7">
        <f t="shared" si="6"/>
        <v>1</v>
      </c>
      <c r="O475" s="7"/>
      <c r="P475" s="7"/>
      <c r="Q475" s="7"/>
      <c r="R475" s="7"/>
      <c r="S475" s="7"/>
      <c r="T475" s="7"/>
      <c r="U475" s="7"/>
      <c r="V475" s="7"/>
      <c r="W475" s="7"/>
      <c r="X475" s="7"/>
      <c r="Y475" s="7"/>
      <c r="Z475" s="7"/>
    </row>
    <row r="476">
      <c r="A476" s="37" t="s">
        <v>235</v>
      </c>
      <c r="B476" s="37" t="s">
        <v>232</v>
      </c>
      <c r="C476" s="37" t="s">
        <v>1685</v>
      </c>
      <c r="D476" s="37" t="s">
        <v>1396</v>
      </c>
      <c r="E476" s="30" t="s">
        <v>1686</v>
      </c>
      <c r="F476" s="13"/>
      <c r="G476" s="13"/>
      <c r="H476" s="10"/>
      <c r="I476" s="37"/>
      <c r="J476" s="7"/>
      <c r="K476" s="7"/>
      <c r="L476" s="7"/>
      <c r="M476" s="7"/>
      <c r="N476" s="7"/>
      <c r="O476" s="7"/>
      <c r="P476" s="7"/>
      <c r="Q476" s="7"/>
      <c r="R476" s="7"/>
      <c r="S476" s="7"/>
      <c r="T476" s="7"/>
      <c r="U476" s="7"/>
      <c r="V476" s="7"/>
      <c r="W476" s="7"/>
      <c r="X476" s="7"/>
      <c r="Y476" s="7"/>
      <c r="Z476" s="7"/>
    </row>
    <row r="477">
      <c r="A477" s="37" t="s">
        <v>210</v>
      </c>
      <c r="B477" s="37" t="s">
        <v>207</v>
      </c>
      <c r="C477" s="37" t="s">
        <v>593</v>
      </c>
      <c r="D477" s="37" t="s">
        <v>595</v>
      </c>
      <c r="E477" s="30" t="s">
        <v>1687</v>
      </c>
      <c r="F477" s="13"/>
      <c r="G477" s="13"/>
      <c r="H477" s="10"/>
      <c r="I477" s="37"/>
      <c r="J477" s="7"/>
      <c r="K477" s="7"/>
      <c r="L477" s="7"/>
      <c r="M477" s="7"/>
      <c r="N477" s="7"/>
      <c r="O477" s="7"/>
      <c r="P477" s="7"/>
      <c r="Q477" s="7"/>
      <c r="R477" s="7"/>
      <c r="S477" s="7"/>
      <c r="T477" s="7"/>
      <c r="U477" s="7"/>
      <c r="V477" s="7"/>
      <c r="W477" s="7"/>
      <c r="X477" s="7"/>
      <c r="Y477" s="7"/>
      <c r="Z477" s="7"/>
    </row>
    <row r="478">
      <c r="A478" s="37" t="s">
        <v>439</v>
      </c>
      <c r="B478" s="37" t="s">
        <v>436</v>
      </c>
      <c r="C478" s="37" t="s">
        <v>941</v>
      </c>
      <c r="D478" s="37" t="s">
        <v>595</v>
      </c>
      <c r="E478" s="30" t="s">
        <v>1688</v>
      </c>
      <c r="F478" s="13"/>
      <c r="G478" s="13"/>
      <c r="H478" s="10"/>
      <c r="I478" s="37"/>
      <c r="J478" s="7"/>
      <c r="K478" s="7"/>
      <c r="L478" s="7"/>
      <c r="M478" s="7"/>
      <c r="N478" s="7"/>
      <c r="O478" s="7"/>
      <c r="P478" s="7"/>
      <c r="Q478" s="7"/>
      <c r="R478" s="7"/>
      <c r="S478" s="7"/>
      <c r="T478" s="7"/>
      <c r="U478" s="7"/>
      <c r="V478" s="7"/>
      <c r="W478" s="7"/>
      <c r="X478" s="7"/>
      <c r="Y478" s="7"/>
      <c r="Z478" s="7"/>
    </row>
    <row r="479">
      <c r="A479" s="37" t="s">
        <v>461</v>
      </c>
      <c r="B479" s="37" t="s">
        <v>457</v>
      </c>
      <c r="C479" s="37" t="s">
        <v>824</v>
      </c>
      <c r="D479" s="37" t="s">
        <v>1371</v>
      </c>
      <c r="E479" s="30" t="s">
        <v>1689</v>
      </c>
      <c r="F479" s="13"/>
      <c r="G479" s="13"/>
      <c r="H479" s="10"/>
      <c r="I479" s="37"/>
      <c r="J479" s="7"/>
      <c r="K479" s="7"/>
      <c r="L479" s="7"/>
      <c r="M479" s="7"/>
      <c r="N479" s="7">
        <f> IF(ISBLANK(E479), 0, 1)</f>
        <v>1</v>
      </c>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f>SUM(N453:N479)</f>
        <v>24</v>
      </c>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8" t="s">
        <v>1692</v>
      </c>
      <c r="B490" s="79"/>
      <c r="C490" s="79"/>
      <c r="D490" s="79"/>
      <c r="E490" s="79"/>
      <c r="F490" s="79"/>
      <c r="G490" s="79"/>
      <c r="H490" s="80"/>
      <c r="I490" s="7"/>
      <c r="J490" s="7"/>
      <c r="K490" s="7"/>
      <c r="L490" s="7"/>
      <c r="M490" s="7"/>
      <c r="N490" s="7"/>
      <c r="O490" s="7"/>
      <c r="P490" s="7"/>
      <c r="Q490" s="7"/>
      <c r="R490" s="7"/>
      <c r="S490" s="7"/>
      <c r="T490" s="7"/>
      <c r="U490" s="7"/>
      <c r="V490" s="7"/>
      <c r="W490" s="7"/>
      <c r="X490" s="7"/>
      <c r="Y490" s="7"/>
      <c r="Z490" s="7"/>
    </row>
    <row r="491">
      <c r="A491" s="81" t="s">
        <v>1693</v>
      </c>
      <c r="B491" s="82" t="s">
        <v>1694</v>
      </c>
      <c r="C491" s="82" t="s">
        <v>1695</v>
      </c>
      <c r="D491" s="83"/>
      <c r="E491" s="83"/>
      <c r="F491" s="83"/>
      <c r="G491" s="83"/>
      <c r="H491" s="83"/>
      <c r="I491" s="7"/>
      <c r="J491" s="7"/>
      <c r="K491" s="7"/>
      <c r="L491" s="7"/>
      <c r="M491" s="7"/>
      <c r="N491" s="7"/>
      <c r="O491" s="7"/>
      <c r="P491" s="7"/>
      <c r="Q491" s="7"/>
      <c r="R491" s="7"/>
      <c r="S491" s="7"/>
      <c r="T491" s="7"/>
      <c r="U491" s="7"/>
      <c r="V491" s="7"/>
      <c r="W491" s="7"/>
      <c r="X491" s="7"/>
      <c r="Y491" s="7"/>
      <c r="Z491" s="7"/>
    </row>
    <row r="492">
      <c r="A492" s="81" t="s">
        <v>1696</v>
      </c>
      <c r="B492" s="84" t="s">
        <v>1697</v>
      </c>
      <c r="C492" s="79"/>
      <c r="D492" s="79"/>
      <c r="E492" s="79"/>
      <c r="F492" s="79"/>
      <c r="G492" s="79"/>
      <c r="H492" s="80"/>
      <c r="I492" s="7"/>
      <c r="J492" s="7"/>
      <c r="K492" s="7"/>
      <c r="L492" s="7"/>
      <c r="M492" s="7"/>
      <c r="N492" s="7"/>
      <c r="O492" s="7"/>
      <c r="P492" s="7"/>
      <c r="Q492" s="7"/>
      <c r="R492" s="7"/>
      <c r="S492" s="7"/>
      <c r="T492" s="7"/>
      <c r="U492" s="7"/>
      <c r="V492" s="7"/>
      <c r="W492" s="7"/>
      <c r="X492" s="7"/>
      <c r="Y492" s="7"/>
      <c r="Z492" s="7"/>
    </row>
    <row r="493">
      <c r="A493" s="81" t="s">
        <v>1698</v>
      </c>
      <c r="B493" s="84" t="s">
        <v>1699</v>
      </c>
      <c r="C493" s="79"/>
      <c r="D493" s="79"/>
      <c r="E493" s="79"/>
      <c r="F493" s="79"/>
      <c r="G493" s="79"/>
      <c r="H493" s="80"/>
      <c r="I493" s="7"/>
      <c r="J493" s="7"/>
      <c r="K493" s="7"/>
      <c r="L493" s="7"/>
      <c r="M493" s="7"/>
      <c r="N493" s="7"/>
      <c r="O493" s="7"/>
      <c r="P493" s="7"/>
      <c r="Q493" s="7"/>
      <c r="R493" s="7"/>
      <c r="S493" s="7"/>
      <c r="T493" s="7"/>
      <c r="U493" s="7"/>
      <c r="V493" s="7"/>
      <c r="W493" s="7"/>
      <c r="X493" s="7"/>
      <c r="Y493" s="7"/>
      <c r="Z493" s="7"/>
    </row>
    <row r="494">
      <c r="A494" s="81" t="s">
        <v>1700</v>
      </c>
      <c r="B494" s="84" t="s">
        <v>1702</v>
      </c>
      <c r="C494" s="79"/>
      <c r="D494" s="79"/>
      <c r="E494" s="79"/>
      <c r="F494" s="79"/>
      <c r="G494" s="79"/>
      <c r="H494" s="80"/>
      <c r="I494" s="7"/>
      <c r="J494" s="7"/>
      <c r="K494" s="7"/>
      <c r="L494" s="7"/>
      <c r="M494" s="7"/>
      <c r="N494" s="7"/>
      <c r="O494" s="7"/>
      <c r="P494" s="7"/>
      <c r="Q494" s="7"/>
      <c r="R494" s="7"/>
      <c r="S494" s="7"/>
      <c r="T494" s="7"/>
      <c r="U494" s="7"/>
      <c r="V494" s="7"/>
      <c r="W494" s="7"/>
      <c r="X494" s="7"/>
      <c r="Y494" s="7"/>
      <c r="Z494" s="7"/>
    </row>
    <row r="495">
      <c r="A495" s="81" t="s">
        <v>1703</v>
      </c>
      <c r="B495" s="84" t="s">
        <v>1704</v>
      </c>
      <c r="C495" s="79"/>
      <c r="D495" s="79"/>
      <c r="E495" s="79"/>
      <c r="F495" s="79"/>
      <c r="G495" s="79"/>
      <c r="H495" s="80"/>
      <c r="I495" s="7"/>
      <c r="J495" s="7"/>
      <c r="K495" s="7"/>
      <c r="L495" s="7"/>
      <c r="M495" s="7"/>
      <c r="N495" s="7"/>
      <c r="O495" s="7"/>
      <c r="P495" s="7"/>
      <c r="Q495" s="7"/>
      <c r="R495" s="7"/>
      <c r="S495" s="7"/>
      <c r="T495" s="7"/>
      <c r="U495" s="7"/>
      <c r="V495" s="7"/>
      <c r="W495" s="7"/>
      <c r="X495" s="7"/>
      <c r="Y495" s="7"/>
      <c r="Z495" s="7"/>
    </row>
    <row r="496">
      <c r="A496" s="81" t="s">
        <v>1705</v>
      </c>
      <c r="B496" s="84" t="s">
        <v>1706</v>
      </c>
      <c r="C496" s="79"/>
      <c r="D496" s="79"/>
      <c r="E496" s="79"/>
      <c r="F496" s="79"/>
      <c r="G496" s="79"/>
      <c r="H496" s="80"/>
      <c r="I496" s="7"/>
      <c r="J496" s="7"/>
      <c r="K496" s="7"/>
      <c r="L496" s="7"/>
      <c r="M496" s="7"/>
      <c r="N496" s="7"/>
      <c r="O496" s="7"/>
      <c r="P496" s="7"/>
      <c r="Q496" s="7"/>
      <c r="R496" s="7"/>
      <c r="S496" s="7"/>
      <c r="T496" s="7"/>
      <c r="U496" s="7"/>
      <c r="V496" s="7"/>
      <c r="W496" s="7"/>
      <c r="X496" s="7"/>
      <c r="Y496" s="7"/>
      <c r="Z496" s="7"/>
    </row>
    <row r="497">
      <c r="A497" s="81" t="s">
        <v>1707</v>
      </c>
      <c r="B497" s="84" t="s">
        <v>1708</v>
      </c>
      <c r="C497" s="79"/>
      <c r="D497" s="79"/>
      <c r="E497" s="79"/>
      <c r="F497" s="79"/>
      <c r="G497" s="79"/>
      <c r="H497" s="80"/>
      <c r="I497" s="7"/>
      <c r="J497" s="7"/>
      <c r="K497" s="7"/>
      <c r="L497" s="7"/>
      <c r="M497" s="7"/>
      <c r="N497" s="7"/>
      <c r="O497" s="7"/>
      <c r="P497" s="7"/>
      <c r="Q497" s="7"/>
      <c r="R497" s="7"/>
      <c r="S497" s="7"/>
      <c r="T497" s="7"/>
      <c r="U497" s="7"/>
      <c r="V497" s="7"/>
      <c r="W497" s="7"/>
      <c r="X497" s="7"/>
      <c r="Y497" s="7"/>
      <c r="Z497" s="7"/>
    </row>
    <row r="498">
      <c r="A498" s="81" t="s">
        <v>1709</v>
      </c>
      <c r="B498" s="84" t="s">
        <v>1710</v>
      </c>
      <c r="C498" s="79"/>
      <c r="D498" s="79"/>
      <c r="E498" s="79"/>
      <c r="F498" s="79"/>
      <c r="G498" s="79"/>
      <c r="H498" s="80"/>
      <c r="I498" s="7"/>
      <c r="J498" s="7"/>
      <c r="K498" s="7"/>
      <c r="L498" s="7"/>
      <c r="M498" s="7"/>
      <c r="N498" s="7"/>
      <c r="O498" s="7"/>
      <c r="P498" s="7"/>
      <c r="Q498" s="7"/>
      <c r="R498" s="7"/>
      <c r="S498" s="7"/>
      <c r="T498" s="7"/>
      <c r="U498" s="7"/>
      <c r="V498" s="7"/>
      <c r="W498" s="7"/>
      <c r="X498" s="7"/>
      <c r="Y498" s="7"/>
      <c r="Z498" s="7"/>
    </row>
    <row r="499">
      <c r="A499" s="81" t="s">
        <v>1711</v>
      </c>
      <c r="B499" s="84" t="s">
        <v>1712</v>
      </c>
      <c r="C499" s="79"/>
      <c r="D499" s="79"/>
      <c r="E499" s="79"/>
      <c r="F499" s="79"/>
      <c r="G499" s="79"/>
      <c r="H499" s="80"/>
      <c r="I499" s="7"/>
      <c r="J499" s="7"/>
      <c r="K499" s="7"/>
      <c r="L499" s="7"/>
      <c r="M499" s="7"/>
      <c r="N499" s="7"/>
      <c r="O499" s="7"/>
      <c r="P499" s="7"/>
      <c r="Q499" s="7"/>
      <c r="R499" s="7"/>
      <c r="S499" s="7"/>
      <c r="T499" s="7"/>
      <c r="U499" s="7"/>
      <c r="V499" s="7"/>
      <c r="W499" s="7"/>
      <c r="X499" s="7"/>
      <c r="Y499" s="7"/>
      <c r="Z499" s="7"/>
    </row>
    <row r="500">
      <c r="A500" s="81" t="s">
        <v>1713</v>
      </c>
      <c r="B500" s="84" t="s">
        <v>1714</v>
      </c>
      <c r="C500" s="79"/>
      <c r="D500" s="79"/>
      <c r="E500" s="79"/>
      <c r="F500" s="79"/>
      <c r="G500" s="79"/>
      <c r="H500" s="80"/>
      <c r="I500" s="7"/>
      <c r="J500" s="7"/>
      <c r="K500" s="7"/>
      <c r="L500" s="7"/>
      <c r="M500" s="7"/>
      <c r="N500" s="7"/>
      <c r="O500" s="7"/>
      <c r="P500" s="7"/>
      <c r="Q500" s="7"/>
      <c r="R500" s="7"/>
      <c r="S500" s="7"/>
      <c r="T500" s="7"/>
      <c r="U500" s="7"/>
      <c r="V500" s="7"/>
      <c r="W500" s="7"/>
      <c r="X500" s="7"/>
      <c r="Y500" s="7"/>
      <c r="Z500" s="7"/>
    </row>
    <row r="501">
      <c r="A501" s="78" t="s">
        <v>1715</v>
      </c>
      <c r="B501" s="79"/>
      <c r="C501" s="79"/>
      <c r="D501" s="79"/>
      <c r="E501" s="79"/>
      <c r="F501" s="79"/>
      <c r="G501" s="79"/>
      <c r="H501" s="80"/>
      <c r="I501" s="7"/>
      <c r="J501" s="7"/>
      <c r="K501" s="7"/>
      <c r="L501" s="7"/>
      <c r="M501" s="7"/>
      <c r="N501" s="7"/>
      <c r="O501" s="7"/>
      <c r="P501" s="7"/>
      <c r="Q501" s="7"/>
      <c r="R501" s="7"/>
      <c r="S501" s="7"/>
      <c r="T501" s="7"/>
      <c r="U501" s="7"/>
      <c r="V501" s="7"/>
      <c r="W501" s="7"/>
      <c r="X501" s="7"/>
      <c r="Y501" s="7"/>
      <c r="Z501" s="7"/>
    </row>
    <row r="502">
      <c r="A502" s="85" t="s">
        <v>1716</v>
      </c>
      <c r="B502" s="79"/>
      <c r="C502" s="79"/>
      <c r="D502" s="79"/>
      <c r="E502" s="79"/>
      <c r="F502" s="79"/>
      <c r="G502" s="79"/>
      <c r="H502" s="80"/>
      <c r="I502" s="7"/>
      <c r="J502" s="7"/>
      <c r="K502" s="7"/>
      <c r="L502" s="7"/>
      <c r="M502" s="7"/>
      <c r="N502" s="7"/>
      <c r="O502" s="7"/>
      <c r="P502" s="7"/>
      <c r="Q502" s="7"/>
      <c r="R502" s="7"/>
      <c r="S502" s="7"/>
      <c r="T502" s="7"/>
      <c r="U502" s="7"/>
      <c r="V502" s="7"/>
      <c r="W502" s="7"/>
      <c r="X502" s="7"/>
      <c r="Y502" s="7"/>
      <c r="Z502" s="7"/>
    </row>
    <row r="503">
      <c r="A503" s="78" t="s">
        <v>1717</v>
      </c>
      <c r="B503" s="79"/>
      <c r="C503" s="79"/>
      <c r="D503" s="79"/>
      <c r="E503" s="79"/>
      <c r="F503" s="79"/>
      <c r="G503" s="79"/>
      <c r="H503" s="80"/>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I505" s="7"/>
      <c r="J505" s="7"/>
      <c r="K505" s="7"/>
      <c r="L505" s="7"/>
      <c r="M505" s="7"/>
      <c r="N505" s="7"/>
      <c r="O505" s="7"/>
    </row>
    <row r="506">
      <c r="I506" s="7"/>
      <c r="J506" s="7"/>
      <c r="K506" s="7"/>
      <c r="L506" s="7"/>
      <c r="M506" s="7"/>
      <c r="N506" s="7"/>
      <c r="O506" s="7"/>
    </row>
    <row r="507">
      <c r="I507" s="7"/>
      <c r="J507" s="7"/>
      <c r="K507" s="7"/>
      <c r="L507" s="7"/>
      <c r="M507" s="7"/>
      <c r="N507" s="7"/>
      <c r="O507" s="7"/>
    </row>
    <row r="508">
      <c r="I508" s="7"/>
      <c r="J508" s="7"/>
      <c r="K508" s="7"/>
      <c r="L508" s="7"/>
      <c r="M508" s="7"/>
      <c r="N508" s="7"/>
      <c r="O508" s="7"/>
    </row>
    <row r="509">
      <c r="I509" s="7"/>
      <c r="J509" s="7"/>
      <c r="K509" s="7"/>
      <c r="L509" s="7"/>
      <c r="M509" s="7"/>
      <c r="N509" s="7"/>
      <c r="O509" s="7"/>
    </row>
    <row r="510">
      <c r="I510" s="7"/>
      <c r="J510" s="7"/>
      <c r="K510" s="7"/>
      <c r="L510" s="7"/>
      <c r="M510" s="7"/>
      <c r="N510" s="7"/>
      <c r="O510" s="7"/>
    </row>
    <row r="511">
      <c r="I511" s="7"/>
      <c r="J511" s="7"/>
      <c r="K511" s="7"/>
      <c r="L511" s="7"/>
      <c r="M511" s="7"/>
      <c r="N511" s="7"/>
      <c r="O511" s="7"/>
    </row>
    <row r="512">
      <c r="I512" s="7"/>
      <c r="J512" s="7"/>
      <c r="K512" s="7"/>
      <c r="L512" s="7"/>
      <c r="M512" s="7"/>
      <c r="N512" s="7"/>
      <c r="O512" s="7"/>
    </row>
    <row r="513">
      <c r="I513" s="7"/>
      <c r="J513" s="7"/>
      <c r="K513" s="7"/>
      <c r="L513" s="7"/>
      <c r="M513" s="7"/>
      <c r="N513" s="7"/>
      <c r="O513" s="7"/>
    </row>
    <row r="514">
      <c r="I514" s="7"/>
      <c r="J514" s="7"/>
      <c r="K514" s="7"/>
      <c r="L514" s="7"/>
      <c r="M514" s="7"/>
      <c r="N514" s="7"/>
      <c r="O514" s="7"/>
    </row>
    <row r="515">
      <c r="I515" s="7"/>
      <c r="J515" s="7"/>
      <c r="K515" s="7"/>
      <c r="L515" s="7"/>
      <c r="M515" s="7"/>
      <c r="N515" s="7"/>
      <c r="O515" s="7"/>
    </row>
    <row r="516">
      <c r="I516" s="7"/>
      <c r="J516" s="7"/>
      <c r="K516" s="7"/>
      <c r="L516" s="7"/>
      <c r="M516" s="7"/>
      <c r="N516" s="7"/>
      <c r="O516" s="7"/>
    </row>
    <row r="517">
      <c r="I517" s="7"/>
      <c r="J517" s="7"/>
      <c r="K517" s="7"/>
      <c r="L517" s="7"/>
      <c r="M517" s="7"/>
      <c r="N517" s="7"/>
      <c r="O517" s="7"/>
    </row>
    <row r="518">
      <c r="I518" s="7"/>
      <c r="J518" s="7"/>
      <c r="K518" s="7"/>
      <c r="L518" s="7"/>
      <c r="M518" s="7"/>
      <c r="N518" s="7"/>
      <c r="O518" s="7"/>
    </row>
    <row r="519">
      <c r="I519" s="7"/>
      <c r="J519" s="7"/>
      <c r="K519" s="7"/>
      <c r="L519" s="7"/>
      <c r="M519" s="7"/>
      <c r="N519" s="7"/>
      <c r="O519" s="7"/>
    </row>
    <row r="520">
      <c r="I520" s="7"/>
      <c r="J520" s="7"/>
      <c r="K520" s="7"/>
      <c r="L520" s="7"/>
      <c r="M520" s="7"/>
      <c r="N520" s="7"/>
      <c r="O520" s="7"/>
    </row>
    <row r="521">
      <c r="I521" s="7"/>
      <c r="J521" s="7"/>
      <c r="K521" s="7"/>
      <c r="L521" s="7"/>
      <c r="M521" s="7"/>
      <c r="N521" s="7"/>
      <c r="O521" s="7"/>
    </row>
    <row r="522">
      <c r="I522" s="7"/>
      <c r="J522" s="7"/>
      <c r="K522" s="7"/>
      <c r="L522" s="7"/>
      <c r="M522" s="7"/>
      <c r="N522" s="7"/>
      <c r="O522" s="7"/>
    </row>
    <row r="523">
      <c r="I523" s="7"/>
      <c r="J523" s="7"/>
      <c r="K523" s="7"/>
      <c r="L523" s="7"/>
      <c r="M523" s="7"/>
      <c r="N523" s="7"/>
      <c r="O523" s="7"/>
    </row>
    <row r="524">
      <c r="I524" s="7"/>
      <c r="J524" s="7"/>
      <c r="K524" s="7"/>
      <c r="L524" s="7"/>
      <c r="M524" s="7"/>
      <c r="N524" s="7"/>
      <c r="O524" s="7"/>
    </row>
    <row r="525">
      <c r="I525" s="7"/>
      <c r="J525" s="7"/>
      <c r="K525" s="7"/>
      <c r="L525" s="7"/>
      <c r="M525" s="7"/>
      <c r="N525" s="7"/>
      <c r="O525" s="7"/>
    </row>
    <row r="526">
      <c r="I526" s="7"/>
      <c r="J526" s="7"/>
      <c r="K526" s="7"/>
      <c r="L526" s="7"/>
      <c r="M526" s="7"/>
      <c r="N526" s="7"/>
      <c r="O526" s="7"/>
    </row>
    <row r="527">
      <c r="I527" s="7"/>
      <c r="J527" s="7"/>
      <c r="K527" s="7"/>
      <c r="L527" s="7"/>
      <c r="M527" s="7"/>
      <c r="N527" s="7"/>
      <c r="O527" s="7"/>
    </row>
    <row r="528">
      <c r="I528" s="7"/>
      <c r="J528" s="7"/>
      <c r="K528" s="7"/>
      <c r="L528" s="7"/>
      <c r="M528" s="7"/>
      <c r="N528" s="7"/>
      <c r="O528" s="7"/>
    </row>
    <row r="529">
      <c r="I529" s="7"/>
      <c r="J529" s="7"/>
      <c r="K529" s="7"/>
      <c r="L529" s="7"/>
      <c r="M529" s="7"/>
      <c r="N529" s="7"/>
      <c r="O529" s="7"/>
    </row>
    <row r="530">
      <c r="I530" s="7"/>
      <c r="J530" s="7"/>
      <c r="K530" s="7"/>
      <c r="L530" s="7"/>
      <c r="M530" s="7"/>
      <c r="N530" s="7"/>
      <c r="O530" s="7"/>
    </row>
    <row r="531">
      <c r="I531" s="7"/>
      <c r="J531" s="7"/>
      <c r="K531" s="7"/>
      <c r="L531" s="7"/>
      <c r="M531" s="7"/>
      <c r="N531" s="7"/>
      <c r="O531" s="7"/>
    </row>
    <row r="532">
      <c r="I532" s="7"/>
      <c r="J532" s="7"/>
      <c r="K532" s="7"/>
      <c r="L532" s="7"/>
      <c r="M532" s="7"/>
      <c r="N532" s="7"/>
      <c r="O532" s="7"/>
    </row>
    <row r="533">
      <c r="I533" s="7"/>
      <c r="J533" s="7"/>
      <c r="K533" s="7"/>
      <c r="L533" s="7"/>
      <c r="M533" s="7"/>
      <c r="N533" s="7"/>
      <c r="O533" s="7"/>
    </row>
    <row r="534">
      <c r="I534" s="7"/>
      <c r="J534" s="7"/>
      <c r="K534" s="7"/>
      <c r="L534" s="7"/>
      <c r="M534" s="7"/>
      <c r="N534" s="7"/>
      <c r="O534" s="7"/>
    </row>
    <row r="535">
      <c r="I535" s="7"/>
      <c r="J535" s="7"/>
      <c r="K535" s="7"/>
      <c r="L535" s="7"/>
      <c r="M535" s="7"/>
      <c r="N535" s="7"/>
      <c r="O535" s="7"/>
    </row>
    <row r="536">
      <c r="I536" s="7"/>
      <c r="J536" s="7"/>
      <c r="K536" s="7"/>
      <c r="L536" s="7"/>
      <c r="M536" s="7"/>
      <c r="N536" s="7"/>
      <c r="O536" s="7"/>
    </row>
    <row r="537">
      <c r="I537" s="7"/>
      <c r="J537" s="7"/>
      <c r="K537" s="7"/>
      <c r="L537" s="7"/>
      <c r="M537" s="7"/>
      <c r="N537" s="7"/>
      <c r="O537" s="7"/>
    </row>
    <row r="538">
      <c r="I538" s="7"/>
      <c r="J538" s="7"/>
      <c r="K538" s="7"/>
      <c r="L538" s="7"/>
      <c r="M538" s="7"/>
      <c r="N538" s="7"/>
      <c r="O538" s="7"/>
    </row>
    <row r="539">
      <c r="I539" s="7"/>
      <c r="J539" s="7"/>
      <c r="K539" s="7"/>
      <c r="L539" s="7"/>
      <c r="M539" s="7"/>
      <c r="N539" s="7"/>
      <c r="O539" s="7"/>
    </row>
    <row r="540">
      <c r="I540" s="7"/>
      <c r="J540" s="7"/>
      <c r="K540" s="7"/>
      <c r="L540" s="7"/>
      <c r="M540" s="7"/>
      <c r="N540" s="7"/>
      <c r="O540" s="7"/>
    </row>
    <row r="541">
      <c r="I541" s="7"/>
      <c r="J541" s="7"/>
      <c r="K541" s="7"/>
      <c r="L541" s="7"/>
      <c r="M541" s="7"/>
      <c r="N541" s="7"/>
      <c r="O541" s="7"/>
    </row>
    <row r="542">
      <c r="I542" s="7"/>
      <c r="J542" s="7"/>
      <c r="K542" s="7"/>
      <c r="L542" s="7"/>
      <c r="M542" s="7"/>
      <c r="N542" s="7"/>
      <c r="O542" s="7"/>
    </row>
    <row r="543">
      <c r="I543" s="7"/>
      <c r="J543" s="7"/>
      <c r="K543" s="7"/>
      <c r="L543" s="7"/>
      <c r="M543" s="7"/>
      <c r="N543" s="7"/>
      <c r="O543" s="7"/>
    </row>
    <row r="544">
      <c r="I544" s="7"/>
      <c r="J544" s="7"/>
      <c r="K544" s="7"/>
      <c r="L544" s="7"/>
      <c r="M544" s="7"/>
      <c r="N544" s="7"/>
      <c r="O544" s="7"/>
    </row>
    <row r="545">
      <c r="I545" s="7"/>
      <c r="J545" s="7"/>
      <c r="K545" s="7"/>
      <c r="L545" s="7"/>
      <c r="M545" s="7"/>
      <c r="N545" s="7"/>
      <c r="O545" s="7"/>
    </row>
    <row r="546">
      <c r="I546" s="7"/>
      <c r="J546" s="7"/>
      <c r="K546" s="7"/>
      <c r="L546" s="7"/>
      <c r="M546" s="7"/>
      <c r="N546" s="7"/>
      <c r="O546" s="7"/>
    </row>
    <row r="547">
      <c r="I547" s="7"/>
      <c r="J547" s="7"/>
      <c r="K547" s="7"/>
      <c r="L547" s="7"/>
      <c r="M547" s="7"/>
      <c r="N547" s="7"/>
      <c r="O547" s="7"/>
    </row>
    <row r="548">
      <c r="I548" s="7"/>
      <c r="J548" s="7"/>
      <c r="K548" s="7"/>
      <c r="L548" s="7"/>
      <c r="M548" s="7"/>
      <c r="N548" s="7"/>
      <c r="O548" s="7"/>
    </row>
    <row r="549">
      <c r="I549" s="7"/>
      <c r="J549" s="7"/>
      <c r="K549" s="7"/>
      <c r="L549" s="7"/>
      <c r="M549" s="7"/>
      <c r="N549" s="7"/>
      <c r="O549" s="7"/>
    </row>
    <row r="550">
      <c r="I550" s="7"/>
      <c r="J550" s="7"/>
      <c r="K550" s="7"/>
      <c r="L550" s="7"/>
      <c r="M550" s="7"/>
      <c r="N550" s="7"/>
      <c r="O550" s="7"/>
    </row>
    <row r="551">
      <c r="I551" s="7"/>
      <c r="J551" s="7"/>
      <c r="K551" s="7"/>
      <c r="L551" s="7"/>
      <c r="M551" s="7"/>
      <c r="N551" s="7"/>
      <c r="O551" s="7"/>
    </row>
    <row r="552">
      <c r="I552" s="7"/>
      <c r="J552" s="7"/>
      <c r="K552" s="7"/>
      <c r="L552" s="7"/>
      <c r="M552" s="7"/>
      <c r="N552" s="7"/>
      <c r="O552" s="7"/>
    </row>
    <row r="553">
      <c r="I553" s="7"/>
      <c r="J553" s="7"/>
      <c r="K553" s="7"/>
      <c r="L553" s="7"/>
      <c r="M553" s="7"/>
      <c r="N553" s="7"/>
      <c r="O553" s="7"/>
    </row>
    <row r="554">
      <c r="I554" s="7"/>
      <c r="J554" s="7"/>
      <c r="K554" s="7"/>
      <c r="L554" s="7"/>
      <c r="M554" s="7"/>
      <c r="N554" s="7"/>
      <c r="O554" s="7"/>
    </row>
    <row r="555">
      <c r="I555" s="7"/>
      <c r="J555" s="7"/>
      <c r="K555" s="7"/>
      <c r="L555" s="7"/>
      <c r="M555" s="7"/>
      <c r="N555" s="7"/>
      <c r="O555" s="7"/>
    </row>
    <row r="556">
      <c r="I556" s="7"/>
      <c r="J556" s="7"/>
      <c r="K556" s="7"/>
      <c r="L556" s="7"/>
      <c r="M556" s="7"/>
      <c r="N556" s="7"/>
      <c r="O556" s="7"/>
    </row>
    <row r="557">
      <c r="I557" s="7"/>
      <c r="J557" s="7"/>
      <c r="K557" s="7"/>
      <c r="L557" s="7"/>
      <c r="M557" s="7"/>
      <c r="N557" s="7"/>
      <c r="O557" s="7"/>
    </row>
    <row r="558">
      <c r="I558" s="7"/>
      <c r="J558" s="7"/>
      <c r="K558" s="7"/>
      <c r="L558" s="7"/>
      <c r="M558" s="7"/>
      <c r="N558" s="7"/>
      <c r="O558" s="7"/>
    </row>
    <row r="559">
      <c r="I559" s="7"/>
      <c r="J559" s="7"/>
      <c r="K559" s="7"/>
      <c r="L559" s="7"/>
      <c r="M559" s="7"/>
      <c r="N559" s="7"/>
      <c r="O559" s="7"/>
    </row>
    <row r="560">
      <c r="I560" s="7"/>
      <c r="J560" s="7"/>
      <c r="K560" s="7"/>
      <c r="L560" s="7"/>
      <c r="M560" s="7"/>
      <c r="N560" s="7"/>
      <c r="O560" s="7"/>
    </row>
    <row r="561">
      <c r="I561" s="7"/>
      <c r="J561" s="7"/>
      <c r="K561" s="7"/>
      <c r="L561" s="7"/>
      <c r="M561" s="7"/>
      <c r="N561" s="7"/>
      <c r="O561" s="7"/>
    </row>
    <row r="562">
      <c r="I562" s="7"/>
      <c r="J562" s="7"/>
      <c r="K562" s="7"/>
      <c r="L562" s="7"/>
      <c r="M562" s="7"/>
      <c r="N562" s="7"/>
      <c r="O562" s="7"/>
    </row>
    <row r="563">
      <c r="I563" s="7"/>
      <c r="J563" s="7"/>
      <c r="K563" s="7"/>
      <c r="L563" s="7"/>
      <c r="M563" s="7"/>
      <c r="N563" s="7"/>
      <c r="O563" s="7"/>
    </row>
    <row r="564">
      <c r="I564" s="7"/>
      <c r="J564" s="7"/>
      <c r="K564" s="7"/>
      <c r="L564" s="7"/>
      <c r="M564" s="7"/>
      <c r="N564" s="7"/>
      <c r="O564" s="7"/>
    </row>
    <row r="565">
      <c r="I565" s="7"/>
      <c r="J565" s="7"/>
      <c r="K565" s="7"/>
      <c r="L565" s="7"/>
      <c r="M565" s="7"/>
      <c r="N565" s="7"/>
      <c r="O565" s="7"/>
    </row>
    <row r="566">
      <c r="I566" s="7"/>
      <c r="J566" s="7"/>
      <c r="K566" s="7"/>
      <c r="L566" s="7"/>
      <c r="M566" s="7"/>
      <c r="N566" s="7"/>
      <c r="O566" s="7"/>
    </row>
    <row r="567">
      <c r="I567" s="7"/>
      <c r="J567" s="7"/>
      <c r="K567" s="7"/>
      <c r="L567" s="7"/>
      <c r="M567" s="7"/>
      <c r="N567" s="7"/>
      <c r="O567" s="7"/>
    </row>
    <row r="568">
      <c r="I568" s="7"/>
      <c r="J568" s="7"/>
      <c r="K568" s="7"/>
      <c r="L568" s="7"/>
      <c r="M568" s="7"/>
      <c r="N568" s="7"/>
      <c r="O568" s="7"/>
    </row>
    <row r="569">
      <c r="I569" s="7"/>
      <c r="J569" s="7"/>
      <c r="K569" s="7"/>
      <c r="L569" s="7"/>
      <c r="M569" s="7"/>
      <c r="N569" s="7"/>
      <c r="O569" s="7"/>
    </row>
    <row r="570">
      <c r="I570" s="7"/>
      <c r="J570" s="7"/>
      <c r="K570" s="7"/>
      <c r="L570" s="7"/>
      <c r="M570" s="7"/>
      <c r="N570" s="7"/>
      <c r="O570" s="7"/>
    </row>
    <row r="571">
      <c r="I571" s="7"/>
      <c r="J571" s="7"/>
      <c r="K571" s="7"/>
      <c r="L571" s="7"/>
      <c r="M571" s="7"/>
      <c r="N571" s="7"/>
      <c r="O571" s="7"/>
    </row>
    <row r="572">
      <c r="I572" s="7"/>
      <c r="J572" s="7"/>
      <c r="K572" s="7"/>
      <c r="L572" s="7"/>
      <c r="M572" s="7"/>
      <c r="N572" s="7"/>
      <c r="O572" s="7"/>
    </row>
    <row r="573">
      <c r="I573" s="7"/>
      <c r="J573" s="7"/>
      <c r="K573" s="7"/>
      <c r="L573" s="7"/>
      <c r="M573" s="7"/>
      <c r="N573" s="7"/>
      <c r="O573" s="7"/>
    </row>
    <row r="574">
      <c r="I574" s="7"/>
      <c r="J574" s="7"/>
      <c r="K574" s="7"/>
      <c r="L574" s="7"/>
      <c r="M574" s="7"/>
      <c r="N574" s="7"/>
      <c r="O574" s="7"/>
    </row>
    <row r="575">
      <c r="I575" s="7"/>
      <c r="J575" s="7"/>
      <c r="K575" s="7"/>
      <c r="L575" s="7"/>
      <c r="M575" s="7"/>
      <c r="N575" s="7"/>
      <c r="O575" s="7"/>
    </row>
    <row r="576">
      <c r="I576" s="7"/>
      <c r="J576" s="7"/>
      <c r="K576" s="7"/>
      <c r="L576" s="7"/>
      <c r="M576" s="7"/>
      <c r="N576" s="7"/>
      <c r="O576" s="7"/>
    </row>
    <row r="577">
      <c r="I577" s="7"/>
      <c r="J577" s="7"/>
      <c r="K577" s="7"/>
      <c r="L577" s="7"/>
      <c r="M577" s="7"/>
      <c r="N577" s="7"/>
      <c r="O577" s="7"/>
    </row>
    <row r="578">
      <c r="I578" s="7"/>
      <c r="J578" s="7"/>
      <c r="K578" s="7"/>
      <c r="L578" s="7"/>
      <c r="M578" s="7"/>
      <c r="N578" s="7"/>
      <c r="O578" s="7"/>
    </row>
    <row r="579">
      <c r="I579" s="7"/>
      <c r="J579" s="7"/>
      <c r="K579" s="7"/>
      <c r="L579" s="7"/>
      <c r="M579" s="7"/>
      <c r="N579" s="7"/>
      <c r="O579" s="7"/>
    </row>
    <row r="580">
      <c r="I580" s="7"/>
      <c r="J580" s="7"/>
      <c r="K580" s="7"/>
      <c r="L580" s="7"/>
      <c r="M580" s="7"/>
      <c r="N580" s="7"/>
      <c r="O580" s="7"/>
    </row>
    <row r="581">
      <c r="I581" s="7"/>
      <c r="J581" s="7"/>
      <c r="K581" s="7"/>
      <c r="L581" s="7"/>
      <c r="M581" s="7"/>
      <c r="N581" s="7"/>
      <c r="O581" s="7"/>
    </row>
    <row r="582">
      <c r="I582" s="7"/>
      <c r="J582" s="7"/>
      <c r="K582" s="7"/>
      <c r="L582" s="7"/>
      <c r="M582" s="7"/>
      <c r="N582" s="7"/>
      <c r="O582" s="7"/>
    </row>
    <row r="583">
      <c r="I583" s="7"/>
      <c r="J583" s="7"/>
      <c r="K583" s="7"/>
      <c r="L583" s="7"/>
      <c r="M583" s="7"/>
      <c r="N583" s="7"/>
      <c r="O583" s="7"/>
    </row>
    <row r="584">
      <c r="I584" s="7"/>
      <c r="J584" s="7"/>
      <c r="K584" s="7"/>
      <c r="L584" s="7"/>
      <c r="M584" s="7"/>
      <c r="N584" s="7"/>
      <c r="O584" s="7"/>
    </row>
    <row r="585">
      <c r="I585" s="7"/>
      <c r="J585" s="7"/>
      <c r="K585" s="7"/>
      <c r="L585" s="7"/>
      <c r="M585" s="7"/>
      <c r="N585" s="7"/>
      <c r="O585" s="7"/>
    </row>
    <row r="586">
      <c r="I586" s="7"/>
      <c r="J586" s="7"/>
      <c r="K586" s="7"/>
      <c r="L586" s="7"/>
      <c r="M586" s="7"/>
      <c r="N586" s="7"/>
      <c r="O586" s="7"/>
    </row>
    <row r="587">
      <c r="I587" s="7"/>
      <c r="J587" s="7"/>
      <c r="K587" s="7"/>
      <c r="L587" s="7"/>
      <c r="M587" s="7"/>
      <c r="N587" s="7"/>
      <c r="O587" s="7"/>
    </row>
    <row r="588">
      <c r="I588" s="7"/>
      <c r="J588" s="7"/>
      <c r="K588" s="7"/>
      <c r="L588" s="7"/>
      <c r="M588" s="7"/>
      <c r="N588" s="7"/>
      <c r="O588" s="7"/>
    </row>
    <row r="589">
      <c r="I589" s="7"/>
      <c r="J589" s="7"/>
      <c r="K589" s="7"/>
      <c r="L589" s="7"/>
      <c r="M589" s="7"/>
      <c r="N589" s="7"/>
      <c r="O589" s="7"/>
    </row>
    <row r="590">
      <c r="I590" s="7"/>
      <c r="J590" s="7"/>
      <c r="K590" s="7"/>
      <c r="L590" s="7"/>
      <c r="M590" s="7"/>
      <c r="N590" s="7"/>
      <c r="O590" s="7"/>
    </row>
    <row r="591">
      <c r="I591" s="7"/>
      <c r="J591" s="7"/>
      <c r="K591" s="7"/>
      <c r="L591" s="7"/>
      <c r="M591" s="7"/>
      <c r="N591" s="7"/>
      <c r="O591" s="7"/>
    </row>
    <row r="592">
      <c r="I592" s="7"/>
      <c r="J592" s="7"/>
      <c r="K592" s="7"/>
      <c r="L592" s="7"/>
      <c r="M592" s="7"/>
      <c r="N592" s="7"/>
      <c r="O592" s="7"/>
    </row>
    <row r="593">
      <c r="I593" s="7"/>
      <c r="J593" s="7"/>
      <c r="K593" s="7"/>
      <c r="L593" s="7"/>
      <c r="M593" s="7"/>
      <c r="N593" s="7"/>
      <c r="O593" s="7"/>
    </row>
    <row r="594">
      <c r="I594" s="7"/>
      <c r="J594" s="7"/>
      <c r="K594" s="7"/>
      <c r="L594" s="7"/>
      <c r="M594" s="7"/>
      <c r="N594" s="7"/>
      <c r="O594" s="7"/>
    </row>
    <row r="595">
      <c r="I595" s="7"/>
      <c r="J595" s="7"/>
      <c r="K595" s="7"/>
      <c r="L595" s="7"/>
      <c r="M595" s="7"/>
      <c r="N595" s="7"/>
      <c r="O595" s="7"/>
    </row>
    <row r="596">
      <c r="I596" s="7"/>
      <c r="J596" s="7"/>
      <c r="K596" s="7"/>
      <c r="L596" s="7"/>
      <c r="M596" s="7"/>
      <c r="N596" s="7"/>
      <c r="O596" s="7"/>
    </row>
    <row r="597">
      <c r="I597" s="7"/>
      <c r="J597" s="7"/>
      <c r="K597" s="7"/>
      <c r="L597" s="7"/>
      <c r="M597" s="7"/>
      <c r="N597" s="7"/>
      <c r="O597" s="7"/>
    </row>
    <row r="598">
      <c r="I598" s="7"/>
      <c r="J598" s="7"/>
      <c r="K598" s="7"/>
      <c r="L598" s="7"/>
      <c r="M598" s="7"/>
      <c r="N598" s="7"/>
      <c r="O598" s="7"/>
    </row>
    <row r="599">
      <c r="I599" s="7"/>
      <c r="J599" s="7"/>
      <c r="K599" s="7"/>
      <c r="L599" s="7"/>
      <c r="M599" s="7"/>
      <c r="N599" s="7"/>
      <c r="O599" s="7"/>
    </row>
    <row r="600">
      <c r="I600" s="7"/>
      <c r="J600" s="7"/>
      <c r="K600" s="7"/>
      <c r="L600" s="7"/>
      <c r="M600" s="7"/>
      <c r="N600" s="7"/>
      <c r="O600" s="7"/>
    </row>
    <row r="601">
      <c r="I601" s="7"/>
      <c r="J601" s="7"/>
      <c r="K601" s="7"/>
      <c r="L601" s="7"/>
      <c r="M601" s="7"/>
      <c r="N601" s="7"/>
      <c r="O601" s="7"/>
    </row>
    <row r="602">
      <c r="I602" s="7"/>
      <c r="J602" s="7"/>
      <c r="K602" s="7"/>
      <c r="L602" s="7"/>
      <c r="M602" s="7"/>
      <c r="N602" s="7"/>
      <c r="O602" s="7"/>
    </row>
    <row r="603">
      <c r="I603" s="7"/>
      <c r="J603" s="7"/>
      <c r="K603" s="7"/>
      <c r="L603" s="7"/>
      <c r="M603" s="7"/>
      <c r="N603" s="7"/>
      <c r="O603" s="7"/>
    </row>
    <row r="604">
      <c r="I604" s="7"/>
      <c r="J604" s="7"/>
      <c r="K604" s="7"/>
      <c r="L604" s="7"/>
      <c r="M604" s="7"/>
      <c r="N604" s="7"/>
      <c r="O604" s="7"/>
    </row>
    <row r="605">
      <c r="I605" s="7"/>
      <c r="J605" s="7"/>
      <c r="K605" s="7"/>
      <c r="L605" s="7"/>
      <c r="M605" s="7"/>
      <c r="N605" s="7"/>
      <c r="O605" s="7"/>
    </row>
    <row r="606">
      <c r="I606" s="7"/>
      <c r="J606" s="7"/>
      <c r="K606" s="7"/>
      <c r="L606" s="7"/>
      <c r="M606" s="7"/>
      <c r="N606" s="7"/>
      <c r="O606" s="7"/>
    </row>
    <row r="607">
      <c r="I607" s="7"/>
      <c r="J607" s="7"/>
      <c r="K607" s="7"/>
      <c r="L607" s="7"/>
      <c r="M607" s="7"/>
      <c r="N607" s="7"/>
      <c r="O607" s="7"/>
    </row>
    <row r="608">
      <c r="I608" s="7"/>
      <c r="J608" s="7"/>
      <c r="K608" s="7"/>
      <c r="L608" s="7"/>
      <c r="M608" s="7"/>
      <c r="N608" s="7"/>
      <c r="O608" s="7"/>
    </row>
    <row r="609">
      <c r="I609" s="7"/>
      <c r="J609" s="7"/>
      <c r="K609" s="7"/>
      <c r="L609" s="7"/>
      <c r="M609" s="7"/>
      <c r="N609" s="7"/>
      <c r="O609" s="7"/>
    </row>
    <row r="610">
      <c r="I610" s="7"/>
      <c r="J610" s="7"/>
      <c r="K610" s="7"/>
      <c r="L610" s="7"/>
      <c r="M610" s="7"/>
      <c r="N610" s="7"/>
      <c r="O610" s="7"/>
    </row>
    <row r="611">
      <c r="I611" s="7"/>
      <c r="J611" s="7"/>
      <c r="K611" s="7"/>
      <c r="L611" s="7"/>
      <c r="M611" s="7"/>
      <c r="N611" s="7"/>
      <c r="O611" s="7"/>
    </row>
    <row r="612">
      <c r="I612" s="7"/>
      <c r="J612" s="7"/>
      <c r="K612" s="7"/>
      <c r="L612" s="7"/>
      <c r="M612" s="7"/>
      <c r="N612" s="7"/>
      <c r="O612" s="7"/>
    </row>
    <row r="613">
      <c r="I613" s="7"/>
      <c r="J613" s="7"/>
      <c r="K613" s="7"/>
      <c r="L613" s="7"/>
      <c r="M613" s="7"/>
      <c r="N613" s="7"/>
      <c r="O613" s="7"/>
    </row>
    <row r="614">
      <c r="I614" s="7"/>
      <c r="J614" s="7"/>
      <c r="K614" s="7"/>
      <c r="L614" s="7"/>
      <c r="M614" s="7"/>
      <c r="N614" s="7"/>
      <c r="O614" s="7"/>
    </row>
    <row r="615">
      <c r="I615" s="7"/>
      <c r="J615" s="7"/>
      <c r="K615" s="7"/>
      <c r="L615" s="7"/>
      <c r="M615" s="7"/>
      <c r="N615" s="7"/>
      <c r="O615" s="7"/>
    </row>
    <row r="616">
      <c r="I616" s="7"/>
      <c r="J616" s="7"/>
      <c r="K616" s="7"/>
      <c r="L616" s="7"/>
      <c r="M616" s="7"/>
      <c r="N616" s="7"/>
      <c r="O616" s="7"/>
    </row>
    <row r="617">
      <c r="I617" s="7"/>
      <c r="J617" s="7"/>
      <c r="K617" s="7"/>
      <c r="L617" s="7"/>
      <c r="M617" s="7"/>
      <c r="N617" s="7"/>
      <c r="O617" s="7"/>
    </row>
    <row r="618">
      <c r="I618" s="7"/>
      <c r="J618" s="7"/>
      <c r="K618" s="7"/>
      <c r="L618" s="7"/>
      <c r="M618" s="7"/>
      <c r="N618" s="7"/>
      <c r="O618" s="7"/>
    </row>
    <row r="619">
      <c r="I619" s="7"/>
      <c r="J619" s="7"/>
      <c r="K619" s="7"/>
      <c r="L619" s="7"/>
      <c r="M619" s="7"/>
      <c r="N619" s="7"/>
      <c r="O619" s="7"/>
    </row>
    <row r="620">
      <c r="I620" s="7"/>
      <c r="J620" s="7"/>
      <c r="K620" s="7"/>
      <c r="L620" s="7"/>
      <c r="M620" s="7"/>
      <c r="N620" s="7"/>
      <c r="O620" s="7"/>
    </row>
    <row r="621">
      <c r="I621" s="7"/>
      <c r="J621" s="7"/>
      <c r="K621" s="7"/>
      <c r="L621" s="7"/>
      <c r="M621" s="7"/>
      <c r="N621" s="7"/>
      <c r="O621" s="7"/>
    </row>
    <row r="622">
      <c r="I622" s="7"/>
      <c r="J622" s="7"/>
      <c r="K622" s="7"/>
      <c r="L622" s="7"/>
      <c r="M622" s="7"/>
      <c r="N622" s="7"/>
      <c r="O622" s="7"/>
    </row>
    <row r="623">
      <c r="I623" s="7"/>
      <c r="J623" s="7"/>
      <c r="K623" s="7"/>
      <c r="L623" s="7"/>
      <c r="M623" s="7"/>
      <c r="N623" s="7"/>
      <c r="O623" s="7"/>
    </row>
    <row r="624">
      <c r="I624" s="7"/>
      <c r="J624" s="7"/>
      <c r="K624" s="7"/>
      <c r="L624" s="7"/>
      <c r="M624" s="7"/>
      <c r="N624" s="7"/>
      <c r="O624" s="7"/>
    </row>
    <row r="625">
      <c r="I625" s="7"/>
      <c r="J625" s="7"/>
      <c r="K625" s="7"/>
      <c r="L625" s="7"/>
      <c r="M625" s="7"/>
      <c r="N625" s="7"/>
      <c r="O625" s="7"/>
    </row>
    <row r="626">
      <c r="I626" s="7"/>
      <c r="J626" s="7"/>
      <c r="K626" s="7"/>
      <c r="L626" s="7"/>
      <c r="M626" s="7"/>
      <c r="N626" s="7"/>
      <c r="O626" s="7"/>
    </row>
    <row r="627">
      <c r="I627" s="7"/>
      <c r="J627" s="7"/>
      <c r="K627" s="7"/>
      <c r="L627" s="7"/>
      <c r="M627" s="7"/>
      <c r="N627" s="7"/>
      <c r="O627" s="7"/>
    </row>
    <row r="628">
      <c r="I628" s="7"/>
      <c r="J628" s="7"/>
      <c r="K628" s="7"/>
      <c r="L628" s="7"/>
      <c r="M628" s="7"/>
      <c r="N628" s="7"/>
      <c r="O628" s="7"/>
    </row>
    <row r="629">
      <c r="I629" s="7"/>
      <c r="J629" s="7"/>
      <c r="K629" s="7"/>
      <c r="L629" s="7"/>
      <c r="M629" s="7"/>
      <c r="N629" s="7"/>
      <c r="O629" s="7"/>
    </row>
    <row r="630">
      <c r="I630" s="7"/>
      <c r="J630" s="7"/>
      <c r="K630" s="7"/>
      <c r="L630" s="7"/>
      <c r="M630" s="7"/>
      <c r="N630" s="7"/>
      <c r="O630" s="7"/>
    </row>
    <row r="631">
      <c r="I631" s="7"/>
      <c r="J631" s="7"/>
      <c r="K631" s="7"/>
      <c r="L631" s="7"/>
      <c r="M631" s="7"/>
      <c r="N631" s="7"/>
      <c r="O631" s="7"/>
    </row>
    <row r="632">
      <c r="I632" s="7"/>
      <c r="J632" s="7"/>
      <c r="K632" s="7"/>
      <c r="L632" s="7"/>
      <c r="M632" s="7"/>
      <c r="N632" s="7"/>
      <c r="O632" s="7"/>
    </row>
    <row r="633">
      <c r="I633" s="7"/>
      <c r="J633" s="7"/>
      <c r="K633" s="7"/>
      <c r="L633" s="7"/>
      <c r="M633" s="7"/>
      <c r="N633" s="7"/>
      <c r="O633" s="7"/>
    </row>
    <row r="634">
      <c r="I634" s="7"/>
      <c r="J634" s="7"/>
      <c r="K634" s="7"/>
      <c r="L634" s="7"/>
      <c r="M634" s="7"/>
      <c r="N634" s="7"/>
      <c r="O634" s="7"/>
    </row>
    <row r="635">
      <c r="I635" s="7"/>
      <c r="J635" s="7"/>
      <c r="K635" s="7"/>
      <c r="L635" s="7"/>
      <c r="M635" s="7"/>
      <c r="N635" s="7"/>
      <c r="O635" s="7"/>
    </row>
    <row r="636">
      <c r="I636" s="7"/>
      <c r="J636" s="7"/>
      <c r="K636" s="7"/>
      <c r="L636" s="7"/>
      <c r="M636" s="7"/>
      <c r="N636" s="7"/>
      <c r="O636" s="7"/>
    </row>
    <row r="637">
      <c r="I637" s="7"/>
      <c r="J637" s="7"/>
      <c r="K637" s="7"/>
      <c r="L637" s="7"/>
      <c r="M637" s="7"/>
      <c r="N637" s="7"/>
      <c r="O637" s="7"/>
    </row>
    <row r="638">
      <c r="I638" s="7"/>
      <c r="J638" s="7"/>
      <c r="K638" s="7"/>
      <c r="L638" s="7"/>
      <c r="M638" s="7"/>
      <c r="N638" s="7"/>
      <c r="O638" s="7"/>
    </row>
    <row r="639">
      <c r="I639" s="7"/>
      <c r="J639" s="7"/>
      <c r="K639" s="7"/>
      <c r="L639" s="7"/>
      <c r="M639" s="7"/>
      <c r="N639" s="7"/>
      <c r="O639" s="7"/>
    </row>
    <row r="640">
      <c r="I640" s="7"/>
      <c r="J640" s="7"/>
      <c r="K640" s="7"/>
      <c r="L640" s="7"/>
      <c r="M640" s="7"/>
      <c r="N640" s="7"/>
      <c r="O640" s="7"/>
    </row>
    <row r="641">
      <c r="I641" s="7"/>
      <c r="J641" s="7"/>
      <c r="K641" s="7"/>
      <c r="L641" s="7"/>
      <c r="M641" s="7"/>
      <c r="N641" s="7"/>
      <c r="O641" s="7"/>
    </row>
    <row r="642">
      <c r="I642" s="7"/>
      <c r="J642" s="7"/>
      <c r="K642" s="7"/>
      <c r="L642" s="7"/>
      <c r="M642" s="7"/>
      <c r="N642" s="7"/>
      <c r="O642" s="7"/>
    </row>
    <row r="643">
      <c r="I643" s="7"/>
      <c r="J643" s="7"/>
      <c r="K643" s="7"/>
      <c r="L643" s="7"/>
      <c r="M643" s="7"/>
      <c r="N643" s="7"/>
      <c r="O643" s="7"/>
    </row>
    <row r="644">
      <c r="I644" s="7"/>
      <c r="J644" s="7"/>
      <c r="K644" s="7"/>
      <c r="L644" s="7"/>
      <c r="M644" s="7"/>
      <c r="N644" s="7"/>
      <c r="O644" s="7"/>
    </row>
    <row r="645">
      <c r="I645" s="7"/>
      <c r="J645" s="7"/>
      <c r="K645" s="7"/>
      <c r="L645" s="7"/>
      <c r="M645" s="7"/>
      <c r="N645" s="7"/>
      <c r="O645" s="7"/>
    </row>
    <row r="646">
      <c r="I646" s="7"/>
      <c r="J646" s="7"/>
      <c r="K646" s="7"/>
      <c r="L646" s="7"/>
      <c r="M646" s="7"/>
      <c r="N646" s="7"/>
      <c r="O646" s="7"/>
    </row>
    <row r="647">
      <c r="I647" s="7"/>
      <c r="J647" s="7"/>
      <c r="K647" s="7"/>
      <c r="L647" s="7"/>
      <c r="M647" s="7"/>
      <c r="N647" s="7"/>
      <c r="O647" s="7"/>
    </row>
    <row r="648">
      <c r="I648" s="7"/>
      <c r="J648" s="7"/>
      <c r="K648" s="7"/>
      <c r="L648" s="7"/>
      <c r="M648" s="7"/>
      <c r="N648" s="7"/>
      <c r="O648" s="7"/>
    </row>
    <row r="649">
      <c r="I649" s="7"/>
      <c r="J649" s="7"/>
      <c r="K649" s="7"/>
      <c r="L649" s="7"/>
      <c r="M649" s="7"/>
      <c r="N649" s="7"/>
      <c r="O649" s="7"/>
    </row>
    <row r="650">
      <c r="I650" s="7"/>
      <c r="J650" s="7"/>
      <c r="K650" s="7"/>
      <c r="L650" s="7"/>
      <c r="M650" s="7"/>
      <c r="N650" s="7"/>
      <c r="O650" s="7"/>
    </row>
    <row r="651">
      <c r="I651" s="7"/>
      <c r="J651" s="7"/>
      <c r="K651" s="7"/>
      <c r="L651" s="7"/>
      <c r="M651" s="7"/>
      <c r="N651" s="7"/>
      <c r="O651" s="7"/>
    </row>
    <row r="652">
      <c r="I652" s="7"/>
      <c r="J652" s="7"/>
      <c r="K652" s="7"/>
      <c r="L652" s="7"/>
      <c r="M652" s="7"/>
      <c r="N652" s="7"/>
      <c r="O652" s="7"/>
    </row>
    <row r="653">
      <c r="I653" s="7"/>
      <c r="J653" s="7"/>
      <c r="K653" s="7"/>
      <c r="L653" s="7"/>
      <c r="M653" s="7"/>
      <c r="N653" s="7"/>
      <c r="O653" s="7"/>
    </row>
    <row r="654">
      <c r="I654" s="7"/>
      <c r="J654" s="7"/>
      <c r="K654" s="7"/>
      <c r="L654" s="7"/>
      <c r="M654" s="7"/>
      <c r="N654" s="7"/>
      <c r="O654" s="7"/>
    </row>
    <row r="655">
      <c r="I655" s="7"/>
      <c r="J655" s="7"/>
      <c r="K655" s="7"/>
      <c r="L655" s="7"/>
      <c r="M655" s="7"/>
      <c r="N655" s="7"/>
      <c r="O655" s="7"/>
    </row>
    <row r="656">
      <c r="I656" s="7"/>
      <c r="J656" s="7"/>
      <c r="K656" s="7"/>
      <c r="L656" s="7"/>
      <c r="M656" s="7"/>
      <c r="N656" s="7"/>
      <c r="O656" s="7"/>
    </row>
    <row r="657">
      <c r="I657" s="7"/>
      <c r="J657" s="7"/>
      <c r="K657" s="7"/>
      <c r="L657" s="7"/>
      <c r="M657" s="7"/>
      <c r="N657" s="7"/>
      <c r="O657" s="7"/>
    </row>
    <row r="658">
      <c r="I658" s="7"/>
      <c r="J658" s="7"/>
      <c r="K658" s="7"/>
      <c r="L658" s="7"/>
      <c r="M658" s="7"/>
      <c r="N658" s="7"/>
      <c r="O658" s="7"/>
    </row>
    <row r="659">
      <c r="I659" s="7"/>
      <c r="J659" s="7"/>
      <c r="K659" s="7"/>
      <c r="L659" s="7"/>
      <c r="M659" s="7"/>
      <c r="N659" s="7"/>
      <c r="O659" s="7"/>
    </row>
    <row r="660">
      <c r="I660" s="7"/>
      <c r="J660" s="7"/>
      <c r="K660" s="7"/>
      <c r="L660" s="7"/>
      <c r="M660" s="7"/>
      <c r="N660" s="7"/>
      <c r="O660" s="7"/>
    </row>
    <row r="661">
      <c r="I661" s="7"/>
      <c r="J661" s="7"/>
      <c r="K661" s="7"/>
      <c r="L661" s="7"/>
      <c r="M661" s="7"/>
      <c r="N661" s="7"/>
      <c r="O661" s="7"/>
    </row>
    <row r="662">
      <c r="I662" s="7"/>
      <c r="J662" s="7"/>
      <c r="K662" s="7"/>
      <c r="L662" s="7"/>
      <c r="M662" s="7"/>
      <c r="N662" s="7"/>
      <c r="O662" s="7"/>
    </row>
    <row r="663">
      <c r="I663" s="7"/>
      <c r="J663" s="7"/>
      <c r="K663" s="7"/>
      <c r="L663" s="7"/>
      <c r="M663" s="7"/>
      <c r="N663" s="7"/>
      <c r="O663" s="7"/>
    </row>
    <row r="664">
      <c r="I664" s="7"/>
      <c r="J664" s="7"/>
      <c r="K664" s="7"/>
      <c r="L664" s="7"/>
      <c r="M664" s="7"/>
      <c r="N664" s="7"/>
      <c r="O664" s="7"/>
    </row>
    <row r="665">
      <c r="I665" s="7"/>
      <c r="J665" s="7"/>
      <c r="K665" s="7"/>
      <c r="L665" s="7"/>
      <c r="M665" s="7"/>
      <c r="N665" s="7"/>
      <c r="O665" s="7"/>
    </row>
    <row r="666">
      <c r="I666" s="7"/>
      <c r="J666" s="7"/>
      <c r="K666" s="7"/>
      <c r="L666" s="7"/>
      <c r="M666" s="7"/>
      <c r="N666" s="7"/>
      <c r="O666" s="7"/>
    </row>
    <row r="667">
      <c r="I667" s="7"/>
      <c r="J667" s="7"/>
      <c r="K667" s="7"/>
      <c r="L667" s="7"/>
      <c r="M667" s="7"/>
      <c r="N667" s="7"/>
      <c r="O667" s="7"/>
    </row>
    <row r="668">
      <c r="I668" s="7"/>
      <c r="J668" s="7"/>
      <c r="K668" s="7"/>
      <c r="L668" s="7"/>
      <c r="M668" s="7"/>
      <c r="N668" s="7"/>
      <c r="O668" s="7"/>
    </row>
    <row r="669">
      <c r="I669" s="7"/>
      <c r="J669" s="7"/>
      <c r="K669" s="7"/>
      <c r="L669" s="7"/>
      <c r="M669" s="7"/>
      <c r="N669" s="7"/>
      <c r="O669" s="7"/>
    </row>
    <row r="670">
      <c r="I670" s="7"/>
      <c r="J670" s="7"/>
      <c r="K670" s="7"/>
      <c r="L670" s="7"/>
      <c r="M670" s="7"/>
      <c r="N670" s="7"/>
      <c r="O670" s="7"/>
    </row>
    <row r="671">
      <c r="I671" s="7"/>
      <c r="J671" s="7"/>
      <c r="K671" s="7"/>
      <c r="L671" s="7"/>
      <c r="M671" s="7"/>
      <c r="N671" s="7"/>
      <c r="O671" s="7"/>
    </row>
    <row r="672">
      <c r="I672" s="7"/>
      <c r="J672" s="7"/>
      <c r="K672" s="7"/>
      <c r="L672" s="7"/>
      <c r="M672" s="7"/>
      <c r="N672" s="7"/>
      <c r="O672" s="7"/>
    </row>
    <row r="673">
      <c r="I673" s="7"/>
      <c r="J673" s="7"/>
      <c r="K673" s="7"/>
      <c r="L673" s="7"/>
      <c r="M673" s="7"/>
      <c r="N673" s="7"/>
      <c r="O673" s="7"/>
    </row>
    <row r="674">
      <c r="I674" s="7"/>
      <c r="J674" s="7"/>
      <c r="K674" s="7"/>
      <c r="L674" s="7"/>
      <c r="M674" s="7"/>
      <c r="N674" s="7"/>
      <c r="O674" s="7"/>
    </row>
    <row r="675">
      <c r="I675" s="7"/>
      <c r="J675" s="7"/>
      <c r="K675" s="7"/>
      <c r="L675" s="7"/>
      <c r="M675" s="7"/>
      <c r="N675" s="7"/>
      <c r="O675" s="7"/>
    </row>
    <row r="676">
      <c r="I676" s="7"/>
      <c r="J676" s="7"/>
      <c r="K676" s="7"/>
      <c r="L676" s="7"/>
      <c r="M676" s="7"/>
      <c r="N676" s="7"/>
      <c r="O676" s="7"/>
    </row>
    <row r="677">
      <c r="I677" s="7"/>
      <c r="J677" s="7"/>
      <c r="K677" s="7"/>
      <c r="L677" s="7"/>
      <c r="M677" s="7"/>
      <c r="N677" s="7"/>
      <c r="O677" s="7"/>
    </row>
    <row r="678">
      <c r="I678" s="7"/>
      <c r="J678" s="7"/>
      <c r="K678" s="7"/>
      <c r="L678" s="7"/>
      <c r="M678" s="7"/>
      <c r="N678" s="7"/>
      <c r="O678" s="7"/>
    </row>
    <row r="679">
      <c r="I679" s="7"/>
      <c r="J679" s="7"/>
      <c r="K679" s="7"/>
      <c r="L679" s="7"/>
      <c r="M679" s="7"/>
      <c r="N679" s="7"/>
      <c r="O679" s="7"/>
    </row>
    <row r="680">
      <c r="I680" s="7"/>
      <c r="J680" s="7"/>
      <c r="K680" s="7"/>
      <c r="L680" s="7"/>
      <c r="M680" s="7"/>
      <c r="N680" s="7"/>
      <c r="O680" s="7"/>
    </row>
    <row r="681">
      <c r="I681" s="7"/>
      <c r="J681" s="7"/>
      <c r="K681" s="7"/>
      <c r="L681" s="7"/>
      <c r="M681" s="7"/>
      <c r="N681" s="7"/>
      <c r="O681" s="7"/>
    </row>
    <row r="682">
      <c r="I682" s="7"/>
      <c r="J682" s="7"/>
      <c r="K682" s="7"/>
      <c r="L682" s="7"/>
      <c r="M682" s="7"/>
      <c r="N682" s="7"/>
      <c r="O682" s="7"/>
    </row>
    <row r="683">
      <c r="I683" s="7"/>
      <c r="J683" s="7"/>
      <c r="K683" s="7"/>
      <c r="L683" s="7"/>
      <c r="M683" s="7"/>
      <c r="N683" s="7"/>
      <c r="O683" s="7"/>
    </row>
    <row r="684">
      <c r="I684" s="7"/>
      <c r="J684" s="7"/>
      <c r="K684" s="7"/>
      <c r="L684" s="7"/>
      <c r="M684" s="7"/>
      <c r="N684" s="7"/>
      <c r="O684" s="7"/>
    </row>
    <row r="685">
      <c r="I685" s="7"/>
      <c r="J685" s="7"/>
      <c r="K685" s="7"/>
      <c r="L685" s="7"/>
      <c r="M685" s="7"/>
      <c r="N685" s="7"/>
      <c r="O685" s="7"/>
    </row>
    <row r="686">
      <c r="I686" s="7"/>
      <c r="J686" s="7"/>
      <c r="K686" s="7"/>
      <c r="L686" s="7"/>
      <c r="M686" s="7"/>
      <c r="N686" s="7"/>
      <c r="O686" s="7"/>
    </row>
    <row r="687">
      <c r="I687" s="7"/>
      <c r="J687" s="7"/>
      <c r="K687" s="7"/>
      <c r="L687" s="7"/>
      <c r="M687" s="7"/>
      <c r="N687" s="7"/>
      <c r="O687" s="7"/>
    </row>
    <row r="688">
      <c r="I688" s="7"/>
      <c r="J688" s="7"/>
      <c r="K688" s="7"/>
      <c r="L688" s="7"/>
      <c r="M688" s="7"/>
      <c r="N688" s="7"/>
      <c r="O688" s="7"/>
    </row>
    <row r="689">
      <c r="I689" s="7"/>
      <c r="J689" s="7"/>
      <c r="K689" s="7"/>
      <c r="L689" s="7"/>
      <c r="M689" s="7"/>
      <c r="N689" s="7"/>
      <c r="O689" s="7"/>
    </row>
    <row r="690">
      <c r="I690" s="7"/>
      <c r="J690" s="7"/>
      <c r="K690" s="7"/>
      <c r="L690" s="7"/>
      <c r="M690" s="7"/>
      <c r="N690" s="7"/>
      <c r="O690" s="7"/>
    </row>
    <row r="691">
      <c r="I691" s="7"/>
      <c r="J691" s="7"/>
      <c r="K691" s="7"/>
      <c r="L691" s="7"/>
      <c r="M691" s="7"/>
      <c r="N691" s="7"/>
      <c r="O691" s="7"/>
    </row>
    <row r="692">
      <c r="I692" s="7"/>
      <c r="J692" s="7"/>
      <c r="K692" s="7"/>
      <c r="L692" s="7"/>
      <c r="M692" s="7"/>
      <c r="N692" s="7"/>
      <c r="O692" s="7"/>
    </row>
    <row r="693">
      <c r="I693" s="7"/>
      <c r="J693" s="7"/>
      <c r="K693" s="7"/>
      <c r="L693" s="7"/>
      <c r="M693" s="7"/>
      <c r="N693" s="7"/>
      <c r="O693" s="7"/>
    </row>
    <row r="694">
      <c r="I694" s="7"/>
      <c r="J694" s="7"/>
      <c r="K694" s="7"/>
      <c r="L694" s="7"/>
      <c r="M694" s="7"/>
      <c r="N694" s="7"/>
      <c r="O694" s="7"/>
    </row>
    <row r="695">
      <c r="I695" s="7"/>
      <c r="J695" s="7"/>
      <c r="K695" s="7"/>
      <c r="L695" s="7"/>
      <c r="M695" s="7"/>
      <c r="N695" s="7"/>
      <c r="O695" s="7"/>
    </row>
    <row r="696">
      <c r="I696" s="7"/>
      <c r="J696" s="7"/>
      <c r="K696" s="7"/>
      <c r="L696" s="7"/>
      <c r="M696" s="7"/>
      <c r="N696" s="7"/>
      <c r="O696" s="7"/>
    </row>
    <row r="697">
      <c r="I697" s="7"/>
      <c r="J697" s="7"/>
      <c r="K697" s="7"/>
      <c r="L697" s="7"/>
      <c r="M697" s="7"/>
      <c r="N697" s="7"/>
      <c r="O697" s="7"/>
    </row>
    <row r="698">
      <c r="I698" s="7"/>
      <c r="J698" s="7"/>
      <c r="K698" s="7"/>
      <c r="L698" s="7"/>
      <c r="M698" s="7"/>
      <c r="N698" s="7"/>
      <c r="O698" s="7"/>
    </row>
    <row r="699">
      <c r="I699" s="7"/>
      <c r="J699" s="7"/>
      <c r="K699" s="7"/>
      <c r="L699" s="7"/>
      <c r="M699" s="7"/>
      <c r="N699" s="7"/>
      <c r="O699" s="7"/>
    </row>
    <row r="700">
      <c r="I700" s="7"/>
      <c r="J700" s="7"/>
      <c r="K700" s="7"/>
      <c r="L700" s="7"/>
      <c r="M700" s="7"/>
      <c r="N700" s="7"/>
      <c r="O700" s="7"/>
    </row>
    <row r="701">
      <c r="I701" s="7"/>
      <c r="J701" s="7"/>
      <c r="K701" s="7"/>
      <c r="L701" s="7"/>
      <c r="M701" s="7"/>
      <c r="N701" s="7"/>
      <c r="O701" s="7"/>
    </row>
    <row r="702">
      <c r="I702" s="7"/>
      <c r="J702" s="7"/>
      <c r="K702" s="7"/>
      <c r="L702" s="7"/>
      <c r="M702" s="7"/>
      <c r="N702" s="7"/>
      <c r="O702" s="7"/>
    </row>
    <row r="703">
      <c r="I703" s="7"/>
      <c r="J703" s="7"/>
      <c r="K703" s="7"/>
      <c r="L703" s="7"/>
      <c r="M703" s="7"/>
      <c r="N703" s="7"/>
      <c r="O703" s="7"/>
    </row>
    <row r="704">
      <c r="I704" s="7"/>
      <c r="J704" s="7"/>
      <c r="K704" s="7"/>
      <c r="L704" s="7"/>
      <c r="M704" s="7"/>
      <c r="N704" s="7"/>
      <c r="O704" s="7"/>
    </row>
    <row r="705">
      <c r="I705" s="7"/>
      <c r="J705" s="7"/>
      <c r="K705" s="7"/>
      <c r="L705" s="7"/>
      <c r="M705" s="7"/>
      <c r="N705" s="7"/>
      <c r="O705" s="7"/>
    </row>
    <row r="706">
      <c r="I706" s="7"/>
      <c r="J706" s="7"/>
      <c r="K706" s="7"/>
      <c r="L706" s="7"/>
      <c r="M706" s="7"/>
      <c r="N706" s="7"/>
      <c r="O706" s="7"/>
    </row>
    <row r="707">
      <c r="I707" s="7"/>
      <c r="J707" s="7"/>
      <c r="K707" s="7"/>
      <c r="L707" s="7"/>
      <c r="M707" s="7"/>
      <c r="N707" s="7"/>
      <c r="O707" s="7"/>
    </row>
    <row r="708">
      <c r="I708" s="7"/>
      <c r="J708" s="7"/>
      <c r="K708" s="7"/>
      <c r="L708" s="7"/>
      <c r="M708" s="7"/>
      <c r="N708" s="7"/>
      <c r="O708" s="7"/>
    </row>
    <row r="709">
      <c r="I709" s="7"/>
      <c r="J709" s="7"/>
      <c r="K709" s="7"/>
      <c r="L709" s="7"/>
      <c r="M709" s="7"/>
      <c r="N709" s="7"/>
      <c r="O709" s="7"/>
    </row>
    <row r="710">
      <c r="I710" s="7"/>
      <c r="J710" s="7"/>
      <c r="K710" s="7"/>
      <c r="L710" s="7"/>
      <c r="M710" s="7"/>
      <c r="N710" s="7"/>
      <c r="O710" s="7"/>
    </row>
    <row r="711">
      <c r="I711" s="7"/>
      <c r="J711" s="7"/>
      <c r="K711" s="7"/>
      <c r="L711" s="7"/>
      <c r="M711" s="7"/>
      <c r="N711" s="7"/>
      <c r="O711" s="7"/>
    </row>
    <row r="712">
      <c r="I712" s="7"/>
      <c r="J712" s="7"/>
      <c r="K712" s="7"/>
      <c r="L712" s="7"/>
      <c r="M712" s="7"/>
      <c r="N712" s="7"/>
      <c r="O712" s="7"/>
    </row>
    <row r="713">
      <c r="I713" s="7"/>
      <c r="J713" s="7"/>
      <c r="K713" s="7"/>
      <c r="L713" s="7"/>
      <c r="M713" s="7"/>
      <c r="N713" s="7"/>
      <c r="O713" s="7"/>
    </row>
    <row r="714">
      <c r="I714" s="7"/>
      <c r="J714" s="7"/>
      <c r="K714" s="7"/>
      <c r="L714" s="7"/>
      <c r="M714" s="7"/>
      <c r="N714" s="7"/>
      <c r="O714" s="7"/>
    </row>
    <row r="715">
      <c r="I715" s="7"/>
      <c r="J715" s="7"/>
      <c r="K715" s="7"/>
      <c r="L715" s="7"/>
      <c r="M715" s="7"/>
      <c r="N715" s="7"/>
      <c r="O715" s="7"/>
    </row>
    <row r="716">
      <c r="I716" s="7"/>
      <c r="J716" s="7"/>
      <c r="K716" s="7"/>
      <c r="L716" s="7"/>
      <c r="M716" s="7"/>
      <c r="N716" s="7"/>
      <c r="O716" s="7"/>
    </row>
    <row r="717">
      <c r="I717" s="7"/>
      <c r="J717" s="7"/>
      <c r="K717" s="7"/>
      <c r="L717" s="7"/>
      <c r="M717" s="7"/>
      <c r="N717" s="7"/>
      <c r="O717" s="7"/>
    </row>
    <row r="718">
      <c r="I718" s="7"/>
      <c r="J718" s="7"/>
      <c r="K718" s="7"/>
      <c r="L718" s="7"/>
      <c r="M718" s="7"/>
      <c r="N718" s="7"/>
      <c r="O718" s="7"/>
    </row>
    <row r="719">
      <c r="I719" s="7"/>
      <c r="J719" s="7"/>
      <c r="K719" s="7"/>
      <c r="L719" s="7"/>
      <c r="M719" s="7"/>
      <c r="N719" s="7"/>
      <c r="O719" s="7"/>
    </row>
    <row r="720">
      <c r="I720" s="7"/>
      <c r="J720" s="7"/>
      <c r="K720" s="7"/>
      <c r="L720" s="7"/>
      <c r="M720" s="7"/>
      <c r="N720" s="7"/>
      <c r="O720" s="7"/>
    </row>
    <row r="721">
      <c r="I721" s="7"/>
      <c r="J721" s="7"/>
      <c r="K721" s="7"/>
      <c r="L721" s="7"/>
      <c r="M721" s="7"/>
      <c r="N721" s="7"/>
      <c r="O721" s="7"/>
    </row>
    <row r="722">
      <c r="I722" s="7"/>
      <c r="J722" s="7"/>
      <c r="K722" s="7"/>
      <c r="L722" s="7"/>
      <c r="M722" s="7"/>
      <c r="N722" s="7"/>
      <c r="O722" s="7"/>
    </row>
    <row r="723">
      <c r="I723" s="7"/>
      <c r="J723" s="7"/>
      <c r="K723" s="7"/>
      <c r="L723" s="7"/>
      <c r="M723" s="7"/>
      <c r="N723" s="7"/>
      <c r="O723" s="7"/>
    </row>
    <row r="724">
      <c r="I724" s="7"/>
      <c r="J724" s="7"/>
      <c r="K724" s="7"/>
      <c r="L724" s="7"/>
      <c r="M724" s="7"/>
      <c r="N724" s="7"/>
      <c r="O724" s="7"/>
    </row>
    <row r="725">
      <c r="I725" s="7"/>
      <c r="J725" s="7"/>
      <c r="K725" s="7"/>
      <c r="L725" s="7"/>
      <c r="M725" s="7"/>
      <c r="N725" s="7"/>
      <c r="O725" s="7"/>
    </row>
    <row r="726">
      <c r="I726" s="7"/>
      <c r="J726" s="7"/>
      <c r="K726" s="7"/>
      <c r="L726" s="7"/>
      <c r="M726" s="7"/>
      <c r="N726" s="7"/>
      <c r="O726" s="7"/>
    </row>
    <row r="727">
      <c r="I727" s="7"/>
      <c r="J727" s="7"/>
      <c r="K727" s="7"/>
      <c r="L727" s="7"/>
      <c r="M727" s="7"/>
      <c r="N727" s="7"/>
      <c r="O727" s="7"/>
    </row>
    <row r="728">
      <c r="I728" s="7"/>
      <c r="J728" s="7"/>
      <c r="K728" s="7"/>
      <c r="L728" s="7"/>
      <c r="M728" s="7"/>
      <c r="N728" s="7"/>
      <c r="O728" s="7"/>
    </row>
    <row r="729">
      <c r="I729" s="7"/>
      <c r="J729" s="7"/>
      <c r="K729" s="7"/>
      <c r="L729" s="7"/>
      <c r="M729" s="7"/>
      <c r="N729" s="7"/>
      <c r="O729" s="7"/>
    </row>
    <row r="730">
      <c r="I730" s="7"/>
      <c r="J730" s="7"/>
      <c r="K730" s="7"/>
      <c r="L730" s="7"/>
      <c r="M730" s="7"/>
      <c r="N730" s="7"/>
      <c r="O730" s="7"/>
    </row>
    <row r="731">
      <c r="I731" s="7"/>
      <c r="J731" s="7"/>
      <c r="K731" s="7"/>
      <c r="L731" s="7"/>
      <c r="M731" s="7"/>
      <c r="N731" s="7"/>
      <c r="O731" s="7"/>
    </row>
    <row r="732">
      <c r="I732" s="7"/>
      <c r="J732" s="7"/>
      <c r="K732" s="7"/>
      <c r="L732" s="7"/>
      <c r="M732" s="7"/>
      <c r="N732" s="7"/>
      <c r="O732" s="7"/>
    </row>
    <row r="733">
      <c r="I733" s="7"/>
      <c r="J733" s="7"/>
      <c r="K733" s="7"/>
      <c r="L733" s="7"/>
      <c r="M733" s="7"/>
      <c r="N733" s="7"/>
      <c r="O733" s="7"/>
    </row>
    <row r="734">
      <c r="I734" s="7"/>
      <c r="J734" s="7"/>
      <c r="K734" s="7"/>
      <c r="L734" s="7"/>
      <c r="M734" s="7"/>
      <c r="N734" s="7"/>
      <c r="O734" s="7"/>
    </row>
    <row r="735">
      <c r="I735" s="7"/>
      <c r="J735" s="7"/>
      <c r="K735" s="7"/>
      <c r="L735" s="7"/>
      <c r="M735" s="7"/>
      <c r="N735" s="7"/>
      <c r="O735" s="7"/>
    </row>
    <row r="736">
      <c r="I736" s="7"/>
      <c r="J736" s="7"/>
      <c r="K736" s="7"/>
      <c r="L736" s="7"/>
      <c r="M736" s="7"/>
      <c r="N736" s="7"/>
      <c r="O736" s="7"/>
    </row>
    <row r="737">
      <c r="I737" s="7"/>
      <c r="J737" s="7"/>
      <c r="K737" s="7"/>
      <c r="L737" s="7"/>
      <c r="M737" s="7"/>
      <c r="N737" s="7"/>
      <c r="O737" s="7"/>
    </row>
    <row r="738">
      <c r="I738" s="7"/>
      <c r="J738" s="7"/>
      <c r="K738" s="7"/>
      <c r="L738" s="7"/>
      <c r="M738" s="7"/>
      <c r="N738" s="7"/>
      <c r="O738" s="7"/>
    </row>
    <row r="739">
      <c r="I739" s="7"/>
      <c r="J739" s="7"/>
      <c r="K739" s="7"/>
      <c r="L739" s="7"/>
      <c r="M739" s="7"/>
      <c r="N739" s="7"/>
      <c r="O739" s="7"/>
    </row>
    <row r="740">
      <c r="I740" s="7"/>
      <c r="J740" s="7"/>
      <c r="K740" s="7"/>
      <c r="L740" s="7"/>
      <c r="M740" s="7"/>
      <c r="N740" s="7"/>
      <c r="O740" s="7"/>
    </row>
    <row r="741">
      <c r="I741" s="7"/>
      <c r="J741" s="7"/>
      <c r="K741" s="7"/>
      <c r="L741" s="7"/>
      <c r="M741" s="7"/>
      <c r="N741" s="7"/>
      <c r="O741" s="7"/>
    </row>
    <row r="742">
      <c r="I742" s="7"/>
      <c r="J742" s="7"/>
      <c r="K742" s="7"/>
      <c r="L742" s="7"/>
      <c r="M742" s="7"/>
      <c r="N742" s="7"/>
      <c r="O742" s="7"/>
    </row>
    <row r="743">
      <c r="I743" s="7"/>
      <c r="J743" s="7"/>
      <c r="K743" s="7"/>
      <c r="L743" s="7"/>
      <c r="M743" s="7"/>
      <c r="N743" s="7"/>
      <c r="O743" s="7"/>
    </row>
    <row r="744">
      <c r="I744" s="7"/>
      <c r="J744" s="7"/>
      <c r="K744" s="7"/>
      <c r="L744" s="7"/>
      <c r="M744" s="7"/>
      <c r="N744" s="7"/>
      <c r="O744" s="7"/>
    </row>
    <row r="745">
      <c r="I745" s="7"/>
      <c r="J745" s="7"/>
      <c r="K745" s="7"/>
      <c r="L745" s="7"/>
      <c r="M745" s="7"/>
      <c r="N745" s="7"/>
      <c r="O745" s="7"/>
    </row>
    <row r="746">
      <c r="I746" s="7"/>
      <c r="J746" s="7"/>
      <c r="K746" s="7"/>
      <c r="L746" s="7"/>
      <c r="M746" s="7"/>
      <c r="N746" s="7"/>
      <c r="O746" s="7"/>
    </row>
    <row r="747">
      <c r="I747" s="7"/>
      <c r="J747" s="7"/>
      <c r="K747" s="7"/>
      <c r="L747" s="7"/>
      <c r="M747" s="7"/>
      <c r="N747" s="7"/>
      <c r="O747" s="7"/>
    </row>
    <row r="748">
      <c r="I748" s="7"/>
      <c r="J748" s="7"/>
      <c r="K748" s="7"/>
      <c r="L748" s="7"/>
      <c r="M748" s="7"/>
      <c r="N748" s="7"/>
      <c r="O748" s="7"/>
    </row>
    <row r="749">
      <c r="I749" s="7"/>
      <c r="J749" s="7"/>
      <c r="K749" s="7"/>
      <c r="L749" s="7"/>
      <c r="M749" s="7"/>
      <c r="N749" s="7"/>
      <c r="O749" s="7"/>
    </row>
    <row r="750">
      <c r="I750" s="7"/>
      <c r="J750" s="7"/>
      <c r="K750" s="7"/>
      <c r="L750" s="7"/>
      <c r="M750" s="7"/>
      <c r="N750" s="7"/>
      <c r="O750" s="7"/>
    </row>
    <row r="751">
      <c r="I751" s="7"/>
      <c r="J751" s="7"/>
      <c r="K751" s="7"/>
      <c r="L751" s="7"/>
      <c r="M751" s="7"/>
      <c r="N751" s="7"/>
      <c r="O751" s="7"/>
    </row>
    <row r="752">
      <c r="I752" s="7"/>
      <c r="J752" s="7"/>
      <c r="K752" s="7"/>
      <c r="L752" s="7"/>
      <c r="M752" s="7"/>
      <c r="N752" s="7"/>
      <c r="O752" s="7"/>
    </row>
    <row r="753">
      <c r="I753" s="7"/>
      <c r="J753" s="7"/>
      <c r="K753" s="7"/>
      <c r="L753" s="7"/>
      <c r="M753" s="7"/>
      <c r="N753" s="7"/>
      <c r="O753" s="7"/>
    </row>
    <row r="754">
      <c r="I754" s="7"/>
      <c r="J754" s="7"/>
      <c r="K754" s="7"/>
      <c r="L754" s="7"/>
      <c r="M754" s="7"/>
      <c r="N754" s="7"/>
      <c r="O754" s="7"/>
    </row>
    <row r="755">
      <c r="I755" s="7"/>
      <c r="J755" s="7"/>
      <c r="K755" s="7"/>
      <c r="L755" s="7"/>
      <c r="M755" s="7"/>
      <c r="N755" s="7"/>
      <c r="O755" s="7"/>
    </row>
    <row r="756">
      <c r="I756" s="7"/>
      <c r="J756" s="7"/>
      <c r="K756" s="7"/>
      <c r="L756" s="7"/>
      <c r="M756" s="7"/>
      <c r="N756" s="7"/>
      <c r="O756" s="7"/>
    </row>
    <row r="757">
      <c r="I757" s="7"/>
      <c r="J757" s="7"/>
      <c r="K757" s="7"/>
      <c r="L757" s="7"/>
      <c r="M757" s="7"/>
      <c r="N757" s="7"/>
      <c r="O757" s="7"/>
    </row>
    <row r="758">
      <c r="I758" s="7"/>
      <c r="J758" s="7"/>
      <c r="K758" s="7"/>
      <c r="L758" s="7"/>
      <c r="M758" s="7"/>
      <c r="N758" s="7"/>
      <c r="O758" s="7"/>
    </row>
    <row r="759">
      <c r="I759" s="7"/>
      <c r="J759" s="7"/>
      <c r="K759" s="7"/>
      <c r="L759" s="7"/>
      <c r="M759" s="7"/>
      <c r="N759" s="7"/>
      <c r="O759" s="7"/>
    </row>
    <row r="760">
      <c r="I760" s="7"/>
      <c r="J760" s="7"/>
      <c r="K760" s="7"/>
      <c r="L760" s="7"/>
      <c r="M760" s="7"/>
      <c r="N760" s="7"/>
      <c r="O760" s="7"/>
    </row>
    <row r="761">
      <c r="I761" s="7"/>
      <c r="J761" s="7"/>
      <c r="K761" s="7"/>
      <c r="L761" s="7"/>
      <c r="M761" s="7"/>
      <c r="N761" s="7"/>
      <c r="O761" s="7"/>
    </row>
    <row r="762">
      <c r="I762" s="7"/>
      <c r="J762" s="7"/>
      <c r="K762" s="7"/>
      <c r="L762" s="7"/>
      <c r="M762" s="7"/>
      <c r="N762" s="7"/>
      <c r="O762" s="7"/>
    </row>
    <row r="763">
      <c r="I763" s="7"/>
      <c r="J763" s="7"/>
      <c r="K763" s="7"/>
      <c r="L763" s="7"/>
      <c r="M763" s="7"/>
      <c r="N763" s="7"/>
      <c r="O763" s="7"/>
    </row>
    <row r="764">
      <c r="I764" s="7"/>
      <c r="J764" s="7"/>
      <c r="K764" s="7"/>
      <c r="L764" s="7"/>
      <c r="M764" s="7"/>
      <c r="N764" s="7"/>
      <c r="O764" s="7"/>
    </row>
    <row r="765">
      <c r="I765" s="7"/>
      <c r="J765" s="7"/>
      <c r="K765" s="7"/>
      <c r="L765" s="7"/>
      <c r="M765" s="7"/>
      <c r="N765" s="7"/>
      <c r="O765" s="7"/>
    </row>
    <row r="766">
      <c r="I766" s="7"/>
      <c r="J766" s="7"/>
      <c r="K766" s="7"/>
      <c r="L766" s="7"/>
      <c r="M766" s="7"/>
      <c r="N766" s="7"/>
      <c r="O766" s="7"/>
    </row>
    <row r="767">
      <c r="I767" s="7"/>
      <c r="J767" s="7"/>
      <c r="K767" s="7"/>
      <c r="L767" s="7"/>
      <c r="M767" s="7"/>
      <c r="N767" s="7"/>
      <c r="O767" s="7"/>
    </row>
    <row r="768">
      <c r="I768" s="7"/>
      <c r="J768" s="7"/>
      <c r="K768" s="7"/>
      <c r="L768" s="7"/>
      <c r="M768" s="7"/>
      <c r="N768" s="7"/>
      <c r="O768" s="7"/>
    </row>
    <row r="769">
      <c r="I769" s="7"/>
      <c r="J769" s="7"/>
      <c r="K769" s="7"/>
      <c r="L769" s="7"/>
      <c r="M769" s="7"/>
      <c r="N769" s="7"/>
      <c r="O769" s="7"/>
    </row>
    <row r="770">
      <c r="I770" s="7"/>
      <c r="J770" s="7"/>
      <c r="K770" s="7"/>
      <c r="L770" s="7"/>
      <c r="M770" s="7"/>
      <c r="N770" s="7"/>
      <c r="O770" s="7"/>
    </row>
    <row r="771">
      <c r="I771" s="7"/>
      <c r="J771" s="7"/>
      <c r="K771" s="7"/>
      <c r="L771" s="7"/>
      <c r="M771" s="7"/>
      <c r="N771" s="7"/>
      <c r="O771" s="7"/>
    </row>
    <row r="772">
      <c r="I772" s="7"/>
      <c r="J772" s="7"/>
      <c r="K772" s="7"/>
      <c r="L772" s="7"/>
      <c r="M772" s="7"/>
      <c r="N772" s="7"/>
      <c r="O772" s="7"/>
    </row>
    <row r="773">
      <c r="I773" s="7"/>
      <c r="J773" s="7"/>
      <c r="K773" s="7"/>
      <c r="L773" s="7"/>
      <c r="M773" s="7"/>
      <c r="N773" s="7"/>
      <c r="O773" s="7"/>
    </row>
    <row r="774">
      <c r="I774" s="7"/>
      <c r="J774" s="7"/>
      <c r="K774" s="7"/>
      <c r="L774" s="7"/>
      <c r="M774" s="7"/>
      <c r="N774" s="7"/>
      <c r="O774" s="7"/>
    </row>
    <row r="775">
      <c r="I775" s="7"/>
      <c r="J775" s="7"/>
      <c r="K775" s="7"/>
      <c r="L775" s="7"/>
      <c r="M775" s="7"/>
      <c r="N775" s="7"/>
      <c r="O775" s="7"/>
    </row>
    <row r="776">
      <c r="I776" s="7"/>
      <c r="J776" s="7"/>
      <c r="K776" s="7"/>
      <c r="L776" s="7"/>
      <c r="M776" s="7"/>
      <c r="N776" s="7"/>
      <c r="O776" s="7"/>
    </row>
    <row r="777">
      <c r="I777" s="7"/>
      <c r="J777" s="7"/>
      <c r="K777" s="7"/>
      <c r="L777" s="7"/>
      <c r="M777" s="7"/>
      <c r="N777" s="7"/>
      <c r="O777" s="7"/>
    </row>
    <row r="778">
      <c r="I778" s="7"/>
      <c r="J778" s="7"/>
      <c r="K778" s="7"/>
      <c r="L778" s="7"/>
      <c r="M778" s="7"/>
      <c r="N778" s="7"/>
      <c r="O778" s="7"/>
    </row>
    <row r="779">
      <c r="I779" s="7"/>
      <c r="J779" s="7"/>
      <c r="K779" s="7"/>
      <c r="L779" s="7"/>
      <c r="M779" s="7"/>
      <c r="N779" s="7"/>
      <c r="O779" s="7"/>
    </row>
    <row r="780">
      <c r="I780" s="7"/>
      <c r="J780" s="7"/>
      <c r="K780" s="7"/>
      <c r="L780" s="7"/>
      <c r="M780" s="7"/>
      <c r="N780" s="7"/>
      <c r="O780" s="7"/>
    </row>
    <row r="781">
      <c r="I781" s="7"/>
      <c r="J781" s="7"/>
      <c r="K781" s="7"/>
      <c r="L781" s="7"/>
      <c r="M781" s="7"/>
      <c r="N781" s="7"/>
      <c r="O781" s="7"/>
    </row>
    <row r="782">
      <c r="I782" s="7"/>
      <c r="J782" s="7"/>
      <c r="K782" s="7"/>
      <c r="L782" s="7"/>
      <c r="M782" s="7"/>
      <c r="N782" s="7"/>
      <c r="O782" s="7"/>
    </row>
    <row r="783">
      <c r="I783" s="7"/>
      <c r="J783" s="7"/>
      <c r="K783" s="7"/>
      <c r="L783" s="7"/>
      <c r="M783" s="7"/>
      <c r="N783" s="7"/>
      <c r="O783" s="7"/>
    </row>
    <row r="784">
      <c r="I784" s="7"/>
      <c r="J784" s="7"/>
      <c r="K784" s="7"/>
      <c r="L784" s="7"/>
      <c r="M784" s="7"/>
      <c r="N784" s="7"/>
      <c r="O784" s="7"/>
    </row>
    <row r="785">
      <c r="I785" s="7"/>
      <c r="J785" s="7"/>
      <c r="K785" s="7"/>
      <c r="L785" s="7"/>
      <c r="M785" s="7"/>
      <c r="N785" s="7"/>
      <c r="O785" s="7"/>
    </row>
    <row r="786">
      <c r="I786" s="7"/>
      <c r="J786" s="7"/>
      <c r="K786" s="7"/>
      <c r="L786" s="7"/>
      <c r="M786" s="7"/>
      <c r="N786" s="7"/>
      <c r="O786" s="7"/>
    </row>
    <row r="787">
      <c r="I787" s="7"/>
      <c r="J787" s="7"/>
      <c r="K787" s="7"/>
      <c r="L787" s="7"/>
      <c r="M787" s="7"/>
      <c r="N787" s="7"/>
      <c r="O787" s="7"/>
    </row>
    <row r="788">
      <c r="I788" s="7"/>
      <c r="J788" s="7"/>
      <c r="K788" s="7"/>
      <c r="L788" s="7"/>
      <c r="M788" s="7"/>
      <c r="N788" s="7"/>
      <c r="O788" s="7"/>
    </row>
    <row r="789">
      <c r="I789" s="7"/>
      <c r="J789" s="7"/>
      <c r="K789" s="7"/>
      <c r="L789" s="7"/>
      <c r="M789" s="7"/>
      <c r="N789" s="7"/>
      <c r="O789" s="7"/>
    </row>
    <row r="790">
      <c r="I790" s="7"/>
      <c r="J790" s="7"/>
      <c r="K790" s="7"/>
      <c r="L790" s="7"/>
      <c r="M790" s="7"/>
      <c r="N790" s="7"/>
      <c r="O790" s="7"/>
    </row>
    <row r="791">
      <c r="I791" s="7"/>
      <c r="J791" s="7"/>
      <c r="K791" s="7"/>
      <c r="L791" s="7"/>
      <c r="M791" s="7"/>
      <c r="N791" s="7"/>
      <c r="O791" s="7"/>
    </row>
    <row r="792">
      <c r="I792" s="7"/>
      <c r="J792" s="7"/>
      <c r="K792" s="7"/>
      <c r="L792" s="7"/>
      <c r="M792" s="7"/>
      <c r="N792" s="7"/>
      <c r="O792" s="7"/>
    </row>
    <row r="793">
      <c r="I793" s="7"/>
      <c r="J793" s="7"/>
      <c r="K793" s="7"/>
      <c r="L793" s="7"/>
      <c r="M793" s="7"/>
      <c r="N793" s="7"/>
      <c r="O793" s="7"/>
    </row>
    <row r="794">
      <c r="I794" s="7"/>
      <c r="J794" s="7"/>
      <c r="K794" s="7"/>
      <c r="L794" s="7"/>
      <c r="M794" s="7"/>
      <c r="N794" s="7"/>
      <c r="O794" s="7"/>
    </row>
    <row r="795">
      <c r="I795" s="7"/>
      <c r="J795" s="7"/>
      <c r="K795" s="7"/>
      <c r="L795" s="7"/>
      <c r="M795" s="7"/>
      <c r="N795" s="7"/>
      <c r="O795" s="7"/>
    </row>
    <row r="796">
      <c r="I796" s="7"/>
      <c r="J796" s="7"/>
      <c r="K796" s="7"/>
      <c r="L796" s="7"/>
      <c r="M796" s="7"/>
      <c r="N796" s="7"/>
      <c r="O796" s="7"/>
    </row>
    <row r="797">
      <c r="I797" s="7"/>
      <c r="J797" s="7"/>
      <c r="K797" s="7"/>
      <c r="L797" s="7"/>
      <c r="M797" s="7"/>
      <c r="N797" s="7"/>
      <c r="O797" s="7"/>
    </row>
    <row r="798">
      <c r="I798" s="7"/>
      <c r="J798" s="7"/>
      <c r="K798" s="7"/>
      <c r="L798" s="7"/>
      <c r="M798" s="7"/>
      <c r="N798" s="7"/>
      <c r="O798" s="7"/>
    </row>
    <row r="799">
      <c r="I799" s="7"/>
      <c r="J799" s="7"/>
      <c r="K799" s="7"/>
      <c r="L799" s="7"/>
      <c r="M799" s="7"/>
      <c r="N799" s="7"/>
      <c r="O799" s="7"/>
    </row>
    <row r="800">
      <c r="I800" s="7"/>
      <c r="J800" s="7"/>
      <c r="K800" s="7"/>
      <c r="L800" s="7"/>
      <c r="M800" s="7"/>
      <c r="N800" s="7"/>
      <c r="O800" s="7"/>
    </row>
    <row r="801">
      <c r="I801" s="7"/>
      <c r="J801" s="7"/>
      <c r="K801" s="7"/>
      <c r="L801" s="7"/>
      <c r="M801" s="7"/>
      <c r="N801" s="7"/>
      <c r="O801" s="7"/>
    </row>
    <row r="802">
      <c r="I802" s="7"/>
      <c r="J802" s="7"/>
      <c r="K802" s="7"/>
      <c r="L802" s="7"/>
      <c r="M802" s="7"/>
      <c r="N802" s="7"/>
      <c r="O802" s="7"/>
    </row>
    <row r="803">
      <c r="I803" s="7"/>
      <c r="J803" s="7"/>
      <c r="K803" s="7"/>
      <c r="L803" s="7"/>
      <c r="M803" s="7"/>
      <c r="N803" s="7"/>
      <c r="O803" s="7"/>
    </row>
    <row r="804">
      <c r="I804" s="7"/>
      <c r="J804" s="7"/>
      <c r="K804" s="7"/>
      <c r="L804" s="7"/>
      <c r="M804" s="7"/>
      <c r="N804" s="7"/>
      <c r="O804" s="7"/>
    </row>
    <row r="805">
      <c r="I805" s="7"/>
      <c r="J805" s="7"/>
      <c r="K805" s="7"/>
      <c r="L805" s="7"/>
      <c r="M805" s="7"/>
      <c r="N805" s="7"/>
      <c r="O805" s="7"/>
    </row>
    <row r="806">
      <c r="I806" s="7"/>
      <c r="J806" s="7"/>
      <c r="K806" s="7"/>
      <c r="L806" s="7"/>
      <c r="M806" s="7"/>
      <c r="N806" s="7"/>
      <c r="O806" s="7"/>
    </row>
    <row r="807">
      <c r="I807" s="7"/>
      <c r="J807" s="7"/>
      <c r="K807" s="7"/>
      <c r="L807" s="7"/>
      <c r="M807" s="7"/>
      <c r="N807" s="7"/>
      <c r="O807" s="7"/>
    </row>
    <row r="808">
      <c r="I808" s="7"/>
      <c r="J808" s="7"/>
      <c r="K808" s="7"/>
      <c r="L808" s="7"/>
      <c r="M808" s="7"/>
      <c r="N808" s="7"/>
      <c r="O808" s="7"/>
    </row>
    <row r="809">
      <c r="I809" s="7"/>
      <c r="J809" s="7"/>
      <c r="K809" s="7"/>
      <c r="L809" s="7"/>
      <c r="M809" s="7"/>
      <c r="N809" s="7"/>
      <c r="O809" s="7"/>
    </row>
    <row r="810">
      <c r="I810" s="7"/>
      <c r="J810" s="7"/>
      <c r="K810" s="7"/>
      <c r="L810" s="7"/>
      <c r="M810" s="7"/>
      <c r="N810" s="7"/>
      <c r="O810" s="7"/>
    </row>
    <row r="811">
      <c r="I811" s="7"/>
      <c r="J811" s="7"/>
      <c r="K811" s="7"/>
      <c r="L811" s="7"/>
      <c r="M811" s="7"/>
      <c r="N811" s="7"/>
      <c r="O811" s="7"/>
    </row>
    <row r="812">
      <c r="I812" s="7"/>
      <c r="J812" s="7"/>
      <c r="K812" s="7"/>
      <c r="L812" s="7"/>
      <c r="M812" s="7"/>
      <c r="N812" s="7"/>
      <c r="O812" s="7"/>
    </row>
    <row r="813">
      <c r="I813" s="7"/>
      <c r="J813" s="7"/>
      <c r="K813" s="7"/>
      <c r="L813" s="7"/>
      <c r="M813" s="7"/>
      <c r="N813" s="7"/>
      <c r="O813" s="7"/>
    </row>
    <row r="814">
      <c r="I814" s="7"/>
      <c r="J814" s="7"/>
      <c r="K814" s="7"/>
      <c r="L814" s="7"/>
      <c r="M814" s="7"/>
      <c r="N814" s="7"/>
      <c r="O814" s="7"/>
    </row>
    <row r="815">
      <c r="I815" s="7"/>
      <c r="J815" s="7"/>
      <c r="K815" s="7"/>
      <c r="L815" s="7"/>
      <c r="M815" s="7"/>
      <c r="N815" s="7"/>
      <c r="O815" s="7"/>
    </row>
    <row r="816">
      <c r="I816" s="7"/>
      <c r="J816" s="7"/>
      <c r="K816" s="7"/>
      <c r="L816" s="7"/>
      <c r="M816" s="7"/>
      <c r="N816" s="7"/>
      <c r="O816" s="7"/>
    </row>
    <row r="817">
      <c r="I817" s="7"/>
      <c r="J817" s="7"/>
      <c r="K817" s="7"/>
      <c r="L817" s="7"/>
      <c r="M817" s="7"/>
      <c r="N817" s="7"/>
      <c r="O817" s="7"/>
    </row>
    <row r="818">
      <c r="I818" s="7"/>
      <c r="J818" s="7"/>
      <c r="K818" s="7"/>
      <c r="L818" s="7"/>
      <c r="M818" s="7"/>
      <c r="N818" s="7"/>
      <c r="O818" s="7"/>
    </row>
    <row r="819">
      <c r="I819" s="7"/>
      <c r="J819" s="7"/>
      <c r="K819" s="7"/>
      <c r="L819" s="7"/>
      <c r="M819" s="7"/>
      <c r="N819" s="7"/>
      <c r="O819" s="7"/>
    </row>
    <row r="820">
      <c r="I820" s="7"/>
      <c r="J820" s="7"/>
      <c r="K820" s="7"/>
      <c r="L820" s="7"/>
      <c r="M820" s="7"/>
      <c r="N820" s="7"/>
      <c r="O820" s="7"/>
    </row>
    <row r="821">
      <c r="I821" s="7"/>
      <c r="J821" s="7"/>
      <c r="K821" s="7"/>
      <c r="L821" s="7"/>
      <c r="M821" s="7"/>
      <c r="N821" s="7"/>
      <c r="O821" s="7"/>
    </row>
    <row r="822">
      <c r="I822" s="7"/>
      <c r="J822" s="7"/>
      <c r="K822" s="7"/>
      <c r="L822" s="7"/>
      <c r="M822" s="7"/>
      <c r="N822" s="7"/>
      <c r="O822" s="7"/>
    </row>
    <row r="823">
      <c r="I823" s="7"/>
      <c r="J823" s="7"/>
      <c r="K823" s="7"/>
      <c r="L823" s="7"/>
      <c r="M823" s="7"/>
      <c r="N823" s="7"/>
      <c r="O823" s="7"/>
    </row>
    <row r="824">
      <c r="I824" s="7"/>
      <c r="J824" s="7"/>
      <c r="K824" s="7"/>
      <c r="L824" s="7"/>
      <c r="M824" s="7"/>
      <c r="N824" s="7"/>
      <c r="O824" s="7"/>
    </row>
    <row r="825">
      <c r="I825" s="7"/>
      <c r="J825" s="7"/>
      <c r="K825" s="7"/>
      <c r="L825" s="7"/>
      <c r="M825" s="7"/>
      <c r="N825" s="7"/>
      <c r="O825" s="7"/>
    </row>
    <row r="826">
      <c r="I826" s="7"/>
      <c r="J826" s="7"/>
      <c r="K826" s="7"/>
      <c r="L826" s="7"/>
      <c r="M826" s="7"/>
      <c r="N826" s="7"/>
      <c r="O826" s="7"/>
    </row>
    <row r="827">
      <c r="I827" s="7"/>
      <c r="J827" s="7"/>
      <c r="K827" s="7"/>
      <c r="L827" s="7"/>
      <c r="M827" s="7"/>
      <c r="N827" s="7"/>
      <c r="O827" s="7"/>
    </row>
    <row r="828">
      <c r="I828" s="7"/>
      <c r="J828" s="7"/>
      <c r="K828" s="7"/>
      <c r="L828" s="7"/>
      <c r="M828" s="7"/>
      <c r="N828" s="7"/>
      <c r="O828" s="7"/>
    </row>
    <row r="829">
      <c r="I829" s="7"/>
      <c r="J829" s="7"/>
      <c r="K829" s="7"/>
      <c r="L829" s="7"/>
      <c r="M829" s="7"/>
      <c r="N829" s="7"/>
      <c r="O829" s="7"/>
    </row>
    <row r="830">
      <c r="I830" s="7"/>
      <c r="J830" s="7"/>
      <c r="K830" s="7"/>
      <c r="L830" s="7"/>
      <c r="M830" s="7"/>
      <c r="N830" s="7"/>
      <c r="O830" s="7"/>
    </row>
    <row r="831">
      <c r="I831" s="7"/>
      <c r="J831" s="7"/>
      <c r="K831" s="7"/>
      <c r="L831" s="7"/>
      <c r="M831" s="7"/>
      <c r="N831" s="7"/>
      <c r="O831" s="7"/>
    </row>
    <row r="832">
      <c r="I832" s="7"/>
      <c r="J832" s="7"/>
      <c r="K832" s="7"/>
      <c r="L832" s="7"/>
      <c r="M832" s="7"/>
      <c r="N832" s="7"/>
      <c r="O832" s="7"/>
    </row>
    <row r="833">
      <c r="I833" s="7"/>
      <c r="J833" s="7"/>
      <c r="K833" s="7"/>
      <c r="L833" s="7"/>
      <c r="M833" s="7"/>
      <c r="N833" s="7"/>
      <c r="O833" s="7"/>
    </row>
    <row r="834">
      <c r="I834" s="7"/>
      <c r="J834" s="7"/>
      <c r="K834" s="7"/>
      <c r="L834" s="7"/>
      <c r="M834" s="7"/>
      <c r="N834" s="7"/>
      <c r="O834" s="7"/>
    </row>
    <row r="835">
      <c r="I835" s="7"/>
      <c r="J835" s="7"/>
      <c r="K835" s="7"/>
      <c r="L835" s="7"/>
      <c r="M835" s="7"/>
      <c r="N835" s="7"/>
      <c r="O835" s="7"/>
    </row>
    <row r="836">
      <c r="I836" s="7"/>
      <c r="J836" s="7"/>
      <c r="K836" s="7"/>
      <c r="L836" s="7"/>
      <c r="M836" s="7"/>
      <c r="N836" s="7"/>
      <c r="O836" s="7"/>
    </row>
    <row r="837">
      <c r="I837" s="7"/>
      <c r="J837" s="7"/>
      <c r="K837" s="7"/>
      <c r="L837" s="7"/>
      <c r="M837" s="7"/>
      <c r="N837" s="7"/>
      <c r="O837" s="7"/>
    </row>
    <row r="838">
      <c r="I838" s="7"/>
      <c r="J838" s="7"/>
      <c r="K838" s="7"/>
      <c r="L838" s="7"/>
      <c r="M838" s="7"/>
      <c r="N838" s="7"/>
      <c r="O838" s="7"/>
    </row>
    <row r="839">
      <c r="I839" s="7"/>
      <c r="J839" s="7"/>
      <c r="K839" s="7"/>
      <c r="L839" s="7"/>
      <c r="M839" s="7"/>
      <c r="N839" s="7"/>
      <c r="O839" s="7"/>
    </row>
    <row r="840">
      <c r="I840" s="7"/>
      <c r="J840" s="7"/>
      <c r="K840" s="7"/>
      <c r="L840" s="7"/>
      <c r="M840" s="7"/>
      <c r="N840" s="7"/>
      <c r="O840" s="7"/>
    </row>
    <row r="841">
      <c r="I841" s="7"/>
      <c r="J841" s="7"/>
      <c r="K841" s="7"/>
      <c r="L841" s="7"/>
      <c r="M841" s="7"/>
      <c r="N841" s="7"/>
      <c r="O841" s="7"/>
    </row>
    <row r="842">
      <c r="I842" s="7"/>
      <c r="J842" s="7"/>
      <c r="K842" s="7"/>
      <c r="L842" s="7"/>
      <c r="M842" s="7"/>
      <c r="N842" s="7"/>
      <c r="O842" s="7"/>
    </row>
    <row r="843">
      <c r="I843" s="7"/>
      <c r="J843" s="7"/>
      <c r="K843" s="7"/>
      <c r="L843" s="7"/>
      <c r="M843" s="7"/>
      <c r="N843" s="7"/>
      <c r="O843" s="7"/>
    </row>
    <row r="844">
      <c r="I844" s="7"/>
      <c r="J844" s="7"/>
      <c r="K844" s="7"/>
      <c r="L844" s="7"/>
      <c r="M844" s="7"/>
      <c r="N844" s="7"/>
      <c r="O844" s="7"/>
    </row>
    <row r="845">
      <c r="I845" s="7"/>
      <c r="J845" s="7"/>
      <c r="K845" s="7"/>
      <c r="L845" s="7"/>
      <c r="M845" s="7"/>
      <c r="N845" s="7"/>
      <c r="O845" s="7"/>
    </row>
    <row r="846">
      <c r="I846" s="7"/>
      <c r="J846" s="7"/>
      <c r="K846" s="7"/>
      <c r="L846" s="7"/>
      <c r="M846" s="7"/>
      <c r="N846" s="7"/>
      <c r="O846" s="7"/>
    </row>
    <row r="847">
      <c r="I847" s="7"/>
      <c r="J847" s="7"/>
      <c r="K847" s="7"/>
      <c r="L847" s="7"/>
      <c r="M847" s="7"/>
      <c r="N847" s="7"/>
      <c r="O847" s="7"/>
    </row>
    <row r="848">
      <c r="I848" s="7"/>
      <c r="J848" s="7"/>
      <c r="K848" s="7"/>
      <c r="L848" s="7"/>
      <c r="M848" s="7"/>
      <c r="N848" s="7"/>
      <c r="O848" s="7"/>
    </row>
    <row r="849">
      <c r="I849" s="7"/>
      <c r="J849" s="7"/>
      <c r="K849" s="7"/>
      <c r="L849" s="7"/>
      <c r="M849" s="7"/>
      <c r="N849" s="7"/>
      <c r="O849" s="7"/>
    </row>
    <row r="850">
      <c r="I850" s="7"/>
      <c r="J850" s="7"/>
      <c r="K850" s="7"/>
      <c r="L850" s="7"/>
      <c r="M850" s="7"/>
      <c r="N850" s="7"/>
      <c r="O850" s="7"/>
    </row>
    <row r="851">
      <c r="I851" s="7"/>
      <c r="J851" s="7"/>
      <c r="K851" s="7"/>
      <c r="L851" s="7"/>
      <c r="M851" s="7"/>
      <c r="N851" s="7"/>
      <c r="O851" s="7"/>
    </row>
    <row r="852">
      <c r="I852" s="7"/>
      <c r="J852" s="7"/>
      <c r="K852" s="7"/>
      <c r="L852" s="7"/>
      <c r="M852" s="7"/>
      <c r="N852" s="7"/>
      <c r="O852" s="7"/>
    </row>
    <row r="853">
      <c r="I853" s="7"/>
      <c r="J853" s="7"/>
      <c r="K853" s="7"/>
      <c r="L853" s="7"/>
      <c r="M853" s="7"/>
      <c r="N853" s="7"/>
      <c r="O853" s="7"/>
    </row>
    <row r="854">
      <c r="I854" s="7"/>
      <c r="J854" s="7"/>
      <c r="K854" s="7"/>
      <c r="L854" s="7"/>
      <c r="M854" s="7"/>
      <c r="N854" s="7"/>
      <c r="O854" s="7"/>
    </row>
    <row r="855">
      <c r="I855" s="7"/>
      <c r="J855" s="7"/>
      <c r="K855" s="7"/>
      <c r="L855" s="7"/>
      <c r="M855" s="7"/>
      <c r="N855" s="7"/>
      <c r="O855" s="7"/>
    </row>
    <row r="856">
      <c r="I856" s="7"/>
      <c r="J856" s="7"/>
      <c r="K856" s="7"/>
      <c r="L856" s="7"/>
      <c r="M856" s="7"/>
      <c r="N856" s="7"/>
      <c r="O856" s="7"/>
    </row>
    <row r="857">
      <c r="I857" s="7"/>
      <c r="J857" s="7"/>
      <c r="K857" s="7"/>
      <c r="L857" s="7"/>
      <c r="M857" s="7"/>
      <c r="N857" s="7"/>
      <c r="O857" s="7"/>
    </row>
    <row r="858">
      <c r="I858" s="7"/>
      <c r="J858" s="7"/>
      <c r="K858" s="7"/>
      <c r="L858" s="7"/>
      <c r="M858" s="7"/>
      <c r="N858" s="7"/>
      <c r="O858" s="7"/>
    </row>
    <row r="859">
      <c r="I859" s="7"/>
      <c r="J859" s="7"/>
      <c r="K859" s="7"/>
      <c r="L859" s="7"/>
      <c r="M859" s="7"/>
      <c r="N859" s="7"/>
      <c r="O859" s="7"/>
    </row>
    <row r="860">
      <c r="I860" s="7"/>
      <c r="J860" s="7"/>
      <c r="K860" s="7"/>
      <c r="L860" s="7"/>
      <c r="M860" s="7"/>
      <c r="N860" s="7"/>
      <c r="O860" s="7"/>
    </row>
    <row r="861">
      <c r="I861" s="7"/>
      <c r="J861" s="7"/>
      <c r="K861" s="7"/>
      <c r="L861" s="7"/>
      <c r="M861" s="7"/>
      <c r="N861" s="7"/>
      <c r="O861" s="7"/>
    </row>
    <row r="862">
      <c r="I862" s="7"/>
      <c r="J862" s="7"/>
      <c r="K862" s="7"/>
      <c r="L862" s="7"/>
      <c r="M862" s="7"/>
      <c r="N862" s="7"/>
      <c r="O862" s="7"/>
    </row>
    <row r="863">
      <c r="I863" s="7"/>
      <c r="J863" s="7"/>
      <c r="K863" s="7"/>
      <c r="L863" s="7"/>
      <c r="M863" s="7"/>
      <c r="N863" s="7"/>
      <c r="O863" s="7"/>
    </row>
    <row r="864">
      <c r="I864" s="7"/>
      <c r="J864" s="7"/>
      <c r="K864" s="7"/>
      <c r="L864" s="7"/>
      <c r="M864" s="7"/>
      <c r="N864" s="7"/>
      <c r="O864" s="7"/>
    </row>
    <row r="865">
      <c r="I865" s="7"/>
      <c r="J865" s="7"/>
      <c r="K865" s="7"/>
      <c r="L865" s="7"/>
      <c r="M865" s="7"/>
      <c r="N865" s="7"/>
      <c r="O865" s="7"/>
    </row>
    <row r="866">
      <c r="I866" s="7"/>
      <c r="J866" s="7"/>
      <c r="K866" s="7"/>
      <c r="L866" s="7"/>
      <c r="M866" s="7"/>
      <c r="N866" s="7"/>
      <c r="O866" s="7"/>
    </row>
    <row r="867">
      <c r="I867" s="7"/>
      <c r="J867" s="7"/>
      <c r="K867" s="7"/>
      <c r="L867" s="7"/>
      <c r="M867" s="7"/>
      <c r="N867" s="7"/>
      <c r="O867" s="7"/>
    </row>
    <row r="868">
      <c r="I868" s="7"/>
      <c r="J868" s="7"/>
      <c r="K868" s="7"/>
      <c r="L868" s="7"/>
      <c r="M868" s="7"/>
      <c r="N868" s="7"/>
      <c r="O868" s="7"/>
    </row>
    <row r="869">
      <c r="I869" s="7"/>
      <c r="J869" s="7"/>
      <c r="K869" s="7"/>
      <c r="L869" s="7"/>
      <c r="M869" s="7"/>
      <c r="N869" s="7"/>
      <c r="O869" s="7"/>
    </row>
    <row r="870">
      <c r="I870" s="7"/>
      <c r="J870" s="7"/>
      <c r="K870" s="7"/>
      <c r="L870" s="7"/>
      <c r="M870" s="7"/>
      <c r="N870" s="7"/>
      <c r="O870" s="7"/>
    </row>
    <row r="871">
      <c r="I871" s="7"/>
      <c r="J871" s="7"/>
      <c r="K871" s="7"/>
      <c r="L871" s="7"/>
      <c r="M871" s="7"/>
      <c r="N871" s="7"/>
      <c r="O871" s="7"/>
    </row>
    <row r="872">
      <c r="I872" s="7"/>
      <c r="J872" s="7"/>
      <c r="K872" s="7"/>
      <c r="L872" s="7"/>
      <c r="M872" s="7"/>
      <c r="N872" s="7"/>
      <c r="O872" s="7"/>
    </row>
    <row r="873">
      <c r="I873" s="7"/>
      <c r="J873" s="7"/>
      <c r="K873" s="7"/>
      <c r="L873" s="7"/>
      <c r="M873" s="7"/>
      <c r="N873" s="7"/>
      <c r="O873" s="7"/>
    </row>
    <row r="874">
      <c r="I874" s="7"/>
      <c r="J874" s="7"/>
      <c r="K874" s="7"/>
      <c r="L874" s="7"/>
      <c r="M874" s="7"/>
      <c r="N874" s="7"/>
      <c r="O874" s="7"/>
    </row>
    <row r="875">
      <c r="I875" s="7"/>
      <c r="J875" s="7"/>
      <c r="K875" s="7"/>
      <c r="L875" s="7"/>
      <c r="M875" s="7"/>
      <c r="N875" s="7"/>
      <c r="O875" s="7"/>
    </row>
    <row r="876">
      <c r="I876" s="7"/>
      <c r="J876" s="7"/>
      <c r="K876" s="7"/>
      <c r="L876" s="7"/>
      <c r="M876" s="7"/>
      <c r="N876" s="7"/>
      <c r="O876" s="7"/>
    </row>
    <row r="877">
      <c r="I877" s="7"/>
      <c r="J877" s="7"/>
      <c r="K877" s="7"/>
      <c r="L877" s="7"/>
      <c r="M877" s="7"/>
      <c r="N877" s="7"/>
      <c r="O877" s="7"/>
    </row>
    <row r="878">
      <c r="I878" s="7"/>
      <c r="J878" s="7"/>
      <c r="K878" s="7"/>
      <c r="L878" s="7"/>
      <c r="M878" s="7"/>
      <c r="N878" s="7"/>
      <c r="O878" s="7"/>
    </row>
    <row r="879">
      <c r="I879" s="7"/>
      <c r="J879" s="7"/>
      <c r="K879" s="7"/>
      <c r="L879" s="7"/>
      <c r="M879" s="7"/>
      <c r="N879" s="7"/>
      <c r="O879" s="7"/>
    </row>
    <row r="880">
      <c r="I880" s="7"/>
      <c r="J880" s="7"/>
      <c r="K880" s="7"/>
      <c r="L880" s="7"/>
      <c r="M880" s="7"/>
      <c r="N880" s="7"/>
      <c r="O880" s="7"/>
    </row>
    <row r="881">
      <c r="I881" s="7"/>
      <c r="J881" s="7"/>
      <c r="K881" s="7"/>
      <c r="L881" s="7"/>
      <c r="M881" s="7"/>
      <c r="N881" s="7"/>
      <c r="O881" s="7"/>
    </row>
    <row r="882">
      <c r="I882" s="7"/>
      <c r="J882" s="7"/>
      <c r="K882" s="7"/>
      <c r="L882" s="7"/>
      <c r="M882" s="7"/>
      <c r="N882" s="7"/>
      <c r="O882" s="7"/>
    </row>
    <row r="883">
      <c r="I883" s="7"/>
      <c r="J883" s="7"/>
      <c r="K883" s="7"/>
      <c r="L883" s="7"/>
      <c r="M883" s="7"/>
      <c r="N883" s="7"/>
      <c r="O883" s="7"/>
    </row>
    <row r="884">
      <c r="I884" s="7"/>
      <c r="J884" s="7"/>
      <c r="K884" s="7"/>
      <c r="L884" s="7"/>
      <c r="M884" s="7"/>
      <c r="N884" s="7"/>
      <c r="O884" s="7"/>
    </row>
    <row r="885">
      <c r="I885" s="7"/>
      <c r="J885" s="7"/>
      <c r="K885" s="7"/>
      <c r="L885" s="7"/>
      <c r="M885" s="7"/>
      <c r="N885" s="7"/>
      <c r="O885" s="7"/>
    </row>
    <row r="886">
      <c r="I886" s="7"/>
      <c r="J886" s="7"/>
      <c r="K886" s="7"/>
      <c r="L886" s="7"/>
      <c r="M886" s="7"/>
      <c r="N886" s="7"/>
      <c r="O886" s="7"/>
    </row>
    <row r="887">
      <c r="I887" s="7"/>
      <c r="J887" s="7"/>
      <c r="K887" s="7"/>
      <c r="L887" s="7"/>
      <c r="M887" s="7"/>
      <c r="N887" s="7"/>
      <c r="O887" s="7"/>
    </row>
    <row r="888">
      <c r="I888" s="7"/>
      <c r="J888" s="7"/>
      <c r="K888" s="7"/>
      <c r="L888" s="7"/>
      <c r="M888" s="7"/>
      <c r="N888" s="7"/>
      <c r="O888" s="7"/>
    </row>
    <row r="889">
      <c r="I889" s="7"/>
      <c r="J889" s="7"/>
      <c r="K889" s="7"/>
      <c r="L889" s="7"/>
      <c r="M889" s="7"/>
      <c r="N889" s="7"/>
      <c r="O889" s="7"/>
    </row>
    <row r="890">
      <c r="I890" s="7"/>
      <c r="J890" s="7"/>
      <c r="K890" s="7"/>
      <c r="L890" s="7"/>
      <c r="M890" s="7"/>
      <c r="N890" s="7"/>
      <c r="O890" s="7"/>
    </row>
    <row r="891">
      <c r="I891" s="7"/>
      <c r="J891" s="7"/>
      <c r="K891" s="7"/>
      <c r="L891" s="7"/>
      <c r="M891" s="7"/>
      <c r="N891" s="7"/>
      <c r="O891" s="7"/>
    </row>
    <row r="892">
      <c r="I892" s="7"/>
      <c r="J892" s="7"/>
      <c r="K892" s="7"/>
      <c r="L892" s="7"/>
      <c r="M892" s="7"/>
      <c r="N892" s="7"/>
      <c r="O892" s="7"/>
    </row>
    <row r="893">
      <c r="I893" s="7"/>
      <c r="J893" s="7"/>
      <c r="K893" s="7"/>
      <c r="L893" s="7"/>
      <c r="M893" s="7"/>
      <c r="N893" s="7"/>
      <c r="O893" s="7"/>
    </row>
    <row r="894">
      <c r="I894" s="7"/>
      <c r="J894" s="7"/>
      <c r="K894" s="7"/>
      <c r="L894" s="7"/>
      <c r="M894" s="7"/>
      <c r="N894" s="7"/>
      <c r="O894" s="7"/>
    </row>
    <row r="895">
      <c r="I895" s="7"/>
      <c r="J895" s="7"/>
      <c r="K895" s="7"/>
      <c r="L895" s="7"/>
      <c r="M895" s="7"/>
      <c r="N895" s="7"/>
      <c r="O895" s="7"/>
    </row>
    <row r="896">
      <c r="I896" s="7"/>
      <c r="J896" s="7"/>
      <c r="K896" s="7"/>
      <c r="L896" s="7"/>
      <c r="M896" s="7"/>
      <c r="N896" s="7"/>
      <c r="O896" s="7"/>
    </row>
    <row r="897">
      <c r="I897" s="7"/>
      <c r="J897" s="7"/>
      <c r="K897" s="7"/>
      <c r="L897" s="7"/>
      <c r="M897" s="7"/>
      <c r="N897" s="7"/>
      <c r="O897" s="7"/>
    </row>
    <row r="898">
      <c r="I898" s="7"/>
      <c r="J898" s="7"/>
      <c r="K898" s="7"/>
      <c r="L898" s="7"/>
      <c r="M898" s="7"/>
      <c r="N898" s="7"/>
      <c r="O898" s="7"/>
    </row>
    <row r="899">
      <c r="I899" s="7"/>
      <c r="J899" s="7"/>
      <c r="K899" s="7"/>
      <c r="L899" s="7"/>
      <c r="M899" s="7"/>
      <c r="N899" s="7"/>
      <c r="O899" s="7"/>
    </row>
    <row r="900">
      <c r="I900" s="7"/>
      <c r="J900" s="7"/>
      <c r="K900" s="7"/>
      <c r="L900" s="7"/>
      <c r="M900" s="7"/>
      <c r="N900" s="7"/>
      <c r="O900" s="7"/>
    </row>
    <row r="901">
      <c r="I901" s="7"/>
      <c r="J901" s="7"/>
      <c r="K901" s="7"/>
      <c r="L901" s="7"/>
      <c r="M901" s="7"/>
      <c r="N901" s="7"/>
      <c r="O901" s="7"/>
    </row>
    <row r="902">
      <c r="I902" s="7"/>
      <c r="J902" s="7"/>
      <c r="K902" s="7"/>
      <c r="L902" s="7"/>
      <c r="M902" s="7"/>
      <c r="N902" s="7"/>
      <c r="O902" s="7"/>
    </row>
    <row r="903">
      <c r="I903" s="7"/>
      <c r="J903" s="7"/>
      <c r="K903" s="7"/>
      <c r="L903" s="7"/>
      <c r="M903" s="7"/>
      <c r="N903" s="7"/>
      <c r="O903" s="7"/>
    </row>
    <row r="904">
      <c r="I904" s="7"/>
      <c r="J904" s="7"/>
      <c r="K904" s="7"/>
      <c r="L904" s="7"/>
      <c r="M904" s="7"/>
      <c r="N904" s="7"/>
      <c r="O904" s="7"/>
    </row>
    <row r="905">
      <c r="I905" s="7"/>
      <c r="J905" s="7"/>
      <c r="K905" s="7"/>
      <c r="L905" s="7"/>
      <c r="M905" s="7"/>
      <c r="N905" s="7"/>
      <c r="O905" s="7"/>
    </row>
    <row r="906">
      <c r="I906" s="7"/>
      <c r="J906" s="7"/>
      <c r="K906" s="7"/>
      <c r="L906" s="7"/>
      <c r="M906" s="7"/>
      <c r="N906" s="7"/>
      <c r="O906" s="7"/>
    </row>
    <row r="907">
      <c r="I907" s="7"/>
      <c r="J907" s="7"/>
      <c r="K907" s="7"/>
      <c r="L907" s="7"/>
      <c r="M907" s="7"/>
      <c r="N907" s="7"/>
      <c r="O907" s="7"/>
    </row>
    <row r="908">
      <c r="I908" s="7"/>
      <c r="J908" s="7"/>
      <c r="K908" s="7"/>
      <c r="L908" s="7"/>
      <c r="M908" s="7"/>
      <c r="N908" s="7"/>
      <c r="O908" s="7"/>
    </row>
    <row r="909">
      <c r="I909" s="7"/>
      <c r="J909" s="7"/>
      <c r="K909" s="7"/>
      <c r="L909" s="7"/>
      <c r="M909" s="7"/>
      <c r="N909" s="7"/>
      <c r="O909" s="7"/>
    </row>
    <row r="910">
      <c r="I910" s="7"/>
      <c r="J910" s="7"/>
      <c r="K910" s="7"/>
      <c r="L910" s="7"/>
      <c r="M910" s="7"/>
      <c r="N910" s="7"/>
      <c r="O910" s="7"/>
    </row>
    <row r="911">
      <c r="I911" s="7"/>
      <c r="J911" s="7"/>
      <c r="K911" s="7"/>
      <c r="L911" s="7"/>
      <c r="M911" s="7"/>
      <c r="N911" s="7"/>
      <c r="O911" s="7"/>
    </row>
    <row r="912">
      <c r="I912" s="7"/>
      <c r="J912" s="7"/>
      <c r="K912" s="7"/>
      <c r="L912" s="7"/>
      <c r="M912" s="7"/>
      <c r="N912" s="7"/>
      <c r="O912" s="7"/>
    </row>
    <row r="913">
      <c r="I913" s="7"/>
      <c r="J913" s="7"/>
      <c r="K913" s="7"/>
      <c r="L913" s="7"/>
      <c r="M913" s="7"/>
      <c r="N913" s="7"/>
      <c r="O913" s="7"/>
    </row>
    <row r="914">
      <c r="I914" s="7"/>
      <c r="J914" s="7"/>
      <c r="K914" s="7"/>
      <c r="L914" s="7"/>
      <c r="M914" s="7"/>
      <c r="N914" s="7"/>
      <c r="O914" s="7"/>
    </row>
    <row r="915">
      <c r="I915" s="7"/>
      <c r="J915" s="7"/>
      <c r="K915" s="7"/>
      <c r="L915" s="7"/>
      <c r="M915" s="7"/>
      <c r="N915" s="7"/>
      <c r="O915" s="7"/>
    </row>
    <row r="916">
      <c r="I916" s="7"/>
      <c r="J916" s="7"/>
      <c r="K916" s="7"/>
      <c r="L916" s="7"/>
      <c r="M916" s="7"/>
      <c r="N916" s="7"/>
      <c r="O916" s="7"/>
    </row>
    <row r="917">
      <c r="I917" s="7"/>
      <c r="J917" s="7"/>
      <c r="K917" s="7"/>
      <c r="L917" s="7"/>
      <c r="M917" s="7"/>
      <c r="N917" s="7"/>
      <c r="O917" s="7"/>
    </row>
    <row r="918">
      <c r="I918" s="7"/>
      <c r="J918" s="7"/>
      <c r="K918" s="7"/>
      <c r="L918" s="7"/>
      <c r="M918" s="7"/>
      <c r="N918" s="7"/>
      <c r="O918" s="7"/>
    </row>
    <row r="919">
      <c r="I919" s="7"/>
      <c r="J919" s="7"/>
      <c r="K919" s="7"/>
      <c r="L919" s="7"/>
      <c r="M919" s="7"/>
      <c r="N919" s="7"/>
      <c r="O919" s="7"/>
    </row>
    <row r="920">
      <c r="I920" s="7"/>
      <c r="J920" s="7"/>
      <c r="K920" s="7"/>
      <c r="L920" s="7"/>
      <c r="M920" s="7"/>
      <c r="N920" s="7"/>
      <c r="O920" s="7"/>
    </row>
    <row r="921">
      <c r="I921" s="7"/>
      <c r="J921" s="7"/>
      <c r="K921" s="7"/>
      <c r="L921" s="7"/>
      <c r="M921" s="7"/>
      <c r="N921" s="7"/>
      <c r="O921" s="7"/>
    </row>
    <row r="922">
      <c r="I922" s="7"/>
      <c r="J922" s="7"/>
      <c r="K922" s="7"/>
      <c r="L922" s="7"/>
      <c r="M922" s="7"/>
      <c r="N922" s="7"/>
      <c r="O922" s="7"/>
    </row>
    <row r="923">
      <c r="I923" s="7"/>
      <c r="J923" s="7"/>
      <c r="K923" s="7"/>
      <c r="L923" s="7"/>
      <c r="M923" s="7"/>
      <c r="N923" s="7"/>
      <c r="O923" s="7"/>
    </row>
    <row r="924">
      <c r="I924" s="7"/>
      <c r="J924" s="7"/>
      <c r="K924" s="7"/>
      <c r="L924" s="7"/>
      <c r="M924" s="7"/>
      <c r="N924" s="7"/>
      <c r="O924" s="7"/>
    </row>
    <row r="925">
      <c r="I925" s="7"/>
      <c r="J925" s="7"/>
      <c r="K925" s="7"/>
      <c r="L925" s="7"/>
      <c r="M925" s="7"/>
      <c r="N925" s="7"/>
      <c r="O925" s="7"/>
    </row>
    <row r="926">
      <c r="I926" s="7"/>
      <c r="J926" s="7"/>
      <c r="K926" s="7"/>
      <c r="L926" s="7"/>
      <c r="M926" s="7"/>
      <c r="N926" s="7"/>
      <c r="O926" s="7"/>
    </row>
    <row r="927">
      <c r="I927" s="7"/>
      <c r="J927" s="7"/>
      <c r="K927" s="7"/>
      <c r="L927" s="7"/>
      <c r="M927" s="7"/>
      <c r="N927" s="7"/>
      <c r="O927" s="7"/>
    </row>
    <row r="928">
      <c r="I928" s="7"/>
      <c r="J928" s="7"/>
      <c r="K928" s="7"/>
      <c r="L928" s="7"/>
      <c r="M928" s="7"/>
      <c r="N928" s="7"/>
      <c r="O928" s="7"/>
    </row>
    <row r="929">
      <c r="I929" s="7"/>
      <c r="J929" s="7"/>
      <c r="K929" s="7"/>
      <c r="L929" s="7"/>
      <c r="M929" s="7"/>
      <c r="N929" s="7"/>
      <c r="O929" s="7"/>
    </row>
    <row r="930">
      <c r="I930" s="7"/>
      <c r="J930" s="7"/>
      <c r="K930" s="7"/>
      <c r="L930" s="7"/>
      <c r="M930" s="7"/>
      <c r="N930" s="7"/>
      <c r="O930" s="7"/>
    </row>
    <row r="931">
      <c r="I931" s="7"/>
      <c r="J931" s="7"/>
      <c r="K931" s="7"/>
      <c r="L931" s="7"/>
      <c r="M931" s="7"/>
      <c r="N931" s="7"/>
      <c r="O931" s="7"/>
    </row>
    <row r="932">
      <c r="I932" s="7"/>
      <c r="J932" s="7"/>
      <c r="K932" s="7"/>
      <c r="L932" s="7"/>
      <c r="M932" s="7"/>
      <c r="N932" s="7"/>
      <c r="O932" s="7"/>
    </row>
    <row r="933">
      <c r="I933" s="7"/>
      <c r="J933" s="7"/>
      <c r="K933" s="7"/>
      <c r="L933" s="7"/>
      <c r="M933" s="7"/>
      <c r="N933" s="7"/>
      <c r="O933" s="7"/>
    </row>
    <row r="934">
      <c r="I934" s="7"/>
      <c r="J934" s="7"/>
      <c r="K934" s="7"/>
      <c r="L934" s="7"/>
      <c r="M934" s="7"/>
      <c r="N934" s="7"/>
      <c r="O934" s="7"/>
    </row>
    <row r="935">
      <c r="I935" s="7"/>
      <c r="J935" s="7"/>
      <c r="K935" s="7"/>
      <c r="L935" s="7"/>
      <c r="M935" s="7"/>
      <c r="N935" s="7"/>
      <c r="O935" s="7"/>
    </row>
    <row r="936">
      <c r="I936" s="7"/>
      <c r="J936" s="7"/>
      <c r="K936" s="7"/>
      <c r="L936" s="7"/>
      <c r="M936" s="7"/>
      <c r="N936" s="7"/>
      <c r="O936" s="7"/>
    </row>
    <row r="937">
      <c r="I937" s="7"/>
      <c r="J937" s="7"/>
      <c r="K937" s="7"/>
      <c r="L937" s="7"/>
      <c r="M937" s="7"/>
      <c r="N937" s="7"/>
      <c r="O937" s="7"/>
    </row>
    <row r="938">
      <c r="I938" s="7"/>
      <c r="J938" s="7"/>
      <c r="K938" s="7"/>
      <c r="L938" s="7"/>
      <c r="M938" s="7"/>
      <c r="N938" s="7"/>
      <c r="O938" s="7"/>
    </row>
    <row r="939">
      <c r="I939" s="7"/>
      <c r="J939" s="7"/>
      <c r="K939" s="7"/>
      <c r="L939" s="7"/>
      <c r="M939" s="7"/>
      <c r="N939" s="7"/>
      <c r="O939" s="7"/>
    </row>
    <row r="940">
      <c r="I940" s="7"/>
      <c r="J940" s="7"/>
      <c r="K940" s="7"/>
      <c r="L940" s="7"/>
      <c r="M940" s="7"/>
      <c r="N940" s="7"/>
      <c r="O940" s="7"/>
    </row>
    <row r="941">
      <c r="I941" s="7"/>
      <c r="J941" s="7"/>
      <c r="K941" s="7"/>
      <c r="L941" s="7"/>
      <c r="M941" s="7"/>
      <c r="N941" s="7"/>
      <c r="O941" s="7"/>
    </row>
    <row r="942">
      <c r="I942" s="7"/>
      <c r="J942" s="7"/>
      <c r="K942" s="7"/>
      <c r="L942" s="7"/>
      <c r="M942" s="7"/>
      <c r="N942" s="7"/>
      <c r="O942" s="7"/>
    </row>
    <row r="943">
      <c r="I943" s="7"/>
      <c r="J943" s="7"/>
      <c r="K943" s="7"/>
      <c r="L943" s="7"/>
      <c r="M943" s="7"/>
      <c r="N943" s="7"/>
      <c r="O943" s="7"/>
    </row>
    <row r="944">
      <c r="I944" s="7"/>
      <c r="J944" s="7"/>
      <c r="K944" s="7"/>
      <c r="L944" s="7"/>
      <c r="M944" s="7"/>
      <c r="N944" s="7"/>
      <c r="O944" s="7"/>
    </row>
    <row r="945">
      <c r="I945" s="7"/>
      <c r="J945" s="7"/>
      <c r="K945" s="7"/>
      <c r="L945" s="7"/>
      <c r="M945" s="7"/>
      <c r="N945" s="7"/>
      <c r="O945" s="7"/>
    </row>
    <row r="946">
      <c r="I946" s="7"/>
      <c r="J946" s="7"/>
      <c r="K946" s="7"/>
      <c r="L946" s="7"/>
      <c r="M946" s="7"/>
      <c r="N946" s="7"/>
      <c r="O946" s="7"/>
    </row>
    <row r="947">
      <c r="I947" s="7"/>
      <c r="J947" s="7"/>
      <c r="K947" s="7"/>
      <c r="L947" s="7"/>
      <c r="M947" s="7"/>
      <c r="N947" s="7"/>
      <c r="O947" s="7"/>
    </row>
    <row r="948">
      <c r="I948" s="7"/>
      <c r="J948" s="7"/>
      <c r="K948" s="7"/>
      <c r="L948" s="7"/>
      <c r="M948" s="7"/>
      <c r="N948" s="7"/>
      <c r="O948" s="7"/>
    </row>
    <row r="949">
      <c r="I949" s="7"/>
      <c r="J949" s="7"/>
      <c r="K949" s="7"/>
      <c r="L949" s="7"/>
      <c r="M949" s="7"/>
      <c r="N949" s="7"/>
      <c r="O949" s="7"/>
    </row>
    <row r="950">
      <c r="I950" s="7"/>
      <c r="J950" s="7"/>
      <c r="K950" s="7"/>
      <c r="L950" s="7"/>
      <c r="M950" s="7"/>
      <c r="N950" s="7"/>
      <c r="O950" s="7"/>
    </row>
    <row r="951">
      <c r="I951" s="7"/>
      <c r="J951" s="7"/>
      <c r="K951" s="7"/>
      <c r="L951" s="7"/>
      <c r="M951" s="7"/>
      <c r="N951" s="7"/>
      <c r="O951" s="7"/>
    </row>
    <row r="952">
      <c r="I952" s="7"/>
      <c r="J952" s="7"/>
      <c r="K952" s="7"/>
      <c r="L952" s="7"/>
      <c r="M952" s="7"/>
      <c r="N952" s="7"/>
      <c r="O952" s="7"/>
    </row>
    <row r="953">
      <c r="I953" s="7"/>
      <c r="J953" s="7"/>
      <c r="K953" s="7"/>
      <c r="L953" s="7"/>
      <c r="M953" s="7"/>
      <c r="N953" s="7"/>
      <c r="O953" s="7"/>
    </row>
    <row r="954">
      <c r="I954" s="7"/>
      <c r="J954" s="7"/>
      <c r="K954" s="7"/>
      <c r="L954" s="7"/>
      <c r="M954" s="7"/>
      <c r="N954" s="7"/>
      <c r="O954" s="7"/>
    </row>
    <row r="955">
      <c r="I955" s="7"/>
      <c r="J955" s="7"/>
      <c r="K955" s="7"/>
      <c r="L955" s="7"/>
      <c r="M955" s="7"/>
      <c r="N955" s="7"/>
      <c r="O955" s="7"/>
    </row>
    <row r="956">
      <c r="I956" s="7"/>
      <c r="J956" s="7"/>
      <c r="K956" s="7"/>
      <c r="L956" s="7"/>
      <c r="M956" s="7"/>
      <c r="N956" s="7"/>
      <c r="O956" s="7"/>
    </row>
    <row r="957">
      <c r="I957" s="7"/>
      <c r="J957" s="7"/>
      <c r="K957" s="7"/>
      <c r="L957" s="7"/>
      <c r="M957" s="7"/>
      <c r="N957" s="7"/>
      <c r="O957" s="7"/>
    </row>
    <row r="958">
      <c r="I958" s="7"/>
      <c r="J958" s="7"/>
      <c r="K958" s="7"/>
      <c r="L958" s="7"/>
      <c r="M958" s="7"/>
      <c r="N958" s="7"/>
      <c r="O958" s="7"/>
    </row>
    <row r="959">
      <c r="I959" s="7"/>
      <c r="J959" s="7"/>
      <c r="K959" s="7"/>
      <c r="L959" s="7"/>
      <c r="M959" s="7"/>
      <c r="N959" s="7"/>
      <c r="O959" s="7"/>
    </row>
    <row r="960">
      <c r="I960" s="7"/>
      <c r="J960" s="7"/>
      <c r="K960" s="7"/>
      <c r="L960" s="7"/>
      <c r="M960" s="7"/>
      <c r="N960" s="7"/>
      <c r="O960" s="7"/>
    </row>
    <row r="961">
      <c r="I961" s="7"/>
      <c r="J961" s="7"/>
      <c r="K961" s="7"/>
      <c r="L961" s="7"/>
      <c r="M961" s="7"/>
      <c r="N961" s="7"/>
      <c r="O961" s="7"/>
    </row>
    <row r="962">
      <c r="I962" s="7"/>
      <c r="J962" s="7"/>
      <c r="K962" s="7"/>
      <c r="L962" s="7"/>
      <c r="M962" s="7"/>
      <c r="N962" s="7"/>
      <c r="O962" s="7"/>
    </row>
    <row r="963">
      <c r="I963" s="7"/>
      <c r="J963" s="7"/>
      <c r="K963" s="7"/>
      <c r="L963" s="7"/>
      <c r="M963" s="7"/>
      <c r="N963" s="7"/>
      <c r="O963" s="7"/>
    </row>
    <row r="964">
      <c r="I964" s="7"/>
      <c r="J964" s="7"/>
      <c r="K964" s="7"/>
      <c r="L964" s="7"/>
      <c r="M964" s="7"/>
      <c r="N964" s="7"/>
      <c r="O964" s="7"/>
    </row>
    <row r="965">
      <c r="I965" s="7"/>
      <c r="J965" s="7"/>
      <c r="K965" s="7"/>
      <c r="L965" s="7"/>
      <c r="M965" s="7"/>
      <c r="N965" s="7"/>
      <c r="O965" s="7"/>
    </row>
    <row r="966">
      <c r="I966" s="7"/>
      <c r="J966" s="7"/>
      <c r="K966" s="7"/>
      <c r="L966" s="7"/>
      <c r="M966" s="7"/>
      <c r="N966" s="7"/>
      <c r="O966" s="7"/>
    </row>
    <row r="967">
      <c r="I967" s="7"/>
      <c r="J967" s="7"/>
      <c r="K967" s="7"/>
      <c r="L967" s="7"/>
      <c r="M967" s="7"/>
      <c r="N967" s="7"/>
      <c r="O967" s="7"/>
    </row>
    <row r="968">
      <c r="I968" s="7"/>
      <c r="J968" s="7"/>
      <c r="K968" s="7"/>
      <c r="L968" s="7"/>
      <c r="M968" s="7"/>
      <c r="N968" s="7"/>
      <c r="O968" s="7"/>
    </row>
    <row r="969">
      <c r="I969" s="7"/>
      <c r="J969" s="7"/>
      <c r="K969" s="7"/>
      <c r="L969" s="7"/>
      <c r="M969" s="7"/>
      <c r="N969" s="7"/>
      <c r="O969" s="7"/>
    </row>
    <row r="970">
      <c r="I970" s="7"/>
      <c r="J970" s="7"/>
      <c r="K970" s="7"/>
      <c r="L970" s="7"/>
      <c r="M970" s="7"/>
      <c r="N970" s="7"/>
      <c r="O970" s="7"/>
    </row>
    <row r="971">
      <c r="I971" s="7"/>
      <c r="J971" s="7"/>
      <c r="K971" s="7"/>
      <c r="L971" s="7"/>
      <c r="M971" s="7"/>
      <c r="N971" s="7"/>
      <c r="O971" s="7"/>
    </row>
    <row r="972">
      <c r="I972" s="7"/>
      <c r="J972" s="7"/>
      <c r="K972" s="7"/>
      <c r="L972" s="7"/>
      <c r="M972" s="7"/>
      <c r="N972" s="7"/>
      <c r="O972" s="7"/>
    </row>
    <row r="973">
      <c r="I973" s="7"/>
      <c r="J973" s="7"/>
      <c r="K973" s="7"/>
      <c r="L973" s="7"/>
      <c r="M973" s="7"/>
      <c r="N973" s="7"/>
      <c r="O973" s="7"/>
    </row>
    <row r="974">
      <c r="I974" s="7"/>
      <c r="J974" s="7"/>
      <c r="K974" s="7"/>
      <c r="L974" s="7"/>
      <c r="M974" s="7"/>
      <c r="N974" s="7"/>
      <c r="O974" s="7"/>
    </row>
    <row r="975">
      <c r="I975" s="7"/>
      <c r="J975" s="7"/>
      <c r="K975" s="7"/>
      <c r="L975" s="7"/>
      <c r="M975" s="7"/>
      <c r="N975" s="7"/>
      <c r="O975" s="7"/>
    </row>
    <row r="976">
      <c r="I976" s="7"/>
      <c r="J976" s="7"/>
      <c r="K976" s="7"/>
      <c r="L976" s="7"/>
      <c r="M976" s="7"/>
      <c r="N976" s="7"/>
      <c r="O976" s="7"/>
    </row>
    <row r="977">
      <c r="I977" s="7"/>
      <c r="J977" s="7"/>
      <c r="K977" s="7"/>
      <c r="L977" s="7"/>
      <c r="M977" s="7"/>
      <c r="N977" s="7"/>
      <c r="O977" s="7"/>
    </row>
    <row r="978">
      <c r="I978" s="7"/>
      <c r="J978" s="7"/>
      <c r="K978" s="7"/>
      <c r="L978" s="7"/>
      <c r="M978" s="7"/>
      <c r="N978" s="7"/>
      <c r="O978" s="7"/>
    </row>
    <row r="979">
      <c r="I979" s="7"/>
      <c r="J979" s="7"/>
      <c r="K979" s="7"/>
      <c r="L979" s="7"/>
      <c r="M979" s="7"/>
      <c r="N979" s="7"/>
      <c r="O979" s="7"/>
    </row>
    <row r="980">
      <c r="I980" s="7"/>
      <c r="J980" s="7"/>
      <c r="K980" s="7"/>
      <c r="L980" s="7"/>
      <c r="M980" s="7"/>
      <c r="N980" s="7"/>
      <c r="O980" s="7"/>
    </row>
    <row r="981">
      <c r="I981" s="7"/>
      <c r="J981" s="7"/>
      <c r="K981" s="7"/>
      <c r="L981" s="7"/>
      <c r="M981" s="7"/>
      <c r="N981" s="7"/>
      <c r="O981" s="7"/>
    </row>
    <row r="982">
      <c r="I982" s="7"/>
      <c r="J982" s="7"/>
      <c r="K982" s="7"/>
      <c r="L982" s="7"/>
      <c r="M982" s="7"/>
      <c r="N982" s="7"/>
      <c r="O982" s="7"/>
    </row>
    <row r="983">
      <c r="I983" s="7"/>
      <c r="J983" s="7"/>
      <c r="K983" s="7"/>
      <c r="L983" s="7"/>
      <c r="M983" s="7"/>
      <c r="N983" s="7"/>
      <c r="O983" s="7"/>
    </row>
    <row r="984">
      <c r="I984" s="7"/>
      <c r="J984" s="7"/>
      <c r="K984" s="7"/>
      <c r="L984" s="7"/>
      <c r="M984" s="7"/>
      <c r="N984" s="7"/>
      <c r="O984" s="7"/>
    </row>
    <row r="985">
      <c r="I985" s="7"/>
      <c r="J985" s="7"/>
      <c r="K985" s="7"/>
      <c r="L985" s="7"/>
      <c r="M985" s="7"/>
      <c r="N985" s="7"/>
      <c r="O985" s="7"/>
    </row>
    <row r="986">
      <c r="I986" s="7"/>
      <c r="J986" s="7"/>
      <c r="K986" s="7"/>
      <c r="L986" s="7"/>
      <c r="M986" s="7"/>
      <c r="N986" s="7"/>
      <c r="O986" s="7"/>
    </row>
    <row r="987">
      <c r="I987" s="7"/>
      <c r="J987" s="7"/>
      <c r="K987" s="7"/>
      <c r="L987" s="7"/>
      <c r="M987" s="7"/>
      <c r="N987" s="7"/>
      <c r="O987" s="7"/>
    </row>
    <row r="988">
      <c r="I988" s="7"/>
      <c r="J988" s="7"/>
      <c r="K988" s="7"/>
      <c r="L988" s="7"/>
      <c r="M988" s="7"/>
      <c r="N988" s="7"/>
      <c r="O988" s="7"/>
    </row>
    <row r="989">
      <c r="I989" s="7"/>
      <c r="J989" s="7"/>
      <c r="K989" s="7"/>
      <c r="L989" s="7"/>
      <c r="M989" s="7"/>
      <c r="N989" s="7"/>
      <c r="O989" s="7"/>
    </row>
    <row r="990">
      <c r="I990" s="7"/>
      <c r="J990" s="7"/>
      <c r="K990" s="7"/>
      <c r="L990" s="7"/>
      <c r="M990" s="7"/>
      <c r="N990" s="7"/>
      <c r="O990" s="7"/>
    </row>
    <row r="991">
      <c r="I991" s="7"/>
      <c r="J991" s="7"/>
      <c r="K991" s="7"/>
      <c r="L991" s="7"/>
      <c r="M991" s="7"/>
      <c r="N991" s="7"/>
      <c r="O991" s="7"/>
    </row>
    <row r="992">
      <c r="I992" s="7"/>
      <c r="J992" s="7"/>
      <c r="K992" s="7"/>
      <c r="L992" s="7"/>
      <c r="M992" s="7"/>
      <c r="N992" s="7"/>
      <c r="O992" s="7"/>
    </row>
    <row r="993">
      <c r="I993" s="7"/>
      <c r="J993" s="7"/>
      <c r="K993" s="7"/>
      <c r="L993" s="7"/>
      <c r="M993" s="7"/>
      <c r="N993" s="7"/>
      <c r="O993" s="7"/>
    </row>
    <row r="994">
      <c r="I994" s="7"/>
      <c r="J994" s="7"/>
      <c r="K994" s="7"/>
      <c r="L994" s="7"/>
      <c r="M994" s="7"/>
      <c r="N994" s="7"/>
      <c r="O994" s="7"/>
    </row>
    <row r="995">
      <c r="I995" s="7"/>
      <c r="J995" s="7"/>
      <c r="K995" s="7"/>
      <c r="L995" s="7"/>
      <c r="M995" s="7"/>
      <c r="N995" s="7"/>
      <c r="O995" s="7"/>
    </row>
    <row r="996">
      <c r="I996" s="7"/>
      <c r="J996" s="7"/>
      <c r="K996" s="7"/>
      <c r="L996" s="7"/>
      <c r="M996" s="7"/>
      <c r="N996" s="7"/>
      <c r="O996" s="7"/>
    </row>
    <row r="997">
      <c r="I997" s="7"/>
      <c r="J997" s="7"/>
      <c r="K997" s="7"/>
      <c r="L997" s="7"/>
      <c r="M997" s="7"/>
      <c r="N997" s="7"/>
      <c r="O997" s="7"/>
    </row>
    <row r="998">
      <c r="I998" s="7"/>
      <c r="J998" s="7"/>
      <c r="K998" s="7"/>
      <c r="L998" s="7"/>
      <c r="M998" s="7"/>
      <c r="N998" s="7"/>
      <c r="O998" s="7"/>
    </row>
    <row r="999">
      <c r="I999" s="7"/>
      <c r="J999" s="7"/>
      <c r="K999" s="7"/>
      <c r="L999" s="7"/>
      <c r="M999" s="7"/>
      <c r="N999" s="7"/>
      <c r="O999" s="7"/>
    </row>
    <row r="1000">
      <c r="I1000" s="7"/>
      <c r="J1000" s="7"/>
      <c r="K1000" s="7"/>
      <c r="L1000" s="7"/>
      <c r="M1000" s="7"/>
      <c r="N1000" s="7"/>
      <c r="O1000" s="7"/>
    </row>
    <row r="1001">
      <c r="I1001" s="7"/>
      <c r="J1001" s="7"/>
      <c r="K1001" s="7"/>
      <c r="L1001" s="7"/>
      <c r="M1001" s="7"/>
      <c r="N1001" s="7"/>
      <c r="O1001" s="7"/>
    </row>
    <row r="1002">
      <c r="I1002" s="7"/>
      <c r="J1002" s="7"/>
      <c r="K1002" s="7"/>
      <c r="L1002" s="7"/>
      <c r="M1002" s="7"/>
      <c r="N1002" s="7"/>
      <c r="O1002" s="7"/>
    </row>
    <row r="1003">
      <c r="I1003" s="7"/>
      <c r="J1003" s="7"/>
      <c r="K1003" s="7"/>
      <c r="L1003" s="7"/>
      <c r="M1003" s="7"/>
      <c r="N1003" s="7"/>
      <c r="O1003" s="7"/>
    </row>
    <row r="1004">
      <c r="I1004" s="7"/>
      <c r="J1004" s="7"/>
      <c r="K1004" s="7"/>
      <c r="L1004" s="7"/>
      <c r="M1004" s="7"/>
      <c r="N1004" s="7"/>
      <c r="O1004" s="7"/>
    </row>
    <row r="1005">
      <c r="I1005" s="7"/>
      <c r="J1005" s="7"/>
      <c r="K1005" s="7"/>
      <c r="L1005" s="7"/>
      <c r="M1005" s="7"/>
      <c r="N1005" s="7"/>
      <c r="O1005" s="7"/>
    </row>
    <row r="1006">
      <c r="I1006" s="7"/>
      <c r="J1006" s="7"/>
      <c r="K1006" s="7"/>
      <c r="L1006" s="7"/>
      <c r="M1006" s="7"/>
      <c r="N1006" s="7"/>
      <c r="O1006" s="7"/>
    </row>
    <row r="1007">
      <c r="I1007" s="7"/>
      <c r="J1007" s="7"/>
      <c r="K1007" s="7"/>
      <c r="L1007" s="7"/>
      <c r="M1007" s="7"/>
      <c r="N1007" s="7"/>
      <c r="O1007" s="7"/>
    </row>
    <row r="1008">
      <c r="I1008" s="7"/>
      <c r="J1008" s="7"/>
      <c r="K1008" s="7"/>
      <c r="L1008" s="7"/>
      <c r="M1008" s="7"/>
      <c r="N1008" s="7"/>
      <c r="O1008" s="7"/>
    </row>
    <row r="1009">
      <c r="I1009" s="7"/>
      <c r="J1009" s="7"/>
      <c r="K1009" s="7"/>
      <c r="L1009" s="7"/>
      <c r="M1009" s="7"/>
      <c r="N1009" s="7"/>
      <c r="O1009" s="7"/>
    </row>
    <row r="1010">
      <c r="I1010" s="7"/>
      <c r="J1010" s="7"/>
      <c r="K1010" s="7"/>
      <c r="L1010" s="7"/>
      <c r="M1010" s="7"/>
      <c r="N1010" s="7"/>
      <c r="O1010" s="7"/>
    </row>
    <row r="1011">
      <c r="I1011" s="7"/>
      <c r="J1011" s="7"/>
      <c r="K1011" s="7"/>
      <c r="L1011" s="7"/>
      <c r="M1011" s="7"/>
      <c r="N1011" s="7"/>
      <c r="O1011" s="7"/>
    </row>
    <row r="1012">
      <c r="I1012" s="7"/>
      <c r="J1012" s="7"/>
      <c r="K1012" s="7"/>
      <c r="L1012" s="7"/>
      <c r="M1012" s="7"/>
      <c r="N1012" s="7"/>
      <c r="O1012" s="7"/>
    </row>
    <row r="1013">
      <c r="I1013" s="7"/>
      <c r="J1013" s="7"/>
      <c r="K1013" s="7"/>
      <c r="L1013" s="7"/>
      <c r="M1013" s="7"/>
      <c r="N1013" s="7"/>
      <c r="O1013" s="7"/>
    </row>
    <row r="1014">
      <c r="I1014" s="7"/>
      <c r="J1014" s="7"/>
      <c r="K1014" s="7"/>
      <c r="L1014" s="7"/>
      <c r="M1014" s="7"/>
      <c r="N1014" s="7"/>
      <c r="O1014" s="7"/>
    </row>
    <row r="1015">
      <c r="I1015" s="7"/>
      <c r="J1015" s="7"/>
      <c r="K1015" s="7"/>
      <c r="L1015" s="7"/>
      <c r="M1015" s="7"/>
      <c r="N1015" s="7"/>
      <c r="O1015" s="7"/>
    </row>
    <row r="1016">
      <c r="I1016" s="7"/>
      <c r="J1016" s="7"/>
      <c r="K1016" s="7"/>
      <c r="L1016" s="7"/>
      <c r="M1016" s="7"/>
      <c r="N1016" s="7"/>
      <c r="O1016" s="7"/>
    </row>
    <row r="1017">
      <c r="I1017" s="7"/>
      <c r="J1017" s="7"/>
      <c r="K1017" s="7"/>
      <c r="L1017" s="7"/>
      <c r="M1017" s="7"/>
      <c r="N1017" s="7"/>
      <c r="O1017" s="7"/>
    </row>
    <row r="1018">
      <c r="I1018" s="7"/>
      <c r="J1018" s="7"/>
      <c r="K1018" s="7"/>
      <c r="L1018" s="7"/>
      <c r="M1018" s="7"/>
      <c r="N1018" s="7"/>
      <c r="O1018" s="7"/>
    </row>
    <row r="1019">
      <c r="I1019" s="7"/>
      <c r="J1019" s="7"/>
      <c r="K1019" s="7"/>
      <c r="L1019" s="7"/>
      <c r="M1019" s="7"/>
      <c r="N1019" s="7"/>
      <c r="O1019" s="7"/>
    </row>
    <row r="1020">
      <c r="I1020" s="7"/>
      <c r="J1020" s="7"/>
      <c r="K1020" s="7"/>
      <c r="L1020" s="7"/>
      <c r="M1020" s="7"/>
      <c r="N1020" s="7"/>
      <c r="O1020" s="7"/>
    </row>
    <row r="1021">
      <c r="I1021" s="7"/>
      <c r="J1021" s="7"/>
      <c r="K1021" s="7"/>
      <c r="L1021" s="7"/>
      <c r="M1021" s="7"/>
      <c r="N1021" s="7"/>
      <c r="O1021" s="7"/>
    </row>
    <row r="1022">
      <c r="I1022" s="7"/>
      <c r="J1022" s="7"/>
      <c r="K1022" s="7"/>
      <c r="L1022" s="7"/>
      <c r="M1022" s="7"/>
      <c r="N1022" s="7"/>
      <c r="O1022" s="7"/>
    </row>
    <row r="1023">
      <c r="I1023" s="7"/>
      <c r="J1023" s="7"/>
      <c r="K1023" s="7"/>
      <c r="L1023" s="7"/>
      <c r="M1023" s="7"/>
      <c r="N1023" s="7"/>
      <c r="O1023" s="7"/>
    </row>
    <row r="1024">
      <c r="I1024" s="7"/>
      <c r="J1024" s="7"/>
      <c r="K1024" s="7"/>
      <c r="L1024" s="7"/>
      <c r="M1024" s="7"/>
      <c r="N1024" s="7"/>
      <c r="O1024" s="7"/>
    </row>
    <row r="1025">
      <c r="I1025" s="7"/>
      <c r="J1025" s="7"/>
      <c r="K1025" s="7"/>
      <c r="L1025" s="7"/>
      <c r="M1025" s="7"/>
      <c r="N1025" s="7"/>
      <c r="O1025" s="7"/>
    </row>
    <row r="1026">
      <c r="I1026" s="7"/>
      <c r="J1026" s="7"/>
      <c r="K1026" s="7"/>
      <c r="L1026" s="7"/>
      <c r="M1026" s="7"/>
      <c r="N1026" s="7"/>
      <c r="O1026" s="7"/>
    </row>
    <row r="1027">
      <c r="I1027" s="7"/>
      <c r="J1027" s="7"/>
      <c r="K1027" s="7"/>
      <c r="L1027" s="7"/>
      <c r="M1027" s="7"/>
      <c r="N1027" s="7"/>
      <c r="O1027" s="7"/>
    </row>
    <row r="1028">
      <c r="I1028" s="7"/>
      <c r="J1028" s="7"/>
      <c r="K1028" s="7"/>
      <c r="L1028" s="7"/>
      <c r="M1028" s="7"/>
      <c r="N1028" s="7"/>
      <c r="O1028" s="7"/>
    </row>
    <row r="1029">
      <c r="I1029" s="7"/>
      <c r="J1029" s="7"/>
      <c r="K1029" s="7"/>
      <c r="L1029" s="7"/>
      <c r="M1029" s="7"/>
      <c r="N1029" s="7"/>
      <c r="O1029" s="7"/>
    </row>
    <row r="1030">
      <c r="I1030" s="7"/>
      <c r="J1030" s="7"/>
      <c r="K1030" s="7"/>
      <c r="L1030" s="7"/>
      <c r="M1030" s="7"/>
      <c r="N1030" s="7"/>
      <c r="O1030" s="7"/>
    </row>
    <row r="1031">
      <c r="I1031" s="7"/>
      <c r="J1031" s="7"/>
      <c r="K1031" s="7"/>
      <c r="L1031" s="7"/>
      <c r="M1031" s="7"/>
      <c r="N1031" s="7"/>
      <c r="O1031" s="7"/>
    </row>
    <row r="1032">
      <c r="I1032" s="7"/>
      <c r="J1032" s="7"/>
      <c r="K1032" s="7"/>
      <c r="L1032" s="7"/>
      <c r="M1032" s="7"/>
      <c r="N1032" s="7"/>
      <c r="O1032" s="7"/>
    </row>
    <row r="1033">
      <c r="I1033" s="7"/>
      <c r="J1033" s="7"/>
      <c r="K1033" s="7"/>
      <c r="L1033" s="7"/>
      <c r="M1033" s="7"/>
      <c r="N1033" s="7"/>
      <c r="O1033" s="7"/>
    </row>
    <row r="1034">
      <c r="I1034" s="7"/>
      <c r="J1034" s="7"/>
      <c r="K1034" s="7"/>
      <c r="L1034" s="7"/>
      <c r="M1034" s="7"/>
      <c r="N1034" s="7"/>
      <c r="O1034" s="7"/>
    </row>
    <row r="1035">
      <c r="I1035" s="7"/>
      <c r="J1035" s="7"/>
      <c r="K1035" s="7"/>
      <c r="L1035" s="7"/>
      <c r="M1035" s="7"/>
      <c r="N1035" s="7"/>
      <c r="O1035" s="7"/>
    </row>
    <row r="1036">
      <c r="I1036" s="7"/>
      <c r="J1036" s="7"/>
      <c r="K1036" s="7"/>
      <c r="L1036" s="7"/>
      <c r="M1036" s="7"/>
      <c r="N1036" s="7"/>
      <c r="O1036" s="7"/>
    </row>
    <row r="1037">
      <c r="I1037" s="7"/>
      <c r="J1037" s="7"/>
      <c r="K1037" s="7"/>
      <c r="L1037" s="7"/>
      <c r="M1037" s="7"/>
      <c r="N1037" s="7"/>
      <c r="O1037" s="7"/>
    </row>
    <row r="1038">
      <c r="I1038" s="7"/>
      <c r="J1038" s="7"/>
      <c r="K1038" s="7"/>
      <c r="L1038" s="7"/>
      <c r="M1038" s="7"/>
      <c r="N1038" s="7"/>
      <c r="O1038" s="7"/>
    </row>
    <row r="1039">
      <c r="I1039" s="7"/>
      <c r="J1039" s="7"/>
      <c r="K1039" s="7"/>
      <c r="L1039" s="7"/>
      <c r="M1039" s="7"/>
      <c r="N1039" s="7"/>
      <c r="O1039" s="7"/>
    </row>
    <row r="1040">
      <c r="I1040" s="7"/>
      <c r="J1040" s="7"/>
      <c r="K1040" s="7"/>
      <c r="L1040" s="7"/>
      <c r="M1040" s="7"/>
      <c r="N1040" s="7"/>
      <c r="O1040" s="7"/>
    </row>
    <row r="1041">
      <c r="I1041" s="7"/>
      <c r="J1041" s="7"/>
      <c r="K1041" s="7"/>
      <c r="L1041" s="7"/>
      <c r="M1041" s="7"/>
      <c r="N1041" s="7"/>
      <c r="O1041" s="7"/>
    </row>
    <row r="1042">
      <c r="I1042" s="7"/>
      <c r="J1042" s="7"/>
      <c r="K1042" s="7"/>
      <c r="L1042" s="7"/>
      <c r="M1042" s="7"/>
      <c r="N1042" s="7"/>
      <c r="O1042" s="7"/>
    </row>
    <row r="1043">
      <c r="I1043" s="7"/>
      <c r="J1043" s="7"/>
      <c r="K1043" s="7"/>
      <c r="L1043" s="7"/>
      <c r="M1043" s="7"/>
      <c r="N1043" s="7"/>
      <c r="O1043" s="7"/>
    </row>
    <row r="1044">
      <c r="I1044" s="7"/>
      <c r="J1044" s="7"/>
      <c r="K1044" s="7"/>
      <c r="L1044" s="7"/>
      <c r="M1044" s="7"/>
      <c r="N1044" s="7"/>
      <c r="O1044" s="7"/>
    </row>
    <row r="1045">
      <c r="I1045" s="7"/>
      <c r="J1045" s="7"/>
      <c r="K1045" s="7"/>
      <c r="L1045" s="7"/>
      <c r="M1045" s="7"/>
      <c r="N1045" s="7"/>
      <c r="O1045" s="7"/>
    </row>
    <row r="1046">
      <c r="I1046" s="7"/>
      <c r="J1046" s="7"/>
      <c r="K1046" s="7"/>
      <c r="L1046" s="7"/>
      <c r="M1046" s="7"/>
      <c r="N1046" s="7"/>
      <c r="O1046" s="7"/>
    </row>
    <row r="1047">
      <c r="I1047" s="7"/>
      <c r="J1047" s="7"/>
      <c r="K1047" s="7"/>
      <c r="L1047" s="7"/>
      <c r="M1047" s="7"/>
      <c r="N1047" s="7"/>
      <c r="O1047" s="7"/>
    </row>
    <row r="1048">
      <c r="I1048" s="7"/>
      <c r="J1048" s="7"/>
      <c r="K1048" s="7"/>
      <c r="L1048" s="7"/>
      <c r="M1048" s="7"/>
      <c r="N1048" s="7"/>
      <c r="O1048" s="7"/>
    </row>
    <row r="1049">
      <c r="I1049" s="7"/>
      <c r="J1049" s="7"/>
      <c r="K1049" s="7"/>
      <c r="L1049" s="7"/>
      <c r="M1049" s="7"/>
      <c r="N1049" s="7"/>
      <c r="O1049" s="7"/>
    </row>
    <row r="1050">
      <c r="I1050" s="7"/>
      <c r="J1050" s="7"/>
      <c r="K1050" s="7"/>
      <c r="L1050" s="7"/>
      <c r="M1050" s="7"/>
      <c r="N1050" s="7"/>
      <c r="O1050" s="7"/>
    </row>
    <row r="1051">
      <c r="I1051" s="7"/>
      <c r="J1051" s="7"/>
      <c r="K1051" s="7"/>
      <c r="L1051" s="7"/>
      <c r="M1051" s="7"/>
      <c r="N1051" s="7"/>
      <c r="O1051" s="7"/>
    </row>
    <row r="1052">
      <c r="I1052" s="7"/>
      <c r="J1052" s="7"/>
      <c r="K1052" s="7"/>
      <c r="L1052" s="7"/>
      <c r="M1052" s="7"/>
      <c r="N1052" s="7"/>
      <c r="O1052" s="7"/>
    </row>
    <row r="1053">
      <c r="I1053" s="7"/>
      <c r="J1053" s="7"/>
      <c r="K1053" s="7"/>
      <c r="L1053" s="7"/>
      <c r="M1053" s="7"/>
      <c r="N1053" s="7"/>
      <c r="O1053" s="7"/>
    </row>
    <row r="1054">
      <c r="I1054" s="7"/>
      <c r="J1054" s="7"/>
      <c r="K1054" s="7"/>
      <c r="L1054" s="7"/>
      <c r="M1054" s="7"/>
      <c r="N1054" s="7"/>
      <c r="O1054" s="7"/>
    </row>
    <row r="1055">
      <c r="I1055" s="7"/>
      <c r="J1055" s="7"/>
      <c r="K1055" s="7"/>
      <c r="L1055" s="7"/>
      <c r="M1055" s="7"/>
      <c r="N1055" s="7"/>
      <c r="O1055" s="7"/>
    </row>
    <row r="1056">
      <c r="I1056" s="7"/>
      <c r="J1056" s="7"/>
      <c r="K1056" s="7"/>
      <c r="L1056" s="7"/>
      <c r="M1056" s="7"/>
      <c r="N1056" s="7"/>
      <c r="O1056" s="7"/>
    </row>
    <row r="1057">
      <c r="I1057" s="7"/>
      <c r="J1057" s="7"/>
      <c r="K1057" s="7"/>
      <c r="L1057" s="7"/>
      <c r="M1057" s="7"/>
      <c r="N1057" s="7"/>
      <c r="O1057" s="7"/>
    </row>
    <row r="1058">
      <c r="I1058" s="7"/>
      <c r="J1058" s="7"/>
      <c r="K1058" s="7"/>
      <c r="L1058" s="7"/>
      <c r="M1058" s="7"/>
      <c r="N1058" s="7"/>
      <c r="O1058" s="7"/>
    </row>
    <row r="1059">
      <c r="I1059" s="7"/>
      <c r="J1059" s="7"/>
      <c r="K1059" s="7"/>
      <c r="L1059" s="7"/>
      <c r="M1059" s="7"/>
      <c r="N1059" s="7"/>
      <c r="O1059" s="7"/>
    </row>
    <row r="1060">
      <c r="I1060" s="7"/>
      <c r="J1060" s="7"/>
      <c r="K1060" s="7"/>
      <c r="L1060" s="7"/>
      <c r="M1060" s="7"/>
      <c r="N1060" s="7"/>
      <c r="O1060" s="7"/>
    </row>
    <row r="1061">
      <c r="I1061" s="7"/>
      <c r="J1061" s="7"/>
      <c r="K1061" s="7"/>
      <c r="L1061" s="7"/>
      <c r="M1061" s="7"/>
      <c r="N1061" s="7"/>
      <c r="O1061" s="7"/>
    </row>
    <row r="1062">
      <c r="I1062" s="7"/>
      <c r="J1062" s="7"/>
      <c r="K1062" s="7"/>
      <c r="L1062" s="7"/>
      <c r="M1062" s="7"/>
      <c r="N1062" s="7"/>
      <c r="O1062" s="7"/>
    </row>
    <row r="1063">
      <c r="I1063" s="7"/>
      <c r="J1063" s="7"/>
      <c r="K1063" s="7"/>
      <c r="L1063" s="7"/>
      <c r="M1063" s="7"/>
      <c r="N1063" s="7"/>
      <c r="O1063" s="7"/>
    </row>
  </sheetData>
  <mergeCells count="788">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F313:H313"/>
    <mergeCell ref="F314:H314"/>
    <mergeCell ref="F315:H315"/>
    <mergeCell ref="F316:H316"/>
    <mergeCell ref="F317:H317"/>
    <mergeCell ref="F318:H318"/>
    <mergeCell ref="F319:H319"/>
    <mergeCell ref="F320:H320"/>
    <mergeCell ref="F321:H321"/>
    <mergeCell ref="F322:H322"/>
    <mergeCell ref="F323:H323"/>
    <mergeCell ref="F324:H324"/>
    <mergeCell ref="F325:H325"/>
    <mergeCell ref="F326:H326"/>
    <mergeCell ref="F327:H327"/>
    <mergeCell ref="F328:H328"/>
    <mergeCell ref="F329:H329"/>
    <mergeCell ref="F330:H330"/>
    <mergeCell ref="F331:H331"/>
    <mergeCell ref="F332:H332"/>
    <mergeCell ref="F333:H333"/>
    <mergeCell ref="F334:H334"/>
    <mergeCell ref="G404:I404"/>
    <mergeCell ref="G405:I405"/>
    <mergeCell ref="G397:I397"/>
    <mergeCell ref="G398:I398"/>
    <mergeCell ref="G399:I399"/>
    <mergeCell ref="G400:I400"/>
    <mergeCell ref="G401:I401"/>
    <mergeCell ref="G402:I402"/>
    <mergeCell ref="G403:I403"/>
    <mergeCell ref="G407:I407"/>
    <mergeCell ref="G408:I408"/>
    <mergeCell ref="A403:B403"/>
    <mergeCell ref="A404:B404"/>
    <mergeCell ref="A405:B405"/>
    <mergeCell ref="A406:B406"/>
    <mergeCell ref="G406:I406"/>
    <mergeCell ref="A407:B407"/>
    <mergeCell ref="A408:B408"/>
    <mergeCell ref="G413:I413"/>
    <mergeCell ref="G414:I414"/>
    <mergeCell ref="A409:B409"/>
    <mergeCell ref="G409:I409"/>
    <mergeCell ref="A410:B410"/>
    <mergeCell ref="G410:I410"/>
    <mergeCell ref="A411:B411"/>
    <mergeCell ref="G411:I411"/>
    <mergeCell ref="G412:I412"/>
    <mergeCell ref="G416:I416"/>
    <mergeCell ref="G417:I417"/>
    <mergeCell ref="A412:B412"/>
    <mergeCell ref="A413:B413"/>
    <mergeCell ref="A414:B414"/>
    <mergeCell ref="A415:B415"/>
    <mergeCell ref="G415:I415"/>
    <mergeCell ref="A416:B416"/>
    <mergeCell ref="A417:B417"/>
    <mergeCell ref="A445:B445"/>
    <mergeCell ref="G445:I445"/>
    <mergeCell ref="A446:B446"/>
    <mergeCell ref="G446:I446"/>
    <mergeCell ref="A447:B447"/>
    <mergeCell ref="G447:I447"/>
    <mergeCell ref="B450:I450"/>
    <mergeCell ref="A451:I451"/>
    <mergeCell ref="E453:H453"/>
    <mergeCell ref="E454:H454"/>
    <mergeCell ref="E455:H455"/>
    <mergeCell ref="E456:H456"/>
    <mergeCell ref="E457:H457"/>
    <mergeCell ref="E458:H458"/>
    <mergeCell ref="F335:H335"/>
    <mergeCell ref="F336:H336"/>
    <mergeCell ref="F337:H337"/>
    <mergeCell ref="G380:I380"/>
    <mergeCell ref="A381:B381"/>
    <mergeCell ref="G381:I381"/>
    <mergeCell ref="G382:I382"/>
    <mergeCell ref="A382:B382"/>
    <mergeCell ref="A383:B383"/>
    <mergeCell ref="A384:B384"/>
    <mergeCell ref="A385:B385"/>
    <mergeCell ref="A386:B386"/>
    <mergeCell ref="A387:B387"/>
    <mergeCell ref="A388:B388"/>
    <mergeCell ref="G383:I383"/>
    <mergeCell ref="G384:I384"/>
    <mergeCell ref="G385:I385"/>
    <mergeCell ref="G386:I386"/>
    <mergeCell ref="G387:I387"/>
    <mergeCell ref="G388:I388"/>
    <mergeCell ref="G389:I389"/>
    <mergeCell ref="A389:B389"/>
    <mergeCell ref="A390:B390"/>
    <mergeCell ref="A391:B391"/>
    <mergeCell ref="A392:B392"/>
    <mergeCell ref="A393:B393"/>
    <mergeCell ref="A394:B394"/>
    <mergeCell ref="A395:B395"/>
    <mergeCell ref="G390:I390"/>
    <mergeCell ref="G391:I391"/>
    <mergeCell ref="G392:I392"/>
    <mergeCell ref="G393:I393"/>
    <mergeCell ref="G394:I394"/>
    <mergeCell ref="G395:I395"/>
    <mergeCell ref="G396:I396"/>
    <mergeCell ref="A396:B396"/>
    <mergeCell ref="A397:B397"/>
    <mergeCell ref="A398:B398"/>
    <mergeCell ref="A399:B399"/>
    <mergeCell ref="A400:B400"/>
    <mergeCell ref="A401:B401"/>
    <mergeCell ref="A402:B402"/>
    <mergeCell ref="E459:H459"/>
    <mergeCell ref="E460:H460"/>
    <mergeCell ref="E461:H461"/>
    <mergeCell ref="E462:H462"/>
    <mergeCell ref="E463:H463"/>
    <mergeCell ref="E464:H464"/>
    <mergeCell ref="E465:H465"/>
    <mergeCell ref="G422:I422"/>
    <mergeCell ref="G423:I423"/>
    <mergeCell ref="A418:B418"/>
    <mergeCell ref="G418:I418"/>
    <mergeCell ref="A419:B419"/>
    <mergeCell ref="G419:I419"/>
    <mergeCell ref="A420:B420"/>
    <mergeCell ref="G420:I420"/>
    <mergeCell ref="G421:I421"/>
    <mergeCell ref="G425:I425"/>
    <mergeCell ref="G426:I426"/>
    <mergeCell ref="A421:B421"/>
    <mergeCell ref="A422:B422"/>
    <mergeCell ref="A423:B423"/>
    <mergeCell ref="A424:B424"/>
    <mergeCell ref="G424:I424"/>
    <mergeCell ref="A425:B425"/>
    <mergeCell ref="A426:B426"/>
    <mergeCell ref="G431:I431"/>
    <mergeCell ref="G432:I432"/>
    <mergeCell ref="A427:B427"/>
    <mergeCell ref="G427:I427"/>
    <mergeCell ref="A428:B428"/>
    <mergeCell ref="G428:I428"/>
    <mergeCell ref="A429:B429"/>
    <mergeCell ref="G429:I429"/>
    <mergeCell ref="G430:I430"/>
    <mergeCell ref="G434:I434"/>
    <mergeCell ref="G435:I435"/>
    <mergeCell ref="A430:B430"/>
    <mergeCell ref="A431:B431"/>
    <mergeCell ref="A432:B432"/>
    <mergeCell ref="A433:B433"/>
    <mergeCell ref="G433:I433"/>
    <mergeCell ref="A434:B434"/>
    <mergeCell ref="A435:B435"/>
    <mergeCell ref="G440:I440"/>
    <mergeCell ref="G441:I441"/>
    <mergeCell ref="A436:B436"/>
    <mergeCell ref="G436:I436"/>
    <mergeCell ref="A437:B437"/>
    <mergeCell ref="G437:I437"/>
    <mergeCell ref="A438:B438"/>
    <mergeCell ref="G438:I438"/>
    <mergeCell ref="G439:I439"/>
    <mergeCell ref="G443:I443"/>
    <mergeCell ref="G444:I444"/>
    <mergeCell ref="A439:B439"/>
    <mergeCell ref="A440:B440"/>
    <mergeCell ref="A441:B441"/>
    <mergeCell ref="A442:B442"/>
    <mergeCell ref="G442:I442"/>
    <mergeCell ref="A443:B443"/>
    <mergeCell ref="A444:B444"/>
    <mergeCell ref="E466:H466"/>
    <mergeCell ref="E467:H467"/>
    <mergeCell ref="E468:H468"/>
    <mergeCell ref="E469:H469"/>
    <mergeCell ref="E470:H470"/>
    <mergeCell ref="E471:H471"/>
    <mergeCell ref="E472:H472"/>
    <mergeCell ref="E473:H473"/>
    <mergeCell ref="E474:H474"/>
    <mergeCell ref="E475:H475"/>
    <mergeCell ref="E476:H476"/>
    <mergeCell ref="E477:H477"/>
    <mergeCell ref="E478:H478"/>
    <mergeCell ref="E479:H479"/>
    <mergeCell ref="B498:H498"/>
    <mergeCell ref="B499:H499"/>
    <mergeCell ref="B500:H500"/>
    <mergeCell ref="A501:H501"/>
    <mergeCell ref="A502:H502"/>
    <mergeCell ref="A503:H503"/>
    <mergeCell ref="A490:H490"/>
    <mergeCell ref="B492:H492"/>
    <mergeCell ref="B493:H493"/>
    <mergeCell ref="B494:H494"/>
    <mergeCell ref="B495:H495"/>
    <mergeCell ref="B496:H496"/>
    <mergeCell ref="B497:H497"/>
    <mergeCell ref="D12:E12"/>
    <mergeCell ref="F12:H12"/>
    <mergeCell ref="B10:C10"/>
    <mergeCell ref="D10:E10"/>
    <mergeCell ref="F10:H10"/>
    <mergeCell ref="B11:C11"/>
    <mergeCell ref="D11:E11"/>
    <mergeCell ref="F11:H11"/>
    <mergeCell ref="B12:C12"/>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19:C19"/>
    <mergeCell ref="D19:E19"/>
    <mergeCell ref="F19:H19"/>
    <mergeCell ref="B20:C20"/>
    <mergeCell ref="D20:E20"/>
    <mergeCell ref="F20:H20"/>
    <mergeCell ref="B21:C21"/>
    <mergeCell ref="D24:E24"/>
    <mergeCell ref="F24:H24"/>
    <mergeCell ref="B22:C22"/>
    <mergeCell ref="D22:E22"/>
    <mergeCell ref="F22:H22"/>
    <mergeCell ref="B23:C23"/>
    <mergeCell ref="D23:E23"/>
    <mergeCell ref="F23:H23"/>
    <mergeCell ref="B24:C24"/>
    <mergeCell ref="D27:E27"/>
    <mergeCell ref="F27:H27"/>
    <mergeCell ref="B25:C25"/>
    <mergeCell ref="D25:E25"/>
    <mergeCell ref="F25:H25"/>
    <mergeCell ref="B26:C26"/>
    <mergeCell ref="D26:E26"/>
    <mergeCell ref="F26:H26"/>
    <mergeCell ref="B27:C27"/>
    <mergeCell ref="D30:E30"/>
    <mergeCell ref="F30:H30"/>
    <mergeCell ref="B28:C28"/>
    <mergeCell ref="D28:E28"/>
    <mergeCell ref="F28:H28"/>
    <mergeCell ref="B29:C29"/>
    <mergeCell ref="D29:E29"/>
    <mergeCell ref="F29:H29"/>
    <mergeCell ref="B30:C30"/>
    <mergeCell ref="D33:E33"/>
    <mergeCell ref="F33:H33"/>
    <mergeCell ref="B31:C31"/>
    <mergeCell ref="D31:E31"/>
    <mergeCell ref="F31:H31"/>
    <mergeCell ref="B32:C32"/>
    <mergeCell ref="D32:E32"/>
    <mergeCell ref="F32:H32"/>
    <mergeCell ref="B33:C33"/>
    <mergeCell ref="D36:E36"/>
    <mergeCell ref="F36:H36"/>
    <mergeCell ref="B34:C34"/>
    <mergeCell ref="D34:E34"/>
    <mergeCell ref="F34:H34"/>
    <mergeCell ref="B35:C35"/>
    <mergeCell ref="D35:E35"/>
    <mergeCell ref="F35:H35"/>
    <mergeCell ref="B36:C36"/>
    <mergeCell ref="D39:E39"/>
    <mergeCell ref="F39:H39"/>
    <mergeCell ref="B37:C37"/>
    <mergeCell ref="D37:E37"/>
    <mergeCell ref="F37:H37"/>
    <mergeCell ref="B38:C38"/>
    <mergeCell ref="D38:E38"/>
    <mergeCell ref="F38:H38"/>
    <mergeCell ref="B39:C39"/>
    <mergeCell ref="D42:E42"/>
    <mergeCell ref="F42:H42"/>
    <mergeCell ref="B40:C40"/>
    <mergeCell ref="D40:E40"/>
    <mergeCell ref="F40:H40"/>
    <mergeCell ref="B41:C41"/>
    <mergeCell ref="D41:E41"/>
    <mergeCell ref="F41:H41"/>
    <mergeCell ref="B42:C42"/>
    <mergeCell ref="D45:E45"/>
    <mergeCell ref="F45:H45"/>
    <mergeCell ref="B43:C43"/>
    <mergeCell ref="D43:E43"/>
    <mergeCell ref="F43:H43"/>
    <mergeCell ref="B44:C44"/>
    <mergeCell ref="D44:E44"/>
    <mergeCell ref="F44:H44"/>
    <mergeCell ref="B45:C45"/>
    <mergeCell ref="D48:E48"/>
    <mergeCell ref="F48:H48"/>
    <mergeCell ref="B46:C46"/>
    <mergeCell ref="D46:E46"/>
    <mergeCell ref="F46:H46"/>
    <mergeCell ref="B47:C47"/>
    <mergeCell ref="D47:E47"/>
    <mergeCell ref="F47:H47"/>
    <mergeCell ref="B48:C48"/>
    <mergeCell ref="D51:E51"/>
    <mergeCell ref="F51:H51"/>
    <mergeCell ref="B49:C49"/>
    <mergeCell ref="D49:E49"/>
    <mergeCell ref="F49:H49"/>
    <mergeCell ref="B50:C50"/>
    <mergeCell ref="D50:E50"/>
    <mergeCell ref="F50:H50"/>
    <mergeCell ref="B51:C51"/>
    <mergeCell ref="D54:E54"/>
    <mergeCell ref="F54:H54"/>
    <mergeCell ref="B52:C52"/>
    <mergeCell ref="D52:E52"/>
    <mergeCell ref="F52:H52"/>
    <mergeCell ref="B53:C53"/>
    <mergeCell ref="D53:E53"/>
    <mergeCell ref="F53:H53"/>
    <mergeCell ref="B54:C54"/>
    <mergeCell ref="D57:E57"/>
    <mergeCell ref="F57:H57"/>
    <mergeCell ref="B55:C55"/>
    <mergeCell ref="D55:E55"/>
    <mergeCell ref="F55:H55"/>
    <mergeCell ref="B56:C56"/>
    <mergeCell ref="D56:E56"/>
    <mergeCell ref="F56:H56"/>
    <mergeCell ref="B57:C57"/>
    <mergeCell ref="D60:E60"/>
    <mergeCell ref="F60:H60"/>
    <mergeCell ref="B58:C58"/>
    <mergeCell ref="D58:E58"/>
    <mergeCell ref="F58:H58"/>
    <mergeCell ref="B59:C59"/>
    <mergeCell ref="D59:E59"/>
    <mergeCell ref="F59:H59"/>
    <mergeCell ref="B60:C60"/>
    <mergeCell ref="D63:E63"/>
    <mergeCell ref="F63:H63"/>
    <mergeCell ref="B61:C61"/>
    <mergeCell ref="D61:E61"/>
    <mergeCell ref="F61:H61"/>
    <mergeCell ref="B62:C62"/>
    <mergeCell ref="D62:E62"/>
    <mergeCell ref="F62:H62"/>
    <mergeCell ref="B63:C63"/>
    <mergeCell ref="D66:E66"/>
    <mergeCell ref="F66:H66"/>
    <mergeCell ref="B64:C64"/>
    <mergeCell ref="D64:E64"/>
    <mergeCell ref="F64:H64"/>
    <mergeCell ref="B65:C65"/>
    <mergeCell ref="D65:E65"/>
    <mergeCell ref="F65:H65"/>
    <mergeCell ref="B66:C66"/>
    <mergeCell ref="D69:E69"/>
    <mergeCell ref="F69:H69"/>
    <mergeCell ref="B67:C67"/>
    <mergeCell ref="D67:E67"/>
    <mergeCell ref="F67:H67"/>
    <mergeCell ref="B68:C68"/>
    <mergeCell ref="D68:E68"/>
    <mergeCell ref="F68:H68"/>
    <mergeCell ref="B69:C69"/>
    <mergeCell ref="D72:E72"/>
    <mergeCell ref="F72:H72"/>
    <mergeCell ref="B70:C70"/>
    <mergeCell ref="D70:E70"/>
    <mergeCell ref="F70:H70"/>
    <mergeCell ref="B71:C71"/>
    <mergeCell ref="D71:E71"/>
    <mergeCell ref="F71:H71"/>
    <mergeCell ref="B72:C72"/>
    <mergeCell ref="D75:E75"/>
    <mergeCell ref="F75:H75"/>
    <mergeCell ref="B73:C73"/>
    <mergeCell ref="D73:E73"/>
    <mergeCell ref="F73:H73"/>
    <mergeCell ref="B74:C74"/>
    <mergeCell ref="D74:E74"/>
    <mergeCell ref="F74:H74"/>
    <mergeCell ref="B75:C75"/>
    <mergeCell ref="D78:E78"/>
    <mergeCell ref="F78:H78"/>
    <mergeCell ref="B76:C76"/>
    <mergeCell ref="D76:E76"/>
    <mergeCell ref="F76:H76"/>
    <mergeCell ref="B77:C77"/>
    <mergeCell ref="D77:E77"/>
    <mergeCell ref="F77:H77"/>
    <mergeCell ref="B78:C78"/>
    <mergeCell ref="D81:E81"/>
    <mergeCell ref="F81:H81"/>
    <mergeCell ref="B79:C79"/>
    <mergeCell ref="D79:E79"/>
    <mergeCell ref="F79:H79"/>
    <mergeCell ref="B80:C80"/>
    <mergeCell ref="D80:E80"/>
    <mergeCell ref="F80:H80"/>
    <mergeCell ref="B81:C81"/>
    <mergeCell ref="D84:E84"/>
    <mergeCell ref="F84:H84"/>
    <mergeCell ref="B82:C82"/>
    <mergeCell ref="D82:E82"/>
    <mergeCell ref="F82:H82"/>
    <mergeCell ref="B83:C83"/>
    <mergeCell ref="D83:E83"/>
    <mergeCell ref="F83:H83"/>
    <mergeCell ref="B84:C84"/>
    <mergeCell ref="D87:E87"/>
    <mergeCell ref="F87:H87"/>
    <mergeCell ref="B85:C85"/>
    <mergeCell ref="D85:E85"/>
    <mergeCell ref="F85:H85"/>
    <mergeCell ref="B86:C86"/>
    <mergeCell ref="D86:E86"/>
    <mergeCell ref="F86:H86"/>
    <mergeCell ref="B87:C87"/>
    <mergeCell ref="D90:E90"/>
    <mergeCell ref="F90:H90"/>
    <mergeCell ref="B88:C88"/>
    <mergeCell ref="D88:E88"/>
    <mergeCell ref="F88:H88"/>
    <mergeCell ref="B89:C89"/>
    <mergeCell ref="D89:E89"/>
    <mergeCell ref="F89:H89"/>
    <mergeCell ref="B90:C90"/>
    <mergeCell ref="D93:E93"/>
    <mergeCell ref="F93:H93"/>
    <mergeCell ref="B91:C91"/>
    <mergeCell ref="D91:E91"/>
    <mergeCell ref="F91:H91"/>
    <mergeCell ref="B92:C92"/>
    <mergeCell ref="D92:E92"/>
    <mergeCell ref="F92:H92"/>
    <mergeCell ref="B93:C93"/>
    <mergeCell ref="D96:E96"/>
    <mergeCell ref="F96:H96"/>
    <mergeCell ref="B94:C94"/>
    <mergeCell ref="D94:E94"/>
    <mergeCell ref="F94:H94"/>
    <mergeCell ref="B95:C95"/>
    <mergeCell ref="D95:E95"/>
    <mergeCell ref="F95:H95"/>
    <mergeCell ref="B96:C96"/>
    <mergeCell ref="D99:E99"/>
    <mergeCell ref="F99:H99"/>
    <mergeCell ref="B97:C97"/>
    <mergeCell ref="D97:E97"/>
    <mergeCell ref="F97:H97"/>
    <mergeCell ref="B98:C98"/>
    <mergeCell ref="D98:E98"/>
    <mergeCell ref="F98:H98"/>
    <mergeCell ref="B99:C99"/>
    <mergeCell ref="D102:E102"/>
    <mergeCell ref="F102:H102"/>
    <mergeCell ref="B100:C100"/>
    <mergeCell ref="D100:E100"/>
    <mergeCell ref="F100:H100"/>
    <mergeCell ref="B101:C101"/>
    <mergeCell ref="D101:E101"/>
    <mergeCell ref="F101:H101"/>
    <mergeCell ref="B102:C102"/>
    <mergeCell ref="D105:E105"/>
    <mergeCell ref="F105:H105"/>
    <mergeCell ref="B103:C103"/>
    <mergeCell ref="D103:E103"/>
    <mergeCell ref="F103:H103"/>
    <mergeCell ref="B104:C104"/>
    <mergeCell ref="D104:E104"/>
    <mergeCell ref="F104:H104"/>
    <mergeCell ref="B105:C105"/>
    <mergeCell ref="D108:E108"/>
    <mergeCell ref="F108:H108"/>
    <mergeCell ref="B106:C106"/>
    <mergeCell ref="D106:E106"/>
    <mergeCell ref="F106:H106"/>
    <mergeCell ref="B107:C107"/>
    <mergeCell ref="D107:E107"/>
    <mergeCell ref="F107:H107"/>
    <mergeCell ref="B108:C108"/>
    <mergeCell ref="D111:E111"/>
    <mergeCell ref="F111:H111"/>
    <mergeCell ref="B109:C109"/>
    <mergeCell ref="D109:E109"/>
    <mergeCell ref="F109:H109"/>
    <mergeCell ref="B110:C110"/>
    <mergeCell ref="D110:E110"/>
    <mergeCell ref="F110:H110"/>
    <mergeCell ref="B111:C111"/>
    <mergeCell ref="D114:E114"/>
    <mergeCell ref="F114:H114"/>
    <mergeCell ref="B112:C112"/>
    <mergeCell ref="D112:E112"/>
    <mergeCell ref="F112:H112"/>
    <mergeCell ref="B113:C113"/>
    <mergeCell ref="D113:E113"/>
    <mergeCell ref="F113:H113"/>
    <mergeCell ref="B114:C114"/>
    <mergeCell ref="D135:E135"/>
    <mergeCell ref="F135:H135"/>
    <mergeCell ref="B133:C133"/>
    <mergeCell ref="D133:E133"/>
    <mergeCell ref="F133:H133"/>
    <mergeCell ref="B134:C134"/>
    <mergeCell ref="D134:E134"/>
    <mergeCell ref="F134:H134"/>
    <mergeCell ref="B135:C135"/>
    <mergeCell ref="D3:E3"/>
    <mergeCell ref="F3:H3"/>
    <mergeCell ref="B1:C1"/>
    <mergeCell ref="D1:E1"/>
    <mergeCell ref="F1:H1"/>
    <mergeCell ref="B2:C2"/>
    <mergeCell ref="D2:E2"/>
    <mergeCell ref="F2:H2"/>
    <mergeCell ref="B3:C3"/>
    <mergeCell ref="D6:E6"/>
    <mergeCell ref="F6:H6"/>
    <mergeCell ref="B4:C4"/>
    <mergeCell ref="D4:E4"/>
    <mergeCell ref="F4:H4"/>
    <mergeCell ref="B5:C5"/>
    <mergeCell ref="D5:E5"/>
    <mergeCell ref="F5:H5"/>
    <mergeCell ref="B6:C6"/>
    <mergeCell ref="D9:E9"/>
    <mergeCell ref="F9:H9"/>
    <mergeCell ref="B7:C7"/>
    <mergeCell ref="D7:E7"/>
    <mergeCell ref="F7:H7"/>
    <mergeCell ref="B8:C8"/>
    <mergeCell ref="D8:E8"/>
    <mergeCell ref="F8:H8"/>
    <mergeCell ref="B9:C9"/>
    <mergeCell ref="B136:C136"/>
    <mergeCell ref="D136:E136"/>
    <mergeCell ref="F136:H136"/>
    <mergeCell ref="B137:C137"/>
    <mergeCell ref="D137:E137"/>
    <mergeCell ref="F137:H137"/>
    <mergeCell ref="B138:C138"/>
    <mergeCell ref="D117:E117"/>
    <mergeCell ref="F117:H117"/>
    <mergeCell ref="B115:C115"/>
    <mergeCell ref="D115:E115"/>
    <mergeCell ref="F115:H115"/>
    <mergeCell ref="B116:C116"/>
    <mergeCell ref="D116:E116"/>
    <mergeCell ref="F116:H116"/>
    <mergeCell ref="B117:C117"/>
    <mergeCell ref="D120:E120"/>
    <mergeCell ref="F120:H120"/>
    <mergeCell ref="B118:C118"/>
    <mergeCell ref="D118:E118"/>
    <mergeCell ref="F118:H118"/>
    <mergeCell ref="B119:C119"/>
    <mergeCell ref="D119:E119"/>
    <mergeCell ref="F119:H119"/>
    <mergeCell ref="B120:C120"/>
    <mergeCell ref="D123:E123"/>
    <mergeCell ref="F123:H123"/>
    <mergeCell ref="B121:C121"/>
    <mergeCell ref="D121:E121"/>
    <mergeCell ref="F121:H121"/>
    <mergeCell ref="B122:C122"/>
    <mergeCell ref="D122:E122"/>
    <mergeCell ref="F122:H122"/>
    <mergeCell ref="B123:C123"/>
    <mergeCell ref="D126:E126"/>
    <mergeCell ref="F126:H126"/>
    <mergeCell ref="B124:C124"/>
    <mergeCell ref="D124:E124"/>
    <mergeCell ref="F124:H124"/>
    <mergeCell ref="B125:C125"/>
    <mergeCell ref="D125:E125"/>
    <mergeCell ref="F125:H125"/>
    <mergeCell ref="B126:C126"/>
    <mergeCell ref="D129:E129"/>
    <mergeCell ref="F129:H129"/>
    <mergeCell ref="B127:C127"/>
    <mergeCell ref="D127:E127"/>
    <mergeCell ref="F127:H127"/>
    <mergeCell ref="B128:C128"/>
    <mergeCell ref="D128:E128"/>
    <mergeCell ref="F128:H128"/>
    <mergeCell ref="B129:C129"/>
    <mergeCell ref="D132:E132"/>
    <mergeCell ref="F132:H132"/>
    <mergeCell ref="B130:C130"/>
    <mergeCell ref="D130:E130"/>
    <mergeCell ref="F130:H130"/>
    <mergeCell ref="B131:C131"/>
    <mergeCell ref="D131:E131"/>
    <mergeCell ref="F131:H131"/>
    <mergeCell ref="B132:C132"/>
    <mergeCell ref="D138:E138"/>
    <mergeCell ref="F138:H138"/>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s>
  <conditionalFormatting sqref="A1:Z1">
    <cfRule type="notContainsBlanks" dxfId="0" priority="1">
      <formula>LEN(TRIM(A1))&gt;0</formula>
    </cfRule>
  </conditionalFormatting>
  <conditionalFormatting sqref="J381:J447">
    <cfRule type="containsText" dxfId="0" priority="2" operator="containsText" text="Yes">
      <formula>NOT(ISERROR(SEARCH(("Yes"),(J381))))</formula>
    </cfRule>
  </conditionalFormatting>
  <conditionalFormatting sqref="J381:J447">
    <cfRule type="containsText" dxfId="1" priority="3" operator="containsText" text="No">
      <formula>NOT(ISERROR(SEARCH(("No"),(J381))))</formula>
    </cfRule>
  </conditionalFormatting>
  <conditionalFormatting sqref="J381:J447">
    <cfRule type="containsText" dxfId="2" priority="4" operator="containsText" text="Changes">
      <formula>NOT(ISERROR(SEARCH(("Changes"),(J381))))</formula>
    </cfRule>
  </conditionalFormatting>
  <hyperlinks>
    <hyperlink r:id="rId4" ref="A2"/>
    <hyperlink r:id="rId5" location="Hats" ref="D2"/>
    <hyperlink r:id="rId6" ref="A3"/>
    <hyperlink r:id="rId7" location="Hats" ref="D3"/>
    <hyperlink r:id="rId8" ref="A4"/>
    <hyperlink r:id="rId9" ref="A5"/>
    <hyperlink r:id="rId10" location="Hats" ref="D5"/>
    <hyperlink r:id="rId11" ref="A6"/>
    <hyperlink r:id="rId12" ref="D6"/>
    <hyperlink r:id="rId13" ref="A7"/>
    <hyperlink r:id="rId14" location="Hats" ref="D7"/>
    <hyperlink r:id="rId15" ref="A8"/>
    <hyperlink r:id="rId16" ref="D8"/>
    <hyperlink r:id="rId17" ref="A9"/>
    <hyperlink r:id="rId18" ref="A10"/>
    <hyperlink r:id="rId19" location="Villager_Shops" ref="D10"/>
    <hyperlink r:id="rId20" ref="A11"/>
    <hyperlink r:id="rId21" location="Hats" ref="D11"/>
    <hyperlink r:id="rId22" ref="A12"/>
    <hyperlink r:id="rId23" ref="D12"/>
    <hyperlink r:id="rId24" ref="A13"/>
    <hyperlink r:id="rId25" ref="D13"/>
    <hyperlink r:id="rId26" ref="A14"/>
    <hyperlink r:id="rId27" ref="D14"/>
    <hyperlink r:id="rId28" ref="A15"/>
    <hyperlink r:id="rId29" location="Hats" ref="D15"/>
    <hyperlink r:id="rId30" ref="A16"/>
    <hyperlink r:id="rId31" location="Hats" ref="D16"/>
    <hyperlink r:id="rId32" ref="A17"/>
    <hyperlink r:id="rId33" ref="D17"/>
    <hyperlink r:id="rId34" ref="A18"/>
    <hyperlink r:id="rId35" ref="D18"/>
    <hyperlink r:id="rId36" location="Hats" ref="D19"/>
    <hyperlink r:id="rId37" ref="A20"/>
    <hyperlink r:id="rId38" ref="D20"/>
    <hyperlink r:id="rId39" ref="A21"/>
    <hyperlink r:id="rId40" ref="D21"/>
    <hyperlink r:id="rId41" ref="A22"/>
    <hyperlink r:id="rId42" location="Hats" ref="D22"/>
    <hyperlink r:id="rId43" ref="A23"/>
    <hyperlink r:id="rId44" location="Prize_Machine" ref="D23"/>
    <hyperlink r:id="rId45" ref="A24"/>
    <hyperlink r:id="rId46" ref="D24"/>
    <hyperlink r:id="rId47" ref="A25"/>
    <hyperlink r:id="rId48" ref="D25"/>
    <hyperlink r:id="rId49" ref="A26"/>
    <hyperlink r:id="rId50" ref="A27"/>
    <hyperlink r:id="rId51" ref="D27"/>
    <hyperlink r:id="rId52" ref="A28"/>
    <hyperlink r:id="rId53" location="Monster_Eradication_Goals" ref="D28"/>
    <hyperlink r:id="rId54" ref="D29"/>
    <hyperlink r:id="rId55" ref="A30"/>
    <hyperlink r:id="rId56" ref="D30"/>
    <hyperlink r:id="rId57" ref="A31"/>
    <hyperlink r:id="rId58" ref="D31"/>
    <hyperlink r:id="rId59" ref="A32"/>
    <hyperlink r:id="rId60" ref="D32"/>
    <hyperlink r:id="rId61" ref="A33"/>
    <hyperlink r:id="rId62" location="Hats" ref="D33"/>
    <hyperlink r:id="rId63" ref="A34"/>
    <hyperlink r:id="rId64" ref="D34"/>
    <hyperlink r:id="rId65" ref="A35"/>
    <hyperlink r:id="rId66" location="Hats" ref="D35"/>
    <hyperlink r:id="rId67" ref="A36"/>
    <hyperlink r:id="rId68" location="Hats" ref="D36"/>
    <hyperlink r:id="rId69" ref="A37"/>
    <hyperlink r:id="rId70" location="Hats" ref="D37"/>
    <hyperlink r:id="rId71" ref="A38"/>
    <hyperlink r:id="rId72" location="Help_Wanted_Quests" ref="D38"/>
    <hyperlink r:id="rId73" ref="A39"/>
    <hyperlink r:id="rId74" ref="D39"/>
    <hyperlink r:id="rId75" ref="A40"/>
    <hyperlink r:id="rId76" location="Hats" ref="D40"/>
    <hyperlink r:id="rId77" ref="A41"/>
    <hyperlink r:id="rId78" ref="D41"/>
    <hyperlink r:id="rId79" ref="A42"/>
    <hyperlink r:id="rId80" location="Hats" ref="D42"/>
    <hyperlink r:id="rId81" ref="A43"/>
    <hyperlink r:id="rId82" location="Hats" ref="D43"/>
    <hyperlink r:id="rId83" ref="A44"/>
    <hyperlink r:id="rId84" location="Hats" ref="D44"/>
    <hyperlink r:id="rId85" ref="A45"/>
    <hyperlink r:id="rId86" ref="D45"/>
    <hyperlink r:id="rId87" ref="A46"/>
    <hyperlink r:id="rId88" location="cite_note-tgp-2" ref="D46"/>
    <hyperlink r:id="rId89" ref="A47"/>
    <hyperlink r:id="rId90" ref="D47"/>
    <hyperlink r:id="rId91" ref="A48"/>
    <hyperlink r:id="rId92" ref="D48"/>
    <hyperlink r:id="rId93" ref="A49"/>
    <hyperlink r:id="rId94" ref="D49"/>
    <hyperlink r:id="rId95" ref="A50"/>
    <hyperlink r:id="rId96" ref="D50"/>
    <hyperlink r:id="rId97" ref="A51"/>
    <hyperlink r:id="rId98" location="Calico_Egg_Merchant" ref="D51"/>
    <hyperlink r:id="rId99" ref="A52"/>
    <hyperlink r:id="rId100" ref="D52"/>
    <hyperlink r:id="rId101" ref="A53"/>
    <hyperlink r:id="rId102" ref="D53"/>
    <hyperlink r:id="rId103" ref="A54"/>
    <hyperlink r:id="rId104" ref="D54"/>
    <hyperlink r:id="rId105" ref="A55"/>
    <hyperlink r:id="rId106" ref="D55"/>
    <hyperlink r:id="rId107" ref="A56"/>
    <hyperlink r:id="rId108" ref="A57"/>
    <hyperlink r:id="rId109" location="Hats" ref="D57"/>
    <hyperlink r:id="rId110" ref="A58"/>
    <hyperlink r:id="rId111" ref="D58"/>
    <hyperlink r:id="rId112" ref="A59"/>
    <hyperlink r:id="rId113" ref="D59"/>
    <hyperlink r:id="rId114" ref="A60"/>
    <hyperlink r:id="rId115" location="Emily.27s_Outfit_Services" ref="D60"/>
    <hyperlink r:id="rId116" ref="A61"/>
    <hyperlink r:id="rId117" location="Monster_Eradication_Goals" ref="D61"/>
    <hyperlink r:id="rId118" ref="A62"/>
    <hyperlink r:id="rId119" ref="D62"/>
    <hyperlink r:id="rId120" ref="A63"/>
    <hyperlink r:id="rId121" location="Emily.27s_Outfit_Services" ref="D63"/>
    <hyperlink r:id="rId122" ref="A64"/>
    <hyperlink r:id="rId123" ref="D64"/>
    <hyperlink r:id="rId124" ref="A65"/>
    <hyperlink r:id="rId125" ref="D65"/>
    <hyperlink r:id="rId126" ref="A66"/>
    <hyperlink r:id="rId127" ref="D66"/>
    <hyperlink r:id="rId128" ref="A67"/>
    <hyperlink r:id="rId129" ref="A68"/>
    <hyperlink r:id="rId130" location="Monster_Eradication_Goals" ref="D68"/>
    <hyperlink r:id="rId131" ref="A69"/>
    <hyperlink r:id="rId132" location="Hats" ref="D69"/>
    <hyperlink r:id="rId133" ref="A70"/>
    <hyperlink r:id="rId134" ref="D70"/>
    <hyperlink r:id="rId135" ref="A71"/>
    <hyperlink r:id="rId136" ref="D71"/>
    <hyperlink r:id="rId137" ref="A72"/>
    <hyperlink r:id="rId138" ref="A73"/>
    <hyperlink r:id="rId139" location="Hats" ref="D73"/>
    <hyperlink r:id="rId140" ref="A74"/>
    <hyperlink r:id="rId141" ref="D74"/>
    <hyperlink r:id="rId142" ref="A75"/>
    <hyperlink r:id="rId143" ref="D75"/>
    <hyperlink r:id="rId144" ref="A76"/>
    <hyperlink r:id="rId145" location="Hats" ref="D76"/>
    <hyperlink r:id="rId146" ref="A77"/>
    <hyperlink r:id="rId147" ref="D77"/>
    <hyperlink r:id="rId148" ref="A78"/>
    <hyperlink r:id="rId149" ref="D78"/>
    <hyperlink r:id="rId150" ref="A79"/>
    <hyperlink r:id="rId151" location="Skull_Cavern" ref="D79"/>
    <hyperlink r:id="rId152" ref="A80"/>
    <hyperlink r:id="rId153" ref="D80"/>
    <hyperlink r:id="rId154" ref="A81"/>
    <hyperlink r:id="rId155" location="Presents" ref="D81"/>
    <hyperlink r:id="rId156" ref="A82"/>
    <hyperlink r:id="rId157" location="Hats" ref="D82"/>
    <hyperlink r:id="rId158" ref="A83"/>
    <hyperlink r:id="rId159" location="Hats" ref="D83"/>
    <hyperlink r:id="rId160" ref="A84"/>
    <hyperlink r:id="rId161" location="Hats" ref="D84"/>
    <hyperlink r:id="rId162" ref="A85"/>
    <hyperlink r:id="rId163" location="Hats" ref="D85"/>
    <hyperlink r:id="rId164" ref="A86"/>
    <hyperlink r:id="rId165" ref="D86"/>
    <hyperlink r:id="rId166" ref="A87"/>
    <hyperlink r:id="rId167" location="Hats" ref="D87"/>
    <hyperlink r:id="rId168" ref="A88"/>
    <hyperlink r:id="rId169" ref="D88"/>
    <hyperlink r:id="rId170" ref="A89"/>
    <hyperlink r:id="rId171" ref="D89"/>
    <hyperlink r:id="rId172" ref="A90"/>
    <hyperlink r:id="rId173" ref="D90"/>
    <hyperlink r:id="rId174" ref="A91"/>
    <hyperlink r:id="rId175" ref="D91"/>
    <hyperlink r:id="rId176" ref="A92"/>
    <hyperlink r:id="rId177" location="Hats" ref="D92"/>
    <hyperlink r:id="rId178" ref="A93"/>
    <hyperlink r:id="rId179" ref="D93"/>
    <hyperlink r:id="rId180" ref="A94"/>
    <hyperlink r:id="rId181" ref="D94"/>
    <hyperlink r:id="rId182" ref="A95"/>
    <hyperlink r:id="rId183" ref="D95"/>
    <hyperlink r:id="rId184" ref="A96"/>
    <hyperlink r:id="rId185" location="Calico_Egg_Merchant" ref="D96"/>
    <hyperlink r:id="rId186" ref="A97"/>
    <hyperlink r:id="rId187" ref="D97"/>
    <hyperlink r:id="rId188" ref="A98"/>
    <hyperlink r:id="rId189" location="Emily.27s_Outfit_Services" ref="D98"/>
    <hyperlink r:id="rId190" ref="A99"/>
    <hyperlink r:id="rId191" ref="D99"/>
    <hyperlink r:id="rId192" ref="A100"/>
    <hyperlink r:id="rId193" ref="D100"/>
    <hyperlink r:id="rId194" ref="A101"/>
    <hyperlink r:id="rId195" ref="D101"/>
    <hyperlink r:id="rId196" ref="A102"/>
    <hyperlink r:id="rId197" ref="D102"/>
    <hyperlink r:id="rId198" ref="A103"/>
    <hyperlink r:id="rId199" ref="D103"/>
    <hyperlink r:id="rId200" ref="A104"/>
    <hyperlink r:id="rId201" ref="A105"/>
    <hyperlink r:id="rId202" location="Magic_Shop_Boat" ref="D105"/>
    <hyperlink r:id="rId203" location="Help_Wanted_Quests" ref="D106"/>
    <hyperlink r:id="rId204" ref="A107"/>
    <hyperlink r:id="rId205" ref="D107"/>
    <hyperlink r:id="rId206" ref="A108"/>
    <hyperlink r:id="rId207" ref="D108"/>
    <hyperlink r:id="rId208" ref="A109"/>
    <hyperlink r:id="rId209" ref="D109"/>
    <hyperlink r:id="rId210" ref="A110"/>
    <hyperlink r:id="rId211" ref="D110"/>
    <hyperlink r:id="rId212" ref="A111"/>
    <hyperlink r:id="rId213" location="Hats" ref="D111"/>
    <hyperlink r:id="rId214" ref="A112"/>
    <hyperlink r:id="rId215" ref="A113"/>
    <hyperlink r:id="rId216" ref="D113"/>
    <hyperlink r:id="rId217" ref="A114"/>
    <hyperlink r:id="rId218" ref="D114"/>
    <hyperlink r:id="rId219" ref="A115"/>
    <hyperlink r:id="rId220" ref="D115"/>
    <hyperlink r:id="rId221" ref="A116"/>
    <hyperlink r:id="rId222" location="Calico_Egg_Merchant" ref="D116"/>
    <hyperlink r:id="rId223" ref="A117"/>
    <hyperlink r:id="rId224" ref="D117"/>
    <hyperlink r:id="rId225" ref="A118"/>
    <hyperlink r:id="rId226" location="Hats" ref="D118"/>
    <hyperlink r:id="rId227" ref="A119"/>
    <hyperlink r:id="rId228" location="Hats" ref="D119"/>
    <hyperlink r:id="rId229" ref="A120"/>
    <hyperlink r:id="rId230" ref="D120"/>
    <hyperlink r:id="rId231" ref="A121"/>
    <hyperlink r:id="rId232" location="Monster_Eradication_Goals" ref="D121"/>
    <hyperlink r:id="rId233" ref="A122"/>
    <hyperlink r:id="rId234" location="Villager_Shops" ref="D122"/>
    <hyperlink r:id="rId235" ref="A138"/>
    <hyperlink r:id="rId236" ref="D138"/>
    <hyperlink r:id="rId237" ref="E141"/>
    <hyperlink r:id="rId238" ref="E142"/>
    <hyperlink r:id="rId239" ref="E144"/>
    <hyperlink r:id="rId240" ref="E147"/>
    <hyperlink r:id="rId241" ref="E148"/>
    <hyperlink r:id="rId242" ref="E149"/>
    <hyperlink r:id="rId243" ref="E150"/>
    <hyperlink r:id="rId244" location="cite_note-softedgepullover-3" ref="D151"/>
    <hyperlink r:id="rId245" ref="E151"/>
    <hyperlink r:id="rId246" ref="E152"/>
    <hyperlink r:id="rId247" ref="E153"/>
    <hyperlink r:id="rId248" ref="E154"/>
    <hyperlink r:id="rId249" ref="E155"/>
    <hyperlink r:id="rId250" ref="E156"/>
    <hyperlink r:id="rId251" ref="E157"/>
    <hyperlink r:id="rId252" ref="E158"/>
    <hyperlink r:id="rId253" ref="E159"/>
    <hyperlink r:id="rId254" ref="E160"/>
    <hyperlink r:id="rId255" ref="E161"/>
    <hyperlink r:id="rId256" ref="E162"/>
    <hyperlink r:id="rId257" ref="E163"/>
    <hyperlink r:id="rId258" ref="E164"/>
    <hyperlink r:id="rId259" ref="E165"/>
    <hyperlink r:id="rId260" ref="E167"/>
    <hyperlink r:id="rId261" ref="E168"/>
    <hyperlink r:id="rId262" ref="E169"/>
    <hyperlink r:id="rId263" ref="E170"/>
    <hyperlink r:id="rId264" ref="E171"/>
    <hyperlink r:id="rId265" ref="E172"/>
    <hyperlink r:id="rId266" ref="E173"/>
    <hyperlink r:id="rId267" ref="E174"/>
    <hyperlink r:id="rId268" ref="E175"/>
    <hyperlink r:id="rId269" ref="E176"/>
    <hyperlink r:id="rId270" ref="E177"/>
    <hyperlink r:id="rId271" ref="E178"/>
    <hyperlink r:id="rId272" ref="E180"/>
    <hyperlink r:id="rId273" ref="E181"/>
    <hyperlink r:id="rId274" ref="E182"/>
    <hyperlink r:id="rId275" ref="D183"/>
    <hyperlink r:id="rId276" ref="E183"/>
    <hyperlink r:id="rId277" ref="D184"/>
    <hyperlink r:id="rId278" ref="E184"/>
    <hyperlink r:id="rId279" ref="E185"/>
    <hyperlink r:id="rId280" ref="E186"/>
    <hyperlink r:id="rId281" ref="E187"/>
    <hyperlink r:id="rId282" ref="E188"/>
    <hyperlink r:id="rId283" ref="E189"/>
    <hyperlink r:id="rId284" ref="E190"/>
    <hyperlink r:id="rId285" ref="E191"/>
    <hyperlink r:id="rId286" ref="E193"/>
    <hyperlink r:id="rId287" location="Medical_Supplies" ref="E194"/>
    <hyperlink r:id="rId288" ref="E195"/>
    <hyperlink r:id="rId289" ref="E196"/>
    <hyperlink r:id="rId290" ref="E198"/>
    <hyperlink r:id="rId291" ref="E199"/>
    <hyperlink r:id="rId292" ref="E200"/>
    <hyperlink r:id="rId293" ref="E201"/>
    <hyperlink r:id="rId294" ref="E202"/>
    <hyperlink r:id="rId295" ref="E204"/>
    <hyperlink r:id="rId296" ref="E205"/>
    <hyperlink r:id="rId297" ref="E206"/>
    <hyperlink r:id="rId298" ref="E208"/>
    <hyperlink r:id="rId299" ref="D209"/>
    <hyperlink r:id="rId300" ref="E209"/>
    <hyperlink r:id="rId301" ref="E210"/>
    <hyperlink r:id="rId302" ref="E211"/>
    <hyperlink r:id="rId303" ref="E212"/>
    <hyperlink r:id="rId304" ref="E213"/>
    <hyperlink r:id="rId305" ref="E214"/>
    <hyperlink r:id="rId306" ref="E215"/>
    <hyperlink r:id="rId307" ref="E216"/>
    <hyperlink r:id="rId308" ref="E218"/>
    <hyperlink r:id="rId309" ref="E219"/>
    <hyperlink r:id="rId310" ref="E220"/>
    <hyperlink r:id="rId311" ref="E221"/>
    <hyperlink r:id="rId312" ref="E222"/>
    <hyperlink r:id="rId313" ref="D223"/>
    <hyperlink r:id="rId314" ref="E224"/>
    <hyperlink r:id="rId315" ref="E225"/>
    <hyperlink r:id="rId316" ref="E226"/>
    <hyperlink r:id="rId317" ref="E227"/>
    <hyperlink r:id="rId318" ref="E228"/>
    <hyperlink r:id="rId319" ref="E229"/>
    <hyperlink r:id="rId320" ref="E230"/>
    <hyperlink r:id="rId321" ref="E231"/>
    <hyperlink r:id="rId322" ref="E232"/>
    <hyperlink r:id="rId323" ref="E233"/>
    <hyperlink r:id="rId324" ref="E234"/>
    <hyperlink r:id="rId325" ref="E235"/>
    <hyperlink r:id="rId326" ref="E236"/>
    <hyperlink r:id="rId327" location="Medical_Supplies" ref="E237"/>
    <hyperlink r:id="rId328" ref="E238"/>
    <hyperlink r:id="rId329" ref="E239"/>
    <hyperlink r:id="rId330" ref="E240"/>
    <hyperlink r:id="rId331" ref="E241"/>
    <hyperlink r:id="rId332" ref="E242"/>
    <hyperlink r:id="rId333" ref="E243"/>
    <hyperlink r:id="rId334" ref="E244"/>
    <hyperlink r:id="rId335" ref="E245"/>
    <hyperlink r:id="rId336" ref="E246"/>
    <hyperlink r:id="rId337" ref="E247"/>
    <hyperlink r:id="rId338" ref="E248"/>
    <hyperlink r:id="rId339" ref="E253"/>
    <hyperlink r:id="rId340" ref="E254"/>
    <hyperlink r:id="rId341" ref="E255"/>
    <hyperlink r:id="rId342" ref="E256"/>
    <hyperlink r:id="rId343" ref="E257"/>
    <hyperlink r:id="rId344" ref="E258"/>
    <hyperlink r:id="rId345" ref="E259"/>
    <hyperlink r:id="rId346" ref="E260"/>
    <hyperlink r:id="rId347" ref="E261"/>
    <hyperlink r:id="rId348" ref="E263"/>
    <hyperlink r:id="rId349" ref="E264"/>
    <hyperlink r:id="rId350" ref="E265"/>
    <hyperlink r:id="rId351" ref="E266"/>
    <hyperlink r:id="rId352" ref="E267"/>
    <hyperlink r:id="rId353" ref="E268"/>
    <hyperlink r:id="rId354" ref="E269"/>
    <hyperlink r:id="rId355" ref="E270"/>
    <hyperlink r:id="rId356" ref="E272"/>
    <hyperlink r:id="rId357" ref="E273"/>
    <hyperlink r:id="rId358" ref="E275"/>
    <hyperlink r:id="rId359" ref="E276"/>
    <hyperlink r:id="rId360" ref="E277"/>
    <hyperlink r:id="rId361" ref="E278"/>
    <hyperlink r:id="rId362" ref="E279"/>
    <hyperlink r:id="rId363" ref="E280"/>
    <hyperlink r:id="rId364" ref="E281"/>
    <hyperlink r:id="rId365" ref="E282"/>
    <hyperlink r:id="rId366" ref="E284"/>
    <hyperlink r:id="rId367" ref="E285"/>
    <hyperlink r:id="rId368" ref="E286"/>
    <hyperlink r:id="rId369" ref="E287"/>
    <hyperlink r:id="rId370" ref="E288"/>
    <hyperlink r:id="rId371" ref="E289"/>
    <hyperlink r:id="rId372" ref="E290"/>
    <hyperlink r:id="rId373" ref="E291"/>
    <hyperlink r:id="rId374" ref="D292"/>
    <hyperlink r:id="rId375" ref="E292"/>
    <hyperlink r:id="rId376" ref="D293"/>
    <hyperlink r:id="rId377" ref="E293"/>
    <hyperlink r:id="rId378" ref="E294"/>
    <hyperlink r:id="rId379" ref="E295"/>
    <hyperlink r:id="rId380" ref="E296"/>
    <hyperlink r:id="rId381" ref="E297"/>
    <hyperlink r:id="rId382" ref="E298"/>
    <hyperlink r:id="rId383" ref="E300"/>
    <hyperlink r:id="rId384" ref="E301"/>
    <hyperlink r:id="rId385" ref="E302"/>
    <hyperlink r:id="rId386" ref="E303"/>
    <hyperlink r:id="rId387" ref="E304"/>
    <hyperlink r:id="rId388" ref="E305"/>
    <hyperlink r:id="rId389" ref="E306"/>
    <hyperlink r:id="rId390" ref="E307"/>
    <hyperlink r:id="rId391" ref="E308"/>
    <hyperlink r:id="rId392" ref="E310"/>
    <hyperlink r:id="rId393" ref="E311"/>
    <hyperlink r:id="rId394" ref="E312"/>
    <hyperlink r:id="rId395" ref="E313"/>
    <hyperlink r:id="rId396" ref="E314"/>
    <hyperlink r:id="rId397" ref="E315"/>
    <hyperlink r:id="rId398" ref="E316"/>
    <hyperlink r:id="rId399" ref="E317"/>
    <hyperlink r:id="rId400" ref="E318"/>
    <hyperlink r:id="rId401" ref="E319"/>
    <hyperlink r:id="rId402" ref="E320"/>
    <hyperlink r:id="rId403" ref="E321"/>
    <hyperlink r:id="rId404" ref="E322"/>
    <hyperlink r:id="rId405" ref="E323"/>
    <hyperlink r:id="rId406" ref="E325"/>
    <hyperlink r:id="rId407" ref="E326"/>
    <hyperlink r:id="rId408" ref="E327"/>
    <hyperlink r:id="rId409" ref="E328"/>
    <hyperlink r:id="rId410" ref="E329"/>
    <hyperlink r:id="rId411" ref="E330"/>
    <hyperlink r:id="rId412" ref="E331"/>
    <hyperlink r:id="rId413" ref="E332"/>
    <hyperlink r:id="rId414" ref="E333"/>
    <hyperlink r:id="rId415" ref="E334"/>
    <hyperlink r:id="rId416" ref="E335"/>
    <hyperlink r:id="rId417" ref="D341"/>
    <hyperlink r:id="rId418" ref="D342"/>
    <hyperlink r:id="rId419" ref="D343"/>
    <hyperlink r:id="rId420" ref="D344"/>
    <hyperlink r:id="rId421" ref="D345"/>
    <hyperlink r:id="rId422" ref="D346"/>
    <hyperlink r:id="rId423" ref="D348"/>
    <hyperlink r:id="rId424" ref="D349"/>
    <hyperlink r:id="rId425" ref="D350"/>
    <hyperlink r:id="rId426" ref="D351"/>
    <hyperlink r:id="rId427" ref="D352"/>
    <hyperlink r:id="rId428" ref="D353"/>
    <hyperlink r:id="rId429" ref="D354"/>
    <hyperlink r:id="rId430" ref="D355"/>
  </hyperlinks>
  <drawing r:id="rId431"/>
  <legacyDrawing r:id="rId4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0.38"/>
    <col customWidth="1" min="3" max="3" width="20.38"/>
    <col customWidth="1" min="4" max="4" width="20.5"/>
    <col customWidth="1" min="5" max="5" width="22.0"/>
    <col customWidth="1" min="8" max="8" width="46.13"/>
    <col customWidth="1" min="9" max="9" width="26.63"/>
  </cols>
  <sheetData>
    <row r="1">
      <c r="A1" s="1" t="s">
        <v>0</v>
      </c>
      <c r="B1" s="2" t="s">
        <v>1</v>
      </c>
      <c r="C1" s="3"/>
      <c r="D1" s="4" t="s">
        <v>2</v>
      </c>
      <c r="E1" s="3"/>
      <c r="F1" s="4" t="s">
        <v>3</v>
      </c>
      <c r="G1" s="5"/>
      <c r="H1" s="3"/>
      <c r="I1" s="6" t="s">
        <v>4</v>
      </c>
      <c r="J1" s="7"/>
      <c r="K1" s="7"/>
      <c r="L1" s="7"/>
      <c r="M1" s="7"/>
      <c r="N1" s="7"/>
      <c r="O1" s="7"/>
    </row>
    <row r="2">
      <c r="A2" s="8" t="s">
        <v>5</v>
      </c>
      <c r="B2" s="9" t="s">
        <v>6</v>
      </c>
      <c r="C2" s="10"/>
      <c r="D2" s="11" t="s">
        <v>7</v>
      </c>
      <c r="E2" s="10"/>
      <c r="F2" s="12" t="s">
        <v>8</v>
      </c>
      <c r="G2" s="13"/>
      <c r="H2" s="10"/>
      <c r="I2" s="14"/>
      <c r="J2" s="7"/>
      <c r="K2" s="7"/>
      <c r="L2" s="7"/>
      <c r="M2" s="7"/>
      <c r="N2" s="7">
        <f t="shared" ref="N2:N131" si="1"> IF(ISBLANK(F2), 0, 1)</f>
        <v>1</v>
      </c>
      <c r="O2" s="7"/>
    </row>
    <row r="3" ht="16.5" customHeight="1">
      <c r="A3" s="8" t="s">
        <v>9</v>
      </c>
      <c r="B3" s="9" t="s">
        <v>10</v>
      </c>
      <c r="C3" s="10"/>
      <c r="D3" s="11" t="s">
        <v>11</v>
      </c>
      <c r="E3" s="10"/>
      <c r="F3" s="12" t="s">
        <v>13</v>
      </c>
      <c r="G3" s="13"/>
      <c r="H3" s="10"/>
      <c r="I3" s="14"/>
      <c r="J3" s="7"/>
      <c r="K3" s="7"/>
      <c r="L3" s="7"/>
      <c r="M3" s="7"/>
      <c r="N3" s="7">
        <f t="shared" si="1"/>
        <v>1</v>
      </c>
      <c r="O3" s="7"/>
    </row>
    <row r="4">
      <c r="A4" s="8" t="s">
        <v>14</v>
      </c>
      <c r="B4" s="9" t="s">
        <v>15</v>
      </c>
      <c r="C4" s="10"/>
      <c r="D4" s="15" t="s">
        <v>16</v>
      </c>
      <c r="E4" s="10"/>
      <c r="F4" s="16"/>
      <c r="G4" s="13"/>
      <c r="H4" s="10"/>
      <c r="I4" s="14"/>
      <c r="J4" s="7"/>
      <c r="K4" s="7"/>
      <c r="L4" s="7"/>
      <c r="M4" s="7"/>
      <c r="N4" s="7">
        <f t="shared" si="1"/>
        <v>0</v>
      </c>
      <c r="O4" s="7"/>
    </row>
    <row r="5">
      <c r="A5" s="8" t="s">
        <v>17</v>
      </c>
      <c r="B5" s="9" t="s">
        <v>18</v>
      </c>
      <c r="C5" s="10"/>
      <c r="D5" s="11" t="s">
        <v>7</v>
      </c>
      <c r="E5" s="10"/>
      <c r="F5" s="12" t="s">
        <v>19</v>
      </c>
      <c r="G5" s="13"/>
      <c r="H5" s="10"/>
      <c r="I5" s="17" t="s">
        <v>20</v>
      </c>
      <c r="J5" s="7"/>
      <c r="K5" s="7"/>
      <c r="L5" s="7"/>
      <c r="M5" s="7"/>
      <c r="N5" s="7">
        <f t="shared" si="1"/>
        <v>1</v>
      </c>
      <c r="O5" s="7"/>
    </row>
    <row r="6">
      <c r="A6" s="8" t="s">
        <v>21</v>
      </c>
      <c r="B6" s="9" t="s">
        <v>22</v>
      </c>
      <c r="C6" s="10"/>
      <c r="D6" s="18" t="s">
        <v>23</v>
      </c>
      <c r="E6" s="10"/>
      <c r="F6" s="12" t="s">
        <v>24</v>
      </c>
      <c r="G6" s="13"/>
      <c r="H6" s="10"/>
      <c r="I6" s="14"/>
      <c r="J6" s="7"/>
      <c r="K6" s="7"/>
      <c r="L6" s="7"/>
      <c r="M6" s="7"/>
      <c r="N6" s="7">
        <f t="shared" si="1"/>
        <v>1</v>
      </c>
      <c r="O6" s="7"/>
    </row>
    <row r="7">
      <c r="A7" s="8" t="s">
        <v>25</v>
      </c>
      <c r="B7" s="9" t="s">
        <v>26</v>
      </c>
      <c r="C7" s="10"/>
      <c r="D7" s="11" t="s">
        <v>7</v>
      </c>
      <c r="E7" s="10"/>
      <c r="F7" s="12" t="s">
        <v>27</v>
      </c>
      <c r="G7" s="13"/>
      <c r="H7" s="10"/>
      <c r="I7" s="14"/>
      <c r="J7" s="7"/>
      <c r="K7" s="7"/>
      <c r="L7" s="7"/>
      <c r="M7" s="7"/>
      <c r="N7" s="7">
        <f t="shared" si="1"/>
        <v>1</v>
      </c>
      <c r="O7" s="7"/>
    </row>
    <row r="8">
      <c r="A8" s="8" t="s">
        <v>28</v>
      </c>
      <c r="B8" s="9" t="s">
        <v>29</v>
      </c>
      <c r="C8" s="10"/>
      <c r="D8" s="11" t="s">
        <v>30</v>
      </c>
      <c r="E8" s="10"/>
      <c r="F8" s="12" t="s">
        <v>31</v>
      </c>
      <c r="G8" s="13"/>
      <c r="H8" s="10"/>
      <c r="I8" s="14"/>
      <c r="J8" s="7"/>
      <c r="K8" s="7"/>
      <c r="L8" s="7"/>
      <c r="M8" s="7"/>
      <c r="N8" s="7">
        <f t="shared" si="1"/>
        <v>1</v>
      </c>
      <c r="O8" s="7"/>
    </row>
    <row r="9">
      <c r="A9" s="8" t="s">
        <v>32</v>
      </c>
      <c r="B9" s="9" t="s">
        <v>33</v>
      </c>
      <c r="C9" s="10"/>
      <c r="D9" s="9" t="s">
        <v>34</v>
      </c>
      <c r="E9" s="10"/>
      <c r="F9" s="16"/>
      <c r="G9" s="13"/>
      <c r="H9" s="10"/>
      <c r="I9" s="14"/>
      <c r="J9" s="7"/>
      <c r="K9" s="7"/>
      <c r="L9" s="7"/>
      <c r="M9" s="7"/>
      <c r="N9" s="7">
        <f t="shared" si="1"/>
        <v>0</v>
      </c>
      <c r="O9" s="7"/>
    </row>
    <row r="10">
      <c r="A10" s="8" t="s">
        <v>35</v>
      </c>
      <c r="B10" s="15" t="s">
        <v>36</v>
      </c>
      <c r="C10" s="10"/>
      <c r="D10" s="19" t="s">
        <v>58</v>
      </c>
      <c r="E10" s="10"/>
      <c r="F10" s="12" t="s">
        <v>38</v>
      </c>
      <c r="G10" s="13"/>
      <c r="H10" s="10"/>
      <c r="I10" s="17" t="s">
        <v>39</v>
      </c>
      <c r="J10" s="7"/>
      <c r="K10" s="7"/>
      <c r="L10" s="7"/>
      <c r="M10" s="7"/>
      <c r="N10" s="7">
        <f t="shared" si="1"/>
        <v>1</v>
      </c>
      <c r="O10" s="7"/>
    </row>
    <row r="11">
      <c r="A11" s="8" t="s">
        <v>40</v>
      </c>
      <c r="B11" s="9" t="s">
        <v>42</v>
      </c>
      <c r="C11" s="10"/>
      <c r="D11" s="11" t="s">
        <v>7</v>
      </c>
      <c r="E11" s="10"/>
      <c r="F11" s="12" t="s">
        <v>43</v>
      </c>
      <c r="G11" s="13"/>
      <c r="H11" s="10"/>
      <c r="I11" s="14"/>
      <c r="J11" s="7"/>
      <c r="K11" s="7"/>
      <c r="L11" s="7"/>
      <c r="M11" s="7"/>
      <c r="N11" s="7">
        <f t="shared" si="1"/>
        <v>1</v>
      </c>
      <c r="O11" s="7"/>
    </row>
    <row r="12">
      <c r="A12" s="8" t="s">
        <v>44</v>
      </c>
      <c r="B12" s="9" t="s">
        <v>45</v>
      </c>
      <c r="C12" s="10"/>
      <c r="D12" s="19" t="s">
        <v>71</v>
      </c>
      <c r="E12" s="10"/>
      <c r="F12" s="12" t="s">
        <v>47</v>
      </c>
      <c r="G12" s="13"/>
      <c r="H12" s="10"/>
      <c r="I12" s="14"/>
      <c r="J12" s="7"/>
      <c r="K12" s="7"/>
      <c r="L12" s="7"/>
      <c r="M12" s="7"/>
      <c r="N12" s="7">
        <f t="shared" si="1"/>
        <v>1</v>
      </c>
      <c r="O12" s="7"/>
    </row>
    <row r="13">
      <c r="A13" s="8" t="s">
        <v>48</v>
      </c>
      <c r="B13" s="9" t="s">
        <v>49</v>
      </c>
      <c r="C13" s="10"/>
      <c r="D13" s="18" t="s">
        <v>50</v>
      </c>
      <c r="E13" s="10"/>
      <c r="F13" s="12" t="s">
        <v>51</v>
      </c>
      <c r="G13" s="13"/>
      <c r="H13" s="10"/>
      <c r="I13" s="17" t="s">
        <v>52</v>
      </c>
      <c r="J13" s="7"/>
      <c r="K13" s="7"/>
      <c r="L13" s="7"/>
      <c r="M13" s="7"/>
      <c r="N13" s="7">
        <f t="shared" si="1"/>
        <v>1</v>
      </c>
      <c r="O13" s="7"/>
    </row>
    <row r="14">
      <c r="A14" s="8" t="s">
        <v>53</v>
      </c>
      <c r="B14" s="15" t="s">
        <v>54</v>
      </c>
      <c r="C14" s="10"/>
      <c r="D14" s="19" t="s">
        <v>85</v>
      </c>
      <c r="E14" s="10"/>
      <c r="F14" s="12" t="s">
        <v>57</v>
      </c>
      <c r="G14" s="13"/>
      <c r="H14" s="10"/>
      <c r="I14" s="14"/>
      <c r="J14" s="7"/>
      <c r="K14" s="7"/>
      <c r="L14" s="7"/>
      <c r="M14" s="7"/>
      <c r="N14" s="7">
        <f t="shared" si="1"/>
        <v>1</v>
      </c>
      <c r="O14" s="7"/>
    </row>
    <row r="15">
      <c r="A15" s="8" t="s">
        <v>59</v>
      </c>
      <c r="B15" s="9" t="s">
        <v>60</v>
      </c>
      <c r="C15" s="10"/>
      <c r="D15" s="11" t="s">
        <v>7</v>
      </c>
      <c r="E15" s="10"/>
      <c r="F15" s="12" t="s">
        <v>61</v>
      </c>
      <c r="G15" s="13"/>
      <c r="H15" s="10"/>
      <c r="I15" s="14"/>
      <c r="J15" s="7"/>
      <c r="K15" s="7"/>
      <c r="L15" s="7"/>
      <c r="M15" s="7"/>
      <c r="N15" s="7">
        <f t="shared" si="1"/>
        <v>1</v>
      </c>
      <c r="O15" s="7"/>
    </row>
    <row r="16">
      <c r="A16" s="8" t="s">
        <v>63</v>
      </c>
      <c r="B16" s="9" t="s">
        <v>64</v>
      </c>
      <c r="C16" s="10"/>
      <c r="D16" s="11" t="s">
        <v>7</v>
      </c>
      <c r="E16" s="10"/>
      <c r="F16" s="12" t="s">
        <v>65</v>
      </c>
      <c r="G16" s="13"/>
      <c r="H16" s="10"/>
      <c r="I16" s="14"/>
      <c r="J16" s="7"/>
      <c r="K16" s="7"/>
      <c r="L16" s="7"/>
      <c r="M16" s="7"/>
      <c r="N16" s="7">
        <f t="shared" si="1"/>
        <v>1</v>
      </c>
      <c r="O16" s="7"/>
    </row>
    <row r="17">
      <c r="A17" s="8" t="s">
        <v>67</v>
      </c>
      <c r="B17" s="9" t="s">
        <v>68</v>
      </c>
      <c r="C17" s="10"/>
      <c r="D17" s="18" t="s">
        <v>70</v>
      </c>
      <c r="E17" s="10"/>
      <c r="F17" s="12" t="s">
        <v>72</v>
      </c>
      <c r="G17" s="13"/>
      <c r="H17" s="10"/>
      <c r="I17" s="14"/>
      <c r="J17" s="7"/>
      <c r="K17" s="7"/>
      <c r="L17" s="7"/>
      <c r="M17" s="7"/>
      <c r="N17" s="7">
        <f t="shared" si="1"/>
        <v>1</v>
      </c>
      <c r="O17" s="7"/>
    </row>
    <row r="18">
      <c r="A18" s="8" t="s">
        <v>73</v>
      </c>
      <c r="B18" s="9" t="s">
        <v>75</v>
      </c>
      <c r="C18" s="10"/>
      <c r="D18" s="18" t="s">
        <v>76</v>
      </c>
      <c r="E18" s="10"/>
      <c r="F18" s="12" t="s">
        <v>77</v>
      </c>
      <c r="G18" s="13"/>
      <c r="H18" s="10"/>
      <c r="I18" s="14"/>
      <c r="J18" s="7"/>
      <c r="K18" s="7"/>
      <c r="L18" s="7"/>
      <c r="M18" s="7"/>
      <c r="N18" s="7">
        <f t="shared" si="1"/>
        <v>1</v>
      </c>
      <c r="O18" s="7"/>
    </row>
    <row r="19">
      <c r="A19" s="20" t="s">
        <v>78</v>
      </c>
      <c r="B19" s="9" t="s">
        <v>79</v>
      </c>
      <c r="C19" s="10"/>
      <c r="D19" s="11" t="s">
        <v>7</v>
      </c>
      <c r="E19" s="10"/>
      <c r="F19" s="12" t="s">
        <v>80</v>
      </c>
      <c r="G19" s="13"/>
      <c r="H19" s="10"/>
      <c r="I19" s="17" t="s">
        <v>82</v>
      </c>
      <c r="J19" s="7"/>
      <c r="K19" s="7"/>
      <c r="L19" s="7"/>
      <c r="M19" s="7"/>
      <c r="N19" s="7">
        <f t="shared" si="1"/>
        <v>1</v>
      </c>
      <c r="O19" s="7"/>
    </row>
    <row r="20">
      <c r="A20" s="8" t="s">
        <v>83</v>
      </c>
      <c r="B20" s="15" t="s">
        <v>86</v>
      </c>
      <c r="C20" s="10"/>
      <c r="D20" s="19" t="s">
        <v>119</v>
      </c>
      <c r="E20" s="10"/>
      <c r="F20" s="12" t="s">
        <v>88</v>
      </c>
      <c r="G20" s="13"/>
      <c r="H20" s="10"/>
      <c r="I20" s="14"/>
      <c r="J20" s="7"/>
      <c r="K20" s="7"/>
      <c r="L20" s="7"/>
      <c r="M20" s="7"/>
      <c r="N20" s="7">
        <f t="shared" si="1"/>
        <v>1</v>
      </c>
      <c r="O20" s="7"/>
    </row>
    <row r="21">
      <c r="A21" s="8" t="s">
        <v>89</v>
      </c>
      <c r="B21" s="15" t="s">
        <v>90</v>
      </c>
      <c r="C21" s="10"/>
      <c r="D21" s="18" t="s">
        <v>91</v>
      </c>
      <c r="E21" s="10"/>
      <c r="F21" s="12" t="s">
        <v>92</v>
      </c>
      <c r="G21" s="13"/>
      <c r="H21" s="10"/>
      <c r="I21" s="14"/>
      <c r="J21" s="7"/>
      <c r="K21" s="7"/>
      <c r="L21" s="7"/>
      <c r="M21" s="7"/>
      <c r="N21" s="7">
        <f t="shared" si="1"/>
        <v>1</v>
      </c>
      <c r="O21" s="7"/>
    </row>
    <row r="22">
      <c r="A22" s="8" t="s">
        <v>93</v>
      </c>
      <c r="B22" s="9" t="s">
        <v>94</v>
      </c>
      <c r="C22" s="10"/>
      <c r="D22" s="11" t="s">
        <v>7</v>
      </c>
      <c r="E22" s="10"/>
      <c r="F22" s="16"/>
      <c r="G22" s="13"/>
      <c r="H22" s="10"/>
      <c r="I22" s="14"/>
      <c r="J22" s="7"/>
      <c r="K22" s="7"/>
      <c r="L22" s="7"/>
      <c r="M22" s="7"/>
      <c r="N22" s="7">
        <f t="shared" si="1"/>
        <v>0</v>
      </c>
      <c r="O22" s="7"/>
    </row>
    <row r="23">
      <c r="A23" s="8" t="s">
        <v>95</v>
      </c>
      <c r="B23" s="9" t="s">
        <v>96</v>
      </c>
      <c r="C23" s="10"/>
      <c r="D23" s="19" t="s">
        <v>138</v>
      </c>
      <c r="E23" s="10"/>
      <c r="F23" s="12" t="s">
        <v>99</v>
      </c>
      <c r="G23" s="13"/>
      <c r="H23" s="10"/>
      <c r="I23" s="14"/>
      <c r="J23" s="7"/>
      <c r="K23" s="7"/>
      <c r="L23" s="7"/>
      <c r="M23" s="7"/>
      <c r="N23" s="7">
        <f t="shared" si="1"/>
        <v>1</v>
      </c>
      <c r="O23" s="7"/>
    </row>
    <row r="24">
      <c r="A24" s="8" t="s">
        <v>100</v>
      </c>
      <c r="B24" s="15" t="s">
        <v>101</v>
      </c>
      <c r="C24" s="10"/>
      <c r="D24" s="19" t="s">
        <v>146</v>
      </c>
      <c r="E24" s="10"/>
      <c r="F24" s="12" t="s">
        <v>103</v>
      </c>
      <c r="G24" s="13"/>
      <c r="H24" s="10"/>
      <c r="I24" s="14"/>
      <c r="J24" s="7"/>
      <c r="K24" s="7"/>
      <c r="L24" s="7"/>
      <c r="M24" s="7"/>
      <c r="N24" s="7">
        <f t="shared" si="1"/>
        <v>1</v>
      </c>
      <c r="O24" s="7"/>
    </row>
    <row r="25">
      <c r="A25" s="8" t="s">
        <v>104</v>
      </c>
      <c r="B25" s="9" t="s">
        <v>105</v>
      </c>
      <c r="C25" s="10"/>
      <c r="D25" s="19" t="s">
        <v>153</v>
      </c>
      <c r="E25" s="10"/>
      <c r="F25" s="16"/>
      <c r="G25" s="13"/>
      <c r="H25" s="10"/>
      <c r="I25" s="14"/>
      <c r="J25" s="7"/>
      <c r="K25" s="7"/>
      <c r="L25" s="7"/>
      <c r="M25" s="7"/>
      <c r="N25" s="7">
        <f t="shared" si="1"/>
        <v>0</v>
      </c>
      <c r="O25" s="7"/>
    </row>
    <row r="26">
      <c r="A26" s="8" t="s">
        <v>107</v>
      </c>
      <c r="B26" s="15" t="s">
        <v>109</v>
      </c>
      <c r="C26" s="10"/>
      <c r="D26" s="9" t="s">
        <v>110</v>
      </c>
      <c r="E26" s="10"/>
      <c r="F26" s="12" t="s">
        <v>111</v>
      </c>
      <c r="G26" s="13"/>
      <c r="H26" s="10"/>
      <c r="I26" s="14"/>
      <c r="J26" s="7"/>
      <c r="K26" s="7"/>
      <c r="L26" s="7"/>
      <c r="M26" s="7"/>
      <c r="N26" s="7">
        <f t="shared" si="1"/>
        <v>1</v>
      </c>
      <c r="O26" s="7"/>
    </row>
    <row r="27">
      <c r="A27" s="8" t="s">
        <v>112</v>
      </c>
      <c r="B27" s="9" t="s">
        <v>113</v>
      </c>
      <c r="C27" s="10"/>
      <c r="D27" s="11" t="s">
        <v>114</v>
      </c>
      <c r="E27" s="10"/>
      <c r="F27" s="16"/>
      <c r="G27" s="13"/>
      <c r="H27" s="10"/>
      <c r="I27" s="14"/>
      <c r="J27" s="7"/>
      <c r="K27" s="7"/>
      <c r="L27" s="7"/>
      <c r="M27" s="7"/>
      <c r="N27" s="7">
        <f t="shared" si="1"/>
        <v>0</v>
      </c>
      <c r="O27" s="7"/>
    </row>
    <row r="28">
      <c r="A28" s="8" t="s">
        <v>115</v>
      </c>
      <c r="B28" s="9" t="s">
        <v>117</v>
      </c>
      <c r="C28" s="10"/>
      <c r="D28" s="21" t="s">
        <v>168</v>
      </c>
      <c r="E28" s="10"/>
      <c r="F28" s="12" t="s">
        <v>121</v>
      </c>
      <c r="G28" s="13"/>
      <c r="H28" s="10"/>
      <c r="I28" s="17" t="s">
        <v>122</v>
      </c>
      <c r="J28" s="7"/>
      <c r="K28" s="7"/>
      <c r="L28" s="7"/>
      <c r="M28" s="7"/>
      <c r="N28" s="7">
        <f t="shared" si="1"/>
        <v>1</v>
      </c>
      <c r="O28" s="7"/>
    </row>
    <row r="29">
      <c r="A29" s="20" t="s">
        <v>123</v>
      </c>
      <c r="B29" s="9" t="s">
        <v>124</v>
      </c>
      <c r="C29" s="10"/>
      <c r="D29" s="19" t="s">
        <v>172</v>
      </c>
      <c r="E29" s="10"/>
      <c r="F29" s="12" t="s">
        <v>126</v>
      </c>
      <c r="G29" s="13"/>
      <c r="H29" s="10"/>
      <c r="I29" s="17" t="s">
        <v>127</v>
      </c>
      <c r="J29" s="7"/>
      <c r="K29" s="7"/>
      <c r="L29" s="7"/>
      <c r="M29" s="7"/>
      <c r="N29" s="7">
        <f t="shared" si="1"/>
        <v>1</v>
      </c>
      <c r="O29" s="7"/>
    </row>
    <row r="30">
      <c r="A30" s="8" t="s">
        <v>128</v>
      </c>
      <c r="B30" s="9" t="s">
        <v>130</v>
      </c>
      <c r="C30" s="10"/>
      <c r="D30" s="18" t="s">
        <v>131</v>
      </c>
      <c r="E30" s="10"/>
      <c r="F30" s="12" t="s">
        <v>132</v>
      </c>
      <c r="G30" s="13"/>
      <c r="H30" s="10"/>
      <c r="I30" s="14"/>
      <c r="J30" s="7"/>
      <c r="K30" s="7"/>
      <c r="L30" s="7"/>
      <c r="M30" s="7"/>
      <c r="N30" s="7">
        <f t="shared" si="1"/>
        <v>1</v>
      </c>
      <c r="O30" s="7"/>
    </row>
    <row r="31">
      <c r="A31" s="8" t="s">
        <v>133</v>
      </c>
      <c r="B31" s="15" t="s">
        <v>134</v>
      </c>
      <c r="C31" s="10"/>
      <c r="D31" s="19" t="s">
        <v>180</v>
      </c>
      <c r="E31" s="10"/>
      <c r="F31" s="12"/>
      <c r="G31" s="13"/>
      <c r="H31" s="10"/>
      <c r="I31" s="14"/>
      <c r="J31" s="7"/>
      <c r="K31" s="7"/>
      <c r="L31" s="7"/>
      <c r="M31" s="7"/>
      <c r="N31" s="7">
        <f t="shared" si="1"/>
        <v>0</v>
      </c>
      <c r="O31" s="7"/>
    </row>
    <row r="32">
      <c r="A32" s="8" t="s">
        <v>139</v>
      </c>
      <c r="B32" s="9" t="s">
        <v>140</v>
      </c>
      <c r="C32" s="10"/>
      <c r="D32" s="11" t="s">
        <v>141</v>
      </c>
      <c r="E32" s="10"/>
      <c r="F32" s="12" t="s">
        <v>144</v>
      </c>
      <c r="G32" s="13"/>
      <c r="H32" s="10"/>
      <c r="I32" s="14"/>
      <c r="J32" s="7"/>
      <c r="K32" s="7"/>
      <c r="L32" s="7"/>
      <c r="M32" s="7"/>
      <c r="N32" s="7">
        <f t="shared" si="1"/>
        <v>1</v>
      </c>
      <c r="O32" s="7"/>
    </row>
    <row r="33">
      <c r="A33" s="8" t="s">
        <v>145</v>
      </c>
      <c r="B33" s="15" t="s">
        <v>147</v>
      </c>
      <c r="C33" s="10"/>
      <c r="D33" s="11" t="s">
        <v>7</v>
      </c>
      <c r="E33" s="10"/>
      <c r="F33" s="12" t="s">
        <v>148</v>
      </c>
      <c r="G33" s="13"/>
      <c r="H33" s="10"/>
      <c r="I33" s="14"/>
      <c r="J33" s="7"/>
      <c r="K33" s="7"/>
      <c r="L33" s="7"/>
      <c r="M33" s="7"/>
      <c r="N33" s="7">
        <f t="shared" si="1"/>
        <v>1</v>
      </c>
      <c r="O33" s="7"/>
    </row>
    <row r="34">
      <c r="A34" s="8" t="s">
        <v>150</v>
      </c>
      <c r="B34" s="9" t="s">
        <v>151</v>
      </c>
      <c r="C34" s="10"/>
      <c r="D34" s="18" t="s">
        <v>152</v>
      </c>
      <c r="E34" s="10"/>
      <c r="F34" s="12" t="s">
        <v>154</v>
      </c>
      <c r="G34" s="13"/>
      <c r="H34" s="10"/>
      <c r="I34" s="14"/>
      <c r="J34" s="7"/>
      <c r="K34" s="7"/>
      <c r="L34" s="7"/>
      <c r="M34" s="7"/>
      <c r="N34" s="7">
        <f t="shared" si="1"/>
        <v>1</v>
      </c>
      <c r="O34" s="7"/>
    </row>
    <row r="35">
      <c r="A35" s="8" t="s">
        <v>155</v>
      </c>
      <c r="B35" s="9" t="s">
        <v>156</v>
      </c>
      <c r="C35" s="10"/>
      <c r="D35" s="11" t="s">
        <v>7</v>
      </c>
      <c r="E35" s="10"/>
      <c r="F35" s="16"/>
      <c r="G35" s="13"/>
      <c r="H35" s="10"/>
      <c r="I35" s="14"/>
      <c r="J35" s="7"/>
      <c r="K35" s="7"/>
      <c r="L35" s="7"/>
      <c r="M35" s="7"/>
      <c r="N35" s="7">
        <f t="shared" si="1"/>
        <v>0</v>
      </c>
      <c r="O35" s="7"/>
    </row>
    <row r="36">
      <c r="A36" s="8" t="s">
        <v>157</v>
      </c>
      <c r="B36" s="15" t="s">
        <v>159</v>
      </c>
      <c r="C36" s="10"/>
      <c r="D36" s="11" t="s">
        <v>7</v>
      </c>
      <c r="E36" s="10"/>
      <c r="F36" s="12" t="s">
        <v>161</v>
      </c>
      <c r="G36" s="13"/>
      <c r="H36" s="10"/>
      <c r="I36" s="14"/>
      <c r="J36" s="7"/>
      <c r="K36" s="7"/>
      <c r="L36" s="7"/>
      <c r="M36" s="7"/>
      <c r="N36" s="7">
        <f t="shared" si="1"/>
        <v>1</v>
      </c>
      <c r="O36" s="7"/>
    </row>
    <row r="37">
      <c r="A37" s="8" t="s">
        <v>162</v>
      </c>
      <c r="B37" s="9" t="s">
        <v>163</v>
      </c>
      <c r="C37" s="10"/>
      <c r="D37" s="11" t="s">
        <v>7</v>
      </c>
      <c r="E37" s="10"/>
      <c r="F37" s="16"/>
      <c r="G37" s="13"/>
      <c r="H37" s="10"/>
      <c r="I37" s="14"/>
      <c r="J37" s="7"/>
      <c r="K37" s="7"/>
      <c r="L37" s="7"/>
      <c r="M37" s="22" t="s">
        <v>166</v>
      </c>
      <c r="N37" s="7">
        <f t="shared" si="1"/>
        <v>0</v>
      </c>
      <c r="O37" s="7"/>
    </row>
    <row r="38">
      <c r="A38" s="8" t="s">
        <v>169</v>
      </c>
      <c r="B38" s="9" t="s">
        <v>170</v>
      </c>
      <c r="C38" s="10"/>
      <c r="D38" s="18" t="s">
        <v>171</v>
      </c>
      <c r="E38" s="10"/>
      <c r="F38" s="12" t="s">
        <v>173</v>
      </c>
      <c r="G38" s="13"/>
      <c r="H38" s="10"/>
      <c r="I38" s="14"/>
      <c r="J38" s="7"/>
      <c r="K38" s="7"/>
      <c r="L38" s="7"/>
      <c r="M38" s="7"/>
      <c r="N38" s="7">
        <f t="shared" si="1"/>
        <v>1</v>
      </c>
      <c r="O38" s="7"/>
    </row>
    <row r="39">
      <c r="A39" s="8" t="s">
        <v>174</v>
      </c>
      <c r="B39" s="9" t="s">
        <v>175</v>
      </c>
      <c r="C39" s="10"/>
      <c r="D39" s="18" t="s">
        <v>176</v>
      </c>
      <c r="E39" s="10"/>
      <c r="F39" s="16"/>
      <c r="G39" s="13"/>
      <c r="H39" s="10"/>
      <c r="I39" s="14"/>
      <c r="J39" s="7"/>
      <c r="K39" s="7"/>
      <c r="L39" s="7"/>
      <c r="M39" s="7"/>
      <c r="N39" s="7">
        <f t="shared" si="1"/>
        <v>0</v>
      </c>
      <c r="O39" s="7"/>
    </row>
    <row r="40">
      <c r="A40" s="8" t="s">
        <v>178</v>
      </c>
      <c r="B40" s="9" t="s">
        <v>181</v>
      </c>
      <c r="C40" s="10"/>
      <c r="D40" s="11" t="s">
        <v>7</v>
      </c>
      <c r="E40" s="10"/>
      <c r="F40" s="12" t="s">
        <v>182</v>
      </c>
      <c r="G40" s="13"/>
      <c r="H40" s="10"/>
      <c r="I40" s="14"/>
      <c r="J40" s="7"/>
      <c r="K40" s="7"/>
      <c r="L40" s="7"/>
      <c r="M40" s="7"/>
      <c r="N40" s="7">
        <f t="shared" si="1"/>
        <v>1</v>
      </c>
      <c r="O40" s="7"/>
    </row>
    <row r="41">
      <c r="A41" s="8" t="s">
        <v>183</v>
      </c>
      <c r="B41" s="9" t="s">
        <v>184</v>
      </c>
      <c r="C41" s="10"/>
      <c r="D41" s="18" t="s">
        <v>185</v>
      </c>
      <c r="E41" s="10"/>
      <c r="F41" s="16"/>
      <c r="G41" s="13"/>
      <c r="H41" s="10"/>
      <c r="I41" s="14"/>
      <c r="J41" s="7"/>
      <c r="K41" s="7"/>
      <c r="L41" s="7"/>
      <c r="M41" s="7"/>
      <c r="N41" s="7">
        <f t="shared" si="1"/>
        <v>0</v>
      </c>
      <c r="O41" s="7"/>
    </row>
    <row r="42">
      <c r="A42" s="8" t="s">
        <v>186</v>
      </c>
      <c r="B42" s="9" t="s">
        <v>187</v>
      </c>
      <c r="C42" s="10"/>
      <c r="D42" s="11" t="s">
        <v>7</v>
      </c>
      <c r="E42" s="10"/>
      <c r="F42" s="12" t="s">
        <v>188</v>
      </c>
      <c r="G42" s="13"/>
      <c r="H42" s="10"/>
      <c r="I42" s="14"/>
      <c r="J42" s="7"/>
      <c r="K42" s="7"/>
      <c r="L42" s="7"/>
      <c r="M42" s="7"/>
      <c r="N42" s="7">
        <f t="shared" si="1"/>
        <v>1</v>
      </c>
      <c r="O42" s="7"/>
    </row>
    <row r="43">
      <c r="A43" s="8" t="s">
        <v>186</v>
      </c>
      <c r="B43" s="9" t="s">
        <v>189</v>
      </c>
      <c r="C43" s="10"/>
      <c r="D43" s="11" t="s">
        <v>7</v>
      </c>
      <c r="E43" s="10"/>
      <c r="F43" s="12"/>
      <c r="G43" s="13"/>
      <c r="H43" s="10"/>
      <c r="I43" s="14"/>
      <c r="J43" s="7"/>
      <c r="K43" s="7"/>
      <c r="L43" s="7"/>
      <c r="M43" s="7"/>
      <c r="N43" s="7">
        <f t="shared" si="1"/>
        <v>0</v>
      </c>
      <c r="O43" s="7"/>
    </row>
    <row r="44">
      <c r="A44" s="8" t="s">
        <v>186</v>
      </c>
      <c r="B44" s="9" t="s">
        <v>190</v>
      </c>
      <c r="C44" s="10"/>
      <c r="D44" s="11" t="s">
        <v>7</v>
      </c>
      <c r="E44" s="10"/>
      <c r="F44" s="12"/>
      <c r="G44" s="13"/>
      <c r="H44" s="10"/>
      <c r="I44" s="14"/>
      <c r="J44" s="7"/>
      <c r="K44" s="7"/>
      <c r="L44" s="7"/>
      <c r="M44" s="7"/>
      <c r="N44" s="7">
        <f t="shared" si="1"/>
        <v>0</v>
      </c>
      <c r="O44" s="7"/>
    </row>
    <row r="45">
      <c r="A45" s="8" t="s">
        <v>192</v>
      </c>
      <c r="B45" s="9" t="s">
        <v>193</v>
      </c>
      <c r="C45" s="10"/>
      <c r="D45" s="18" t="s">
        <v>194</v>
      </c>
      <c r="E45" s="10"/>
      <c r="F45" s="16"/>
      <c r="G45" s="13"/>
      <c r="H45" s="10"/>
      <c r="I45" s="14"/>
      <c r="J45" s="7"/>
      <c r="K45" s="7"/>
      <c r="L45" s="7"/>
      <c r="M45" s="7"/>
      <c r="N45" s="7">
        <f t="shared" si="1"/>
        <v>0</v>
      </c>
      <c r="O45" s="7"/>
    </row>
    <row r="46">
      <c r="A46" s="8" t="s">
        <v>195</v>
      </c>
      <c r="B46" s="9" t="s">
        <v>196</v>
      </c>
      <c r="C46" s="10"/>
      <c r="D46" s="23" t="s">
        <v>197</v>
      </c>
      <c r="E46" s="10"/>
      <c r="F46" s="16"/>
      <c r="G46" s="13"/>
      <c r="H46" s="10"/>
      <c r="I46" s="14"/>
      <c r="J46" s="7"/>
      <c r="K46" s="7"/>
      <c r="L46" s="7"/>
      <c r="M46" s="7"/>
      <c r="N46" s="7">
        <f t="shared" si="1"/>
        <v>0</v>
      </c>
      <c r="O46" s="7"/>
    </row>
    <row r="47">
      <c r="A47" s="8" t="s">
        <v>198</v>
      </c>
      <c r="B47" s="15" t="s">
        <v>199</v>
      </c>
      <c r="C47" s="10"/>
      <c r="D47" s="18" t="s">
        <v>200</v>
      </c>
      <c r="E47" s="10"/>
      <c r="F47" s="12" t="s">
        <v>201</v>
      </c>
      <c r="G47" s="13"/>
      <c r="H47" s="10"/>
      <c r="I47" s="14"/>
      <c r="J47" s="7"/>
      <c r="K47" s="7"/>
      <c r="L47" s="7"/>
      <c r="M47" s="7"/>
      <c r="N47" s="7">
        <f t="shared" si="1"/>
        <v>1</v>
      </c>
      <c r="O47" s="7"/>
    </row>
    <row r="48">
      <c r="A48" s="8" t="s">
        <v>203</v>
      </c>
      <c r="B48" s="15" t="s">
        <v>204</v>
      </c>
      <c r="C48" s="10"/>
      <c r="D48" s="18" t="s">
        <v>205</v>
      </c>
      <c r="E48" s="10"/>
      <c r="F48" s="12" t="s">
        <v>206</v>
      </c>
      <c r="G48" s="13"/>
      <c r="H48" s="10"/>
      <c r="I48" s="14"/>
      <c r="J48" s="7"/>
      <c r="K48" s="7"/>
      <c r="L48" s="7"/>
      <c r="M48" s="7"/>
      <c r="N48" s="7">
        <f t="shared" si="1"/>
        <v>1</v>
      </c>
      <c r="O48" s="7"/>
    </row>
    <row r="49">
      <c r="A49" s="8" t="s">
        <v>207</v>
      </c>
      <c r="B49" s="9" t="s">
        <v>208</v>
      </c>
      <c r="C49" s="10"/>
      <c r="D49" s="11" t="s">
        <v>209</v>
      </c>
      <c r="E49" s="10"/>
      <c r="F49" s="16"/>
      <c r="G49" s="13"/>
      <c r="H49" s="10"/>
      <c r="I49" s="14"/>
      <c r="J49" s="7"/>
      <c r="K49" s="7"/>
      <c r="L49" s="7"/>
      <c r="M49" s="7"/>
      <c r="N49" s="7">
        <f t="shared" si="1"/>
        <v>0</v>
      </c>
      <c r="O49" s="7"/>
    </row>
    <row r="50">
      <c r="A50" s="8" t="s">
        <v>211</v>
      </c>
      <c r="B50" s="9" t="s">
        <v>212</v>
      </c>
      <c r="C50" s="10"/>
      <c r="D50" s="19" t="s">
        <v>259</v>
      </c>
      <c r="E50" s="10"/>
      <c r="F50" s="12" t="s">
        <v>215</v>
      </c>
      <c r="G50" s="13"/>
      <c r="H50" s="10"/>
      <c r="I50" s="14"/>
      <c r="J50" s="7"/>
      <c r="K50" s="7"/>
      <c r="L50" s="7"/>
      <c r="M50" s="7"/>
      <c r="N50" s="7">
        <f t="shared" si="1"/>
        <v>1</v>
      </c>
      <c r="O50" s="7"/>
    </row>
    <row r="51">
      <c r="A51" s="8" t="s">
        <v>216</v>
      </c>
      <c r="B51" s="9" t="s">
        <v>217</v>
      </c>
      <c r="C51" s="10"/>
      <c r="D51" s="19" t="s">
        <v>267</v>
      </c>
      <c r="E51" s="10"/>
      <c r="F51" s="12" t="s">
        <v>219</v>
      </c>
      <c r="G51" s="13"/>
      <c r="H51" s="10"/>
      <c r="I51" s="14"/>
      <c r="J51" s="7"/>
      <c r="K51" s="7"/>
      <c r="L51" s="7"/>
      <c r="M51" s="7"/>
      <c r="N51" s="7">
        <f t="shared" si="1"/>
        <v>1</v>
      </c>
      <c r="O51" s="7"/>
    </row>
    <row r="52">
      <c r="A52" s="8" t="s">
        <v>220</v>
      </c>
      <c r="B52" s="9" t="s">
        <v>221</v>
      </c>
      <c r="C52" s="10"/>
      <c r="D52" s="18" t="s">
        <v>222</v>
      </c>
      <c r="E52" s="10"/>
      <c r="F52" s="16"/>
      <c r="G52" s="13"/>
      <c r="H52" s="10"/>
      <c r="I52" s="14"/>
      <c r="J52" s="7"/>
      <c r="K52" s="7"/>
      <c r="L52" s="7"/>
      <c r="M52" s="7"/>
      <c r="N52" s="7">
        <f t="shared" si="1"/>
        <v>0</v>
      </c>
      <c r="O52" s="7"/>
    </row>
    <row r="53">
      <c r="A53" s="8" t="s">
        <v>224</v>
      </c>
      <c r="B53" s="9" t="s">
        <v>225</v>
      </c>
      <c r="C53" s="10"/>
      <c r="D53" s="18" t="s">
        <v>226</v>
      </c>
      <c r="E53" s="10"/>
      <c r="F53" s="12" t="s">
        <v>227</v>
      </c>
      <c r="G53" s="13"/>
      <c r="H53" s="10"/>
      <c r="I53" s="14"/>
      <c r="J53" s="7"/>
      <c r="K53" s="7"/>
      <c r="L53" s="7"/>
      <c r="M53" s="7"/>
      <c r="N53" s="7">
        <f t="shared" si="1"/>
        <v>1</v>
      </c>
      <c r="O53" s="7"/>
    </row>
    <row r="54">
      <c r="A54" s="8" t="s">
        <v>228</v>
      </c>
      <c r="B54" s="9" t="s">
        <v>229</v>
      </c>
      <c r="C54" s="10"/>
      <c r="D54" s="11" t="s">
        <v>230</v>
      </c>
      <c r="E54" s="10"/>
      <c r="F54" s="12" t="s">
        <v>231</v>
      </c>
      <c r="G54" s="13"/>
      <c r="H54" s="10"/>
      <c r="I54" s="17"/>
      <c r="J54" s="7"/>
      <c r="K54" s="7"/>
      <c r="L54" s="7"/>
      <c r="M54" s="7"/>
      <c r="N54" s="7">
        <f t="shared" si="1"/>
        <v>1</v>
      </c>
      <c r="O54" s="7"/>
    </row>
    <row r="55">
      <c r="A55" s="8" t="s">
        <v>232</v>
      </c>
      <c r="B55" s="9" t="s">
        <v>229</v>
      </c>
      <c r="C55" s="10"/>
      <c r="D55" s="11" t="s">
        <v>233</v>
      </c>
      <c r="E55" s="10"/>
      <c r="F55" s="12" t="s">
        <v>234</v>
      </c>
      <c r="G55" s="13"/>
      <c r="H55" s="10"/>
      <c r="I55" s="14"/>
      <c r="J55" s="7"/>
      <c r="K55" s="7"/>
      <c r="L55" s="7"/>
      <c r="M55" s="7"/>
      <c r="N55" s="7">
        <f t="shared" si="1"/>
        <v>1</v>
      </c>
      <c r="O55" s="7"/>
    </row>
    <row r="56">
      <c r="A56" s="8" t="s">
        <v>236</v>
      </c>
      <c r="B56" s="9" t="s">
        <v>237</v>
      </c>
      <c r="C56" s="10"/>
      <c r="D56" s="9" t="s">
        <v>238</v>
      </c>
      <c r="E56" s="10"/>
      <c r="F56" s="12" t="s">
        <v>239</v>
      </c>
      <c r="G56" s="13"/>
      <c r="H56" s="10"/>
      <c r="I56" s="14"/>
      <c r="J56" s="7"/>
      <c r="K56" s="7"/>
      <c r="L56" s="7"/>
      <c r="M56" s="7"/>
      <c r="N56" s="7">
        <f t="shared" si="1"/>
        <v>1</v>
      </c>
      <c r="O56" s="7"/>
    </row>
    <row r="57">
      <c r="A57" s="8" t="s">
        <v>240</v>
      </c>
      <c r="B57" s="9" t="s">
        <v>241</v>
      </c>
      <c r="C57" s="10"/>
      <c r="D57" s="11" t="s">
        <v>7</v>
      </c>
      <c r="E57" s="10"/>
      <c r="F57" s="16"/>
      <c r="G57" s="13"/>
      <c r="H57" s="10"/>
      <c r="I57" s="14"/>
      <c r="J57" s="7"/>
      <c r="K57" s="7"/>
      <c r="L57" s="7"/>
      <c r="M57" s="7"/>
      <c r="N57" s="7">
        <f t="shared" si="1"/>
        <v>0</v>
      </c>
      <c r="O57" s="7"/>
    </row>
    <row r="58" ht="15.75" customHeight="1">
      <c r="A58" s="8" t="s">
        <v>242</v>
      </c>
      <c r="B58" s="9" t="s">
        <v>244</v>
      </c>
      <c r="C58" s="10"/>
      <c r="D58" s="19" t="s">
        <v>304</v>
      </c>
      <c r="E58" s="10"/>
      <c r="F58" s="12" t="s">
        <v>246</v>
      </c>
      <c r="G58" s="13"/>
      <c r="H58" s="10"/>
      <c r="I58" s="17" t="s">
        <v>247</v>
      </c>
      <c r="J58" s="7"/>
      <c r="K58" s="7"/>
      <c r="L58" s="7"/>
      <c r="M58" s="7"/>
      <c r="N58" s="7">
        <f t="shared" si="1"/>
        <v>1</v>
      </c>
      <c r="O58" s="7"/>
    </row>
    <row r="59">
      <c r="A59" s="8" t="s">
        <v>248</v>
      </c>
      <c r="B59" s="9" t="s">
        <v>250</v>
      </c>
      <c r="C59" s="10"/>
      <c r="D59" s="19" t="s">
        <v>311</v>
      </c>
      <c r="E59" s="10"/>
      <c r="F59" s="12" t="s">
        <v>253</v>
      </c>
      <c r="G59" s="13"/>
      <c r="H59" s="10"/>
      <c r="I59" s="17" t="s">
        <v>254</v>
      </c>
      <c r="J59" s="7"/>
      <c r="K59" s="7"/>
      <c r="L59" s="7"/>
      <c r="M59" s="7"/>
      <c r="N59" s="7">
        <f t="shared" si="1"/>
        <v>1</v>
      </c>
      <c r="O59" s="7"/>
    </row>
    <row r="60">
      <c r="A60" s="8" t="s">
        <v>255</v>
      </c>
      <c r="B60" s="9" t="s">
        <v>256</v>
      </c>
      <c r="C60" s="10"/>
      <c r="D60" s="18" t="s">
        <v>257</v>
      </c>
      <c r="E60" s="10"/>
      <c r="F60" s="12" t="s">
        <v>258</v>
      </c>
      <c r="G60" s="13"/>
      <c r="H60" s="10"/>
      <c r="I60" s="17" t="s">
        <v>260</v>
      </c>
      <c r="J60" s="7"/>
      <c r="K60" s="7"/>
      <c r="L60" s="7"/>
      <c r="M60" s="7"/>
      <c r="N60" s="7">
        <f t="shared" si="1"/>
        <v>1</v>
      </c>
      <c r="O60" s="7"/>
    </row>
    <row r="61">
      <c r="A61" s="8" t="s">
        <v>261</v>
      </c>
      <c r="B61" s="9" t="s">
        <v>262</v>
      </c>
      <c r="C61" s="10"/>
      <c r="D61" s="21" t="s">
        <v>321</v>
      </c>
      <c r="E61" s="10"/>
      <c r="F61" s="12" t="s">
        <v>265</v>
      </c>
      <c r="G61" s="13"/>
      <c r="H61" s="10"/>
      <c r="I61" s="14"/>
      <c r="J61" s="7"/>
      <c r="K61" s="7"/>
      <c r="L61" s="7"/>
      <c r="M61" s="7"/>
      <c r="N61" s="7">
        <f t="shared" si="1"/>
        <v>1</v>
      </c>
      <c r="O61" s="7"/>
    </row>
    <row r="62">
      <c r="A62" s="8" t="s">
        <v>266</v>
      </c>
      <c r="B62" s="9" t="s">
        <v>269</v>
      </c>
      <c r="C62" s="10"/>
      <c r="D62" s="18" t="s">
        <v>270</v>
      </c>
      <c r="E62" s="10"/>
      <c r="F62" s="12" t="s">
        <v>271</v>
      </c>
      <c r="G62" s="13"/>
      <c r="H62" s="10"/>
      <c r="I62" s="14"/>
      <c r="J62" s="7"/>
      <c r="K62" s="7"/>
      <c r="L62" s="7"/>
      <c r="M62" s="7"/>
      <c r="N62" s="7">
        <f t="shared" si="1"/>
        <v>1</v>
      </c>
      <c r="O62" s="7"/>
    </row>
    <row r="63">
      <c r="A63" s="8" t="s">
        <v>272</v>
      </c>
      <c r="B63" s="9" t="s">
        <v>274</v>
      </c>
      <c r="C63" s="10"/>
      <c r="D63" s="18" t="s">
        <v>257</v>
      </c>
      <c r="E63" s="10"/>
      <c r="F63" s="12" t="s">
        <v>275</v>
      </c>
      <c r="G63" s="13"/>
      <c r="H63" s="10"/>
      <c r="I63" s="14"/>
      <c r="J63" s="7"/>
      <c r="K63" s="7"/>
      <c r="L63" s="7"/>
      <c r="M63" s="7"/>
      <c r="N63" s="7">
        <f t="shared" si="1"/>
        <v>1</v>
      </c>
      <c r="O63" s="7"/>
    </row>
    <row r="64">
      <c r="A64" s="8" t="s">
        <v>276</v>
      </c>
      <c r="B64" s="9" t="s">
        <v>277</v>
      </c>
      <c r="C64" s="10"/>
      <c r="D64" s="18" t="s">
        <v>278</v>
      </c>
      <c r="E64" s="10"/>
      <c r="F64" s="12" t="s">
        <v>279</v>
      </c>
      <c r="G64" s="13"/>
      <c r="H64" s="10"/>
      <c r="I64" s="17" t="s">
        <v>280</v>
      </c>
      <c r="J64" s="7"/>
      <c r="K64" s="7"/>
      <c r="L64" s="7"/>
      <c r="M64" s="7"/>
      <c r="N64" s="7">
        <f t="shared" si="1"/>
        <v>1</v>
      </c>
      <c r="O64" s="7"/>
    </row>
    <row r="65">
      <c r="A65" s="8" t="s">
        <v>281</v>
      </c>
      <c r="B65" s="9" t="s">
        <v>282</v>
      </c>
      <c r="C65" s="10"/>
      <c r="D65" s="18" t="s">
        <v>283</v>
      </c>
      <c r="E65" s="10"/>
      <c r="F65" s="12" t="s">
        <v>284</v>
      </c>
      <c r="G65" s="13"/>
      <c r="H65" s="10"/>
      <c r="I65" s="14"/>
      <c r="J65" s="7"/>
      <c r="K65" s="7"/>
      <c r="L65" s="7"/>
      <c r="M65" s="7"/>
      <c r="N65" s="7">
        <f t="shared" si="1"/>
        <v>1</v>
      </c>
      <c r="O65" s="7"/>
    </row>
    <row r="66">
      <c r="A66" s="8" t="s">
        <v>285</v>
      </c>
      <c r="B66" s="9" t="s">
        <v>287</v>
      </c>
      <c r="C66" s="10"/>
      <c r="D66" s="18" t="s">
        <v>288</v>
      </c>
      <c r="E66" s="10"/>
      <c r="F66" s="12" t="s">
        <v>289</v>
      </c>
      <c r="G66" s="13"/>
      <c r="H66" s="10"/>
      <c r="I66" s="17" t="s">
        <v>290</v>
      </c>
      <c r="J66" s="7"/>
      <c r="K66" s="7"/>
      <c r="L66" s="7"/>
      <c r="M66" s="7"/>
      <c r="N66" s="7">
        <f t="shared" si="1"/>
        <v>1</v>
      </c>
      <c r="O66" s="7"/>
    </row>
    <row r="67">
      <c r="A67" s="8" t="s">
        <v>291</v>
      </c>
      <c r="B67" s="9" t="s">
        <v>293</v>
      </c>
      <c r="C67" s="10"/>
      <c r="D67" s="9" t="s">
        <v>294</v>
      </c>
      <c r="E67" s="10"/>
      <c r="F67" s="12" t="s">
        <v>295</v>
      </c>
      <c r="G67" s="13"/>
      <c r="H67" s="10"/>
      <c r="I67" s="14"/>
      <c r="J67" s="7"/>
      <c r="K67" s="7"/>
      <c r="L67" s="7"/>
      <c r="M67" s="7"/>
      <c r="N67" s="7">
        <f t="shared" si="1"/>
        <v>1</v>
      </c>
      <c r="O67" s="7"/>
    </row>
    <row r="68">
      <c r="A68" s="8" t="s">
        <v>296</v>
      </c>
      <c r="B68" s="9" t="s">
        <v>298</v>
      </c>
      <c r="C68" s="10"/>
      <c r="D68" s="11" t="s">
        <v>299</v>
      </c>
      <c r="E68" s="10"/>
      <c r="F68" s="12" t="s">
        <v>300</v>
      </c>
      <c r="G68" s="13"/>
      <c r="H68" s="10"/>
      <c r="I68" s="14"/>
      <c r="J68" s="7"/>
      <c r="K68" s="7"/>
      <c r="L68" s="7"/>
      <c r="M68" s="7"/>
      <c r="N68" s="7">
        <f t="shared" si="1"/>
        <v>1</v>
      </c>
      <c r="O68" s="7"/>
    </row>
    <row r="69">
      <c r="A69" s="8" t="s">
        <v>301</v>
      </c>
      <c r="B69" s="15" t="s">
        <v>302</v>
      </c>
      <c r="C69" s="10"/>
      <c r="D69" s="11" t="s">
        <v>7</v>
      </c>
      <c r="E69" s="10"/>
      <c r="F69" s="12" t="s">
        <v>305</v>
      </c>
      <c r="G69" s="13"/>
      <c r="H69" s="10"/>
      <c r="I69" s="14"/>
      <c r="J69" s="7"/>
      <c r="K69" s="7"/>
      <c r="L69" s="7"/>
      <c r="M69" s="7"/>
      <c r="N69" s="7">
        <f t="shared" si="1"/>
        <v>1</v>
      </c>
      <c r="O69" s="7"/>
    </row>
    <row r="70">
      <c r="A70" s="8" t="s">
        <v>306</v>
      </c>
      <c r="B70" s="9" t="s">
        <v>307</v>
      </c>
      <c r="C70" s="10"/>
      <c r="D70" s="21" t="s">
        <v>365</v>
      </c>
      <c r="E70" s="10"/>
      <c r="F70" s="12" t="s">
        <v>309</v>
      </c>
      <c r="G70" s="13"/>
      <c r="H70" s="10"/>
      <c r="I70" s="14"/>
      <c r="J70" s="7"/>
      <c r="K70" s="7"/>
      <c r="L70" s="7"/>
      <c r="M70" s="7"/>
      <c r="N70" s="7">
        <f t="shared" si="1"/>
        <v>1</v>
      </c>
      <c r="O70" s="7"/>
    </row>
    <row r="71">
      <c r="A71" s="8" t="s">
        <v>310</v>
      </c>
      <c r="B71" s="9" t="s">
        <v>312</v>
      </c>
      <c r="C71" s="10"/>
      <c r="D71" s="11" t="s">
        <v>313</v>
      </c>
      <c r="E71" s="10"/>
      <c r="F71" s="12" t="s">
        <v>315</v>
      </c>
      <c r="G71" s="13"/>
      <c r="H71" s="10"/>
      <c r="I71" s="14"/>
      <c r="J71" s="7"/>
      <c r="K71" s="7"/>
      <c r="L71" s="7"/>
      <c r="M71" s="7"/>
      <c r="N71" s="7">
        <f t="shared" si="1"/>
        <v>1</v>
      </c>
      <c r="O71" s="7"/>
    </row>
    <row r="72">
      <c r="A72" s="8" t="s">
        <v>316</v>
      </c>
      <c r="B72" s="9" t="s">
        <v>317</v>
      </c>
      <c r="C72" s="10"/>
      <c r="D72" s="9" t="s">
        <v>318</v>
      </c>
      <c r="E72" s="10"/>
      <c r="F72" s="16"/>
      <c r="G72" s="13"/>
      <c r="H72" s="10"/>
      <c r="I72" s="14"/>
      <c r="J72" s="7"/>
      <c r="K72" s="7"/>
      <c r="L72" s="7"/>
      <c r="M72" s="7"/>
      <c r="N72" s="7">
        <f t="shared" si="1"/>
        <v>0</v>
      </c>
      <c r="O72" s="7"/>
    </row>
    <row r="73">
      <c r="A73" s="24" t="s">
        <v>319</v>
      </c>
      <c r="B73" s="15" t="s">
        <v>322</v>
      </c>
      <c r="C73" s="10"/>
      <c r="D73" s="11" t="s">
        <v>7</v>
      </c>
      <c r="E73" s="10"/>
      <c r="F73" s="12" t="s">
        <v>323</v>
      </c>
      <c r="G73" s="13"/>
      <c r="H73" s="10"/>
      <c r="I73" s="17" t="s">
        <v>324</v>
      </c>
      <c r="J73" s="7"/>
      <c r="K73" s="7"/>
      <c r="L73" s="7"/>
      <c r="M73" s="7"/>
      <c r="N73" s="7">
        <f t="shared" si="1"/>
        <v>1</v>
      </c>
      <c r="O73" s="7"/>
    </row>
    <row r="74">
      <c r="A74" s="8" t="s">
        <v>325</v>
      </c>
      <c r="B74" s="15" t="s">
        <v>326</v>
      </c>
      <c r="C74" s="10"/>
      <c r="D74" s="11" t="s">
        <v>327</v>
      </c>
      <c r="E74" s="10"/>
      <c r="F74" s="12" t="s">
        <v>328</v>
      </c>
      <c r="G74" s="13"/>
      <c r="H74" s="10"/>
      <c r="I74" s="14"/>
      <c r="J74" s="7"/>
      <c r="K74" s="7"/>
      <c r="L74" s="7"/>
      <c r="M74" s="7"/>
      <c r="N74" s="7">
        <f t="shared" si="1"/>
        <v>1</v>
      </c>
      <c r="O74" s="7"/>
    </row>
    <row r="75">
      <c r="A75" s="8" t="s">
        <v>329</v>
      </c>
      <c r="B75" s="9" t="s">
        <v>331</v>
      </c>
      <c r="C75" s="10"/>
      <c r="D75" s="18" t="s">
        <v>332</v>
      </c>
      <c r="E75" s="10"/>
      <c r="F75" s="12" t="s">
        <v>333</v>
      </c>
      <c r="G75" s="13"/>
      <c r="H75" s="10"/>
      <c r="I75" s="14"/>
      <c r="J75" s="7"/>
      <c r="K75" s="7"/>
      <c r="L75" s="7"/>
      <c r="M75" s="7"/>
      <c r="N75" s="7">
        <f t="shared" si="1"/>
        <v>1</v>
      </c>
      <c r="O75" s="7"/>
    </row>
    <row r="76">
      <c r="A76" s="8" t="s">
        <v>334</v>
      </c>
      <c r="B76" s="9" t="s">
        <v>335</v>
      </c>
      <c r="C76" s="10"/>
      <c r="D76" s="11" t="s">
        <v>7</v>
      </c>
      <c r="E76" s="10"/>
      <c r="F76" s="12"/>
      <c r="G76" s="13"/>
      <c r="H76" s="10"/>
      <c r="I76" s="14"/>
      <c r="J76" s="7"/>
      <c r="K76" s="7"/>
      <c r="L76" s="7"/>
      <c r="M76" s="7"/>
      <c r="N76" s="7">
        <f t="shared" si="1"/>
        <v>0</v>
      </c>
      <c r="O76" s="7"/>
    </row>
    <row r="77">
      <c r="A77" s="8" t="s">
        <v>336</v>
      </c>
      <c r="B77" s="9" t="s">
        <v>337</v>
      </c>
      <c r="C77" s="10"/>
      <c r="D77" s="11" t="s">
        <v>338</v>
      </c>
      <c r="E77" s="10"/>
      <c r="F77" s="12" t="s">
        <v>339</v>
      </c>
      <c r="G77" s="13"/>
      <c r="H77" s="10"/>
      <c r="I77" s="14"/>
      <c r="J77" s="7"/>
      <c r="K77" s="7"/>
      <c r="L77" s="7"/>
      <c r="M77" s="7"/>
      <c r="N77" s="7">
        <f t="shared" si="1"/>
        <v>1</v>
      </c>
      <c r="O77" s="7"/>
    </row>
    <row r="78">
      <c r="A78" s="8" t="s">
        <v>340</v>
      </c>
      <c r="B78" s="9" t="s">
        <v>341</v>
      </c>
      <c r="C78" s="10"/>
      <c r="D78" s="11" t="s">
        <v>342</v>
      </c>
      <c r="E78" s="10"/>
      <c r="F78" s="12" t="s">
        <v>343</v>
      </c>
      <c r="G78" s="13"/>
      <c r="H78" s="10"/>
      <c r="I78" s="17" t="s">
        <v>344</v>
      </c>
      <c r="J78" s="7"/>
      <c r="K78" s="7"/>
      <c r="L78" s="7"/>
      <c r="M78" s="7"/>
      <c r="N78" s="7">
        <f t="shared" si="1"/>
        <v>1</v>
      </c>
      <c r="O78" s="7"/>
    </row>
    <row r="79">
      <c r="A79" s="8" t="s">
        <v>345</v>
      </c>
      <c r="B79" s="9" t="s">
        <v>347</v>
      </c>
      <c r="C79" s="10"/>
      <c r="D79" s="19" t="s">
        <v>409</v>
      </c>
      <c r="E79" s="10"/>
      <c r="F79" s="12" t="s">
        <v>349</v>
      </c>
      <c r="G79" s="13"/>
      <c r="H79" s="10"/>
      <c r="I79" s="17" t="s">
        <v>351</v>
      </c>
      <c r="J79" s="7"/>
      <c r="K79" s="7"/>
      <c r="L79" s="7"/>
      <c r="M79" s="7"/>
      <c r="N79" s="7">
        <f t="shared" si="1"/>
        <v>1</v>
      </c>
      <c r="O79" s="7"/>
    </row>
    <row r="80">
      <c r="A80" s="8" t="s">
        <v>352</v>
      </c>
      <c r="B80" s="9" t="s">
        <v>353</v>
      </c>
      <c r="C80" s="10"/>
      <c r="D80" s="18" t="s">
        <v>354</v>
      </c>
      <c r="E80" s="10"/>
      <c r="F80" s="12" t="s">
        <v>355</v>
      </c>
      <c r="G80" s="13"/>
      <c r="H80" s="10"/>
      <c r="I80" s="17" t="s">
        <v>356</v>
      </c>
      <c r="J80" s="7"/>
      <c r="K80" s="7"/>
      <c r="L80" s="7"/>
      <c r="M80" s="7"/>
      <c r="N80" s="7">
        <f t="shared" si="1"/>
        <v>1</v>
      </c>
      <c r="O80" s="7"/>
    </row>
    <row r="81">
      <c r="A81" s="8" t="s">
        <v>357</v>
      </c>
      <c r="B81" s="9" t="s">
        <v>358</v>
      </c>
      <c r="C81" s="10"/>
      <c r="D81" s="11" t="s">
        <v>359</v>
      </c>
      <c r="E81" s="10"/>
      <c r="F81" s="12" t="s">
        <v>360</v>
      </c>
      <c r="G81" s="13"/>
      <c r="H81" s="10"/>
      <c r="I81" s="14"/>
      <c r="J81" s="7"/>
      <c r="K81" s="7"/>
      <c r="L81" s="7"/>
      <c r="M81" s="7"/>
      <c r="N81" s="7">
        <f t="shared" si="1"/>
        <v>1</v>
      </c>
      <c r="O81" s="7"/>
    </row>
    <row r="82">
      <c r="A82" s="8" t="s">
        <v>361</v>
      </c>
      <c r="B82" s="9" t="s">
        <v>362</v>
      </c>
      <c r="C82" s="10"/>
      <c r="D82" s="11" t="s">
        <v>7</v>
      </c>
      <c r="E82" s="10"/>
      <c r="F82" s="12" t="s">
        <v>363</v>
      </c>
      <c r="G82" s="13"/>
      <c r="H82" s="10"/>
      <c r="I82" s="14"/>
      <c r="J82" s="7"/>
      <c r="K82" s="7"/>
      <c r="L82" s="7"/>
      <c r="M82" s="7"/>
      <c r="N82" s="7">
        <f t="shared" si="1"/>
        <v>1</v>
      </c>
      <c r="O82" s="7"/>
    </row>
    <row r="83">
      <c r="A83" s="8" t="s">
        <v>364</v>
      </c>
      <c r="B83" s="9" t="s">
        <v>366</v>
      </c>
      <c r="C83" s="10"/>
      <c r="D83" s="11" t="s">
        <v>7</v>
      </c>
      <c r="E83" s="10"/>
      <c r="F83" s="12" t="s">
        <v>367</v>
      </c>
      <c r="G83" s="13"/>
      <c r="H83" s="10"/>
      <c r="I83" s="14"/>
      <c r="J83" s="7"/>
      <c r="K83" s="7"/>
      <c r="L83" s="7"/>
      <c r="M83" s="7"/>
      <c r="N83" s="7">
        <f t="shared" si="1"/>
        <v>1</v>
      </c>
      <c r="O83" s="7"/>
    </row>
    <row r="84">
      <c r="A84" s="8" t="s">
        <v>368</v>
      </c>
      <c r="B84" s="9" t="s">
        <v>370</v>
      </c>
      <c r="C84" s="10"/>
      <c r="D84" s="11" t="s">
        <v>7</v>
      </c>
      <c r="E84" s="10"/>
      <c r="F84" s="16"/>
      <c r="G84" s="13"/>
      <c r="H84" s="10"/>
      <c r="I84" s="14"/>
      <c r="J84" s="7"/>
      <c r="K84" s="7"/>
      <c r="L84" s="7"/>
      <c r="M84" s="7"/>
      <c r="N84" s="7">
        <f t="shared" si="1"/>
        <v>0</v>
      </c>
      <c r="O84" s="7"/>
    </row>
    <row r="85">
      <c r="A85" s="8" t="s">
        <v>371</v>
      </c>
      <c r="B85" s="9" t="s">
        <v>372</v>
      </c>
      <c r="C85" s="10"/>
      <c r="D85" s="11" t="s">
        <v>7</v>
      </c>
      <c r="E85" s="10"/>
      <c r="F85" s="12" t="s">
        <v>373</v>
      </c>
      <c r="G85" s="13"/>
      <c r="H85" s="10"/>
      <c r="I85" s="17" t="s">
        <v>374</v>
      </c>
      <c r="J85" s="7"/>
      <c r="K85" s="7"/>
      <c r="L85" s="7"/>
      <c r="M85" s="7"/>
      <c r="N85" s="7">
        <f t="shared" si="1"/>
        <v>1</v>
      </c>
      <c r="O85" s="7"/>
    </row>
    <row r="86">
      <c r="A86" s="8" t="s">
        <v>375</v>
      </c>
      <c r="B86" s="9" t="s">
        <v>376</v>
      </c>
      <c r="C86" s="10"/>
      <c r="D86" s="18" t="s">
        <v>377</v>
      </c>
      <c r="E86" s="10"/>
      <c r="F86" s="16"/>
      <c r="G86" s="13"/>
      <c r="H86" s="10"/>
      <c r="I86" s="14"/>
      <c r="J86" s="7"/>
      <c r="K86" s="7"/>
      <c r="L86" s="7"/>
      <c r="M86" s="7"/>
      <c r="N86" s="7">
        <f t="shared" si="1"/>
        <v>0</v>
      </c>
      <c r="O86" s="7"/>
    </row>
    <row r="87">
      <c r="A87" s="8" t="s">
        <v>379</v>
      </c>
      <c r="B87" s="9" t="s">
        <v>381</v>
      </c>
      <c r="C87" s="10"/>
      <c r="D87" s="11" t="s">
        <v>7</v>
      </c>
      <c r="E87" s="10"/>
      <c r="F87" s="16"/>
      <c r="G87" s="13"/>
      <c r="H87" s="10"/>
      <c r="I87" s="14"/>
      <c r="J87" s="7"/>
      <c r="K87" s="7"/>
      <c r="L87" s="7"/>
      <c r="M87" s="7"/>
      <c r="N87" s="7">
        <f t="shared" si="1"/>
        <v>0</v>
      </c>
      <c r="O87" s="7"/>
    </row>
    <row r="88">
      <c r="A88" s="8" t="s">
        <v>382</v>
      </c>
      <c r="B88" s="9" t="s">
        <v>383</v>
      </c>
      <c r="C88" s="10"/>
      <c r="D88" s="18" t="s">
        <v>385</v>
      </c>
      <c r="E88" s="10"/>
      <c r="F88" s="12" t="s">
        <v>386</v>
      </c>
      <c r="G88" s="13"/>
      <c r="H88" s="10"/>
      <c r="I88" s="17"/>
      <c r="J88" s="7"/>
      <c r="K88" s="7"/>
      <c r="L88" s="7"/>
      <c r="M88" s="7"/>
      <c r="N88" s="7">
        <f t="shared" si="1"/>
        <v>1</v>
      </c>
      <c r="O88" s="7"/>
    </row>
    <row r="89">
      <c r="A89" s="24" t="s">
        <v>387</v>
      </c>
      <c r="B89" s="9" t="s">
        <v>388</v>
      </c>
      <c r="C89" s="10"/>
      <c r="D89" s="18" t="s">
        <v>389</v>
      </c>
      <c r="E89" s="10"/>
      <c r="F89" s="12" t="s">
        <v>390</v>
      </c>
      <c r="G89" s="13"/>
      <c r="H89" s="10"/>
      <c r="I89" s="17" t="s">
        <v>391</v>
      </c>
      <c r="J89" s="7"/>
      <c r="K89" s="7"/>
      <c r="L89" s="7"/>
      <c r="M89" s="7"/>
      <c r="N89" s="7">
        <f t="shared" si="1"/>
        <v>1</v>
      </c>
      <c r="O89" s="7"/>
    </row>
    <row r="90">
      <c r="A90" s="8" t="s">
        <v>392</v>
      </c>
      <c r="B90" s="9" t="s">
        <v>393</v>
      </c>
      <c r="C90" s="10"/>
      <c r="D90" s="18" t="s">
        <v>394</v>
      </c>
      <c r="E90" s="10"/>
      <c r="F90" s="12" t="s">
        <v>395</v>
      </c>
      <c r="G90" s="13"/>
      <c r="H90" s="10"/>
      <c r="I90" s="14"/>
      <c r="J90" s="7"/>
      <c r="K90" s="7"/>
      <c r="L90" s="7"/>
      <c r="M90" s="7"/>
      <c r="N90" s="7">
        <f t="shared" si="1"/>
        <v>1</v>
      </c>
      <c r="O90" s="7"/>
    </row>
    <row r="91">
      <c r="A91" s="8" t="s">
        <v>396</v>
      </c>
      <c r="B91" s="9" t="s">
        <v>397</v>
      </c>
      <c r="C91" s="10"/>
      <c r="D91" s="19" t="s">
        <v>475</v>
      </c>
      <c r="E91" s="10"/>
      <c r="F91" s="12" t="s">
        <v>399</v>
      </c>
      <c r="G91" s="13"/>
      <c r="H91" s="10"/>
      <c r="I91" s="14"/>
      <c r="J91" s="7"/>
      <c r="K91" s="7"/>
      <c r="L91" s="7"/>
      <c r="M91" s="7"/>
      <c r="N91" s="7">
        <f t="shared" si="1"/>
        <v>1</v>
      </c>
      <c r="O91" s="7"/>
    </row>
    <row r="92">
      <c r="A92" s="8" t="s">
        <v>400</v>
      </c>
      <c r="B92" s="9" t="s">
        <v>401</v>
      </c>
      <c r="C92" s="10"/>
      <c r="D92" s="11" t="s">
        <v>7</v>
      </c>
      <c r="E92" s="10"/>
      <c r="F92" s="12" t="s">
        <v>402</v>
      </c>
      <c r="G92" s="13"/>
      <c r="H92" s="10"/>
      <c r="I92" s="17" t="s">
        <v>403</v>
      </c>
      <c r="J92" s="7"/>
      <c r="K92" s="7"/>
      <c r="L92" s="7"/>
      <c r="M92" s="7"/>
      <c r="N92" s="7">
        <f t="shared" si="1"/>
        <v>1</v>
      </c>
      <c r="O92" s="7"/>
    </row>
    <row r="93">
      <c r="A93" s="8" t="s">
        <v>404</v>
      </c>
      <c r="B93" s="9" t="s">
        <v>405</v>
      </c>
      <c r="C93" s="10"/>
      <c r="D93" s="11" t="s">
        <v>406</v>
      </c>
      <c r="E93" s="10"/>
      <c r="F93" s="12" t="s">
        <v>407</v>
      </c>
      <c r="G93" s="13"/>
      <c r="H93" s="10"/>
      <c r="I93" s="14"/>
      <c r="J93" s="7"/>
      <c r="K93" s="7"/>
      <c r="L93" s="7"/>
      <c r="M93" s="7"/>
      <c r="N93" s="7">
        <f t="shared" si="1"/>
        <v>1</v>
      </c>
      <c r="O93" s="7"/>
    </row>
    <row r="94">
      <c r="A94" s="8" t="s">
        <v>408</v>
      </c>
      <c r="B94" s="9" t="s">
        <v>410</v>
      </c>
      <c r="C94" s="10"/>
      <c r="D94" s="11" t="s">
        <v>411</v>
      </c>
      <c r="E94" s="10"/>
      <c r="F94" s="12" t="s">
        <v>144</v>
      </c>
      <c r="G94" s="13"/>
      <c r="H94" s="10"/>
      <c r="I94" s="14"/>
      <c r="J94" s="7"/>
      <c r="K94" s="7"/>
      <c r="L94" s="7"/>
      <c r="M94" s="7"/>
      <c r="N94" s="7">
        <f t="shared" si="1"/>
        <v>1</v>
      </c>
      <c r="O94" s="7"/>
    </row>
    <row r="95">
      <c r="A95" s="8" t="s">
        <v>412</v>
      </c>
      <c r="B95" s="9" t="s">
        <v>413</v>
      </c>
      <c r="C95" s="10"/>
      <c r="D95" s="18" t="s">
        <v>414</v>
      </c>
      <c r="E95" s="10"/>
      <c r="F95" s="16"/>
      <c r="G95" s="13"/>
      <c r="H95" s="10"/>
      <c r="I95" s="14"/>
      <c r="J95" s="7"/>
      <c r="K95" s="7"/>
      <c r="L95" s="7"/>
      <c r="M95" s="7"/>
      <c r="N95" s="7">
        <f t="shared" si="1"/>
        <v>0</v>
      </c>
      <c r="O95" s="7"/>
    </row>
    <row r="96">
      <c r="A96" s="8" t="s">
        <v>415</v>
      </c>
      <c r="B96" s="9" t="s">
        <v>417</v>
      </c>
      <c r="C96" s="10"/>
      <c r="D96" s="18" t="s">
        <v>418</v>
      </c>
      <c r="E96" s="10"/>
      <c r="F96" s="12" t="s">
        <v>419</v>
      </c>
      <c r="G96" s="13"/>
      <c r="H96" s="10"/>
      <c r="I96" s="17" t="s">
        <v>420</v>
      </c>
      <c r="J96" s="7"/>
      <c r="K96" s="7"/>
      <c r="L96" s="7"/>
      <c r="M96" s="7"/>
      <c r="N96" s="7">
        <f t="shared" si="1"/>
        <v>1</v>
      </c>
      <c r="O96" s="7"/>
    </row>
    <row r="97">
      <c r="A97" s="8" t="s">
        <v>421</v>
      </c>
      <c r="B97" s="9" t="s">
        <v>422</v>
      </c>
      <c r="C97" s="10"/>
      <c r="D97" s="11" t="s">
        <v>141</v>
      </c>
      <c r="E97" s="10"/>
      <c r="F97" s="12" t="s">
        <v>144</v>
      </c>
      <c r="G97" s="13"/>
      <c r="H97" s="10"/>
      <c r="I97" s="14"/>
      <c r="J97" s="7"/>
      <c r="K97" s="7"/>
      <c r="L97" s="7"/>
      <c r="M97" s="7"/>
      <c r="N97" s="7">
        <f t="shared" si="1"/>
        <v>1</v>
      </c>
      <c r="O97" s="7"/>
    </row>
    <row r="98">
      <c r="A98" s="8" t="s">
        <v>423</v>
      </c>
      <c r="B98" s="9" t="s">
        <v>424</v>
      </c>
      <c r="C98" s="10"/>
      <c r="D98" s="18" t="s">
        <v>257</v>
      </c>
      <c r="E98" s="10"/>
      <c r="F98" s="12" t="s">
        <v>425</v>
      </c>
      <c r="G98" s="13"/>
      <c r="H98" s="10"/>
      <c r="I98" s="17" t="s">
        <v>427</v>
      </c>
      <c r="J98" s="7"/>
      <c r="K98" s="7"/>
      <c r="L98" s="7"/>
      <c r="M98" s="7"/>
      <c r="N98" s="7">
        <f t="shared" si="1"/>
        <v>1</v>
      </c>
      <c r="O98" s="7"/>
    </row>
    <row r="99">
      <c r="A99" s="8" t="s">
        <v>429</v>
      </c>
      <c r="B99" s="9" t="s">
        <v>430</v>
      </c>
      <c r="C99" s="10"/>
      <c r="D99" s="11" t="s">
        <v>431</v>
      </c>
      <c r="E99" s="10"/>
      <c r="F99" s="16"/>
      <c r="G99" s="13"/>
      <c r="H99" s="10"/>
      <c r="I99" s="14"/>
      <c r="J99" s="7"/>
      <c r="K99" s="7"/>
      <c r="L99" s="7"/>
      <c r="M99" s="7"/>
      <c r="N99" s="7">
        <f t="shared" si="1"/>
        <v>0</v>
      </c>
      <c r="O99" s="7"/>
    </row>
    <row r="100">
      <c r="A100" s="8" t="s">
        <v>432</v>
      </c>
      <c r="B100" s="9" t="s">
        <v>433</v>
      </c>
      <c r="C100" s="10"/>
      <c r="D100" s="11" t="s">
        <v>434</v>
      </c>
      <c r="E100" s="10"/>
      <c r="F100" s="12" t="s">
        <v>435</v>
      </c>
      <c r="G100" s="13"/>
      <c r="H100" s="10"/>
      <c r="I100" s="14"/>
      <c r="J100" s="7"/>
      <c r="K100" s="7"/>
      <c r="L100" s="7"/>
      <c r="M100" s="7"/>
      <c r="N100" s="7">
        <f t="shared" si="1"/>
        <v>1</v>
      </c>
      <c r="O100" s="7"/>
    </row>
    <row r="101">
      <c r="A101" s="8" t="s">
        <v>436</v>
      </c>
      <c r="B101" s="9" t="s">
        <v>437</v>
      </c>
      <c r="C101" s="10"/>
      <c r="D101" s="11" t="s">
        <v>438</v>
      </c>
      <c r="E101" s="10"/>
      <c r="F101" s="12" t="s">
        <v>144</v>
      </c>
      <c r="G101" s="13"/>
      <c r="H101" s="10"/>
      <c r="I101" s="14"/>
      <c r="J101" s="7"/>
      <c r="K101" s="7"/>
      <c r="L101" s="7"/>
      <c r="M101" s="7"/>
      <c r="N101" s="7">
        <f t="shared" si="1"/>
        <v>1</v>
      </c>
      <c r="O101" s="7"/>
    </row>
    <row r="102">
      <c r="A102" s="8" t="s">
        <v>440</v>
      </c>
      <c r="B102" s="9" t="s">
        <v>442</v>
      </c>
      <c r="C102" s="10"/>
      <c r="D102" s="18" t="s">
        <v>443</v>
      </c>
      <c r="E102" s="10"/>
      <c r="F102" s="12" t="s">
        <v>444</v>
      </c>
      <c r="G102" s="13"/>
      <c r="H102" s="10"/>
      <c r="I102" s="17" t="s">
        <v>445</v>
      </c>
      <c r="J102" s="7"/>
      <c r="K102" s="7"/>
      <c r="L102" s="7"/>
      <c r="M102" s="7"/>
      <c r="N102" s="7">
        <f t="shared" si="1"/>
        <v>1</v>
      </c>
      <c r="O102" s="7"/>
    </row>
    <row r="103">
      <c r="A103" s="8" t="s">
        <v>446</v>
      </c>
      <c r="B103" s="9" t="s">
        <v>447</v>
      </c>
      <c r="C103" s="10"/>
      <c r="D103" s="18" t="s">
        <v>448</v>
      </c>
      <c r="E103" s="10"/>
      <c r="F103" s="12" t="s">
        <v>77</v>
      </c>
      <c r="G103" s="13"/>
      <c r="H103" s="10"/>
      <c r="I103" s="14"/>
      <c r="J103" s="7"/>
      <c r="K103" s="7"/>
      <c r="L103" s="7"/>
      <c r="M103" s="7"/>
      <c r="N103" s="7">
        <f t="shared" si="1"/>
        <v>1</v>
      </c>
      <c r="O103" s="7"/>
    </row>
    <row r="104">
      <c r="A104" s="8" t="s">
        <v>449</v>
      </c>
      <c r="B104" s="9" t="s">
        <v>451</v>
      </c>
      <c r="C104" s="10"/>
      <c r="D104" s="9" t="s">
        <v>452</v>
      </c>
      <c r="E104" s="10"/>
      <c r="F104" s="16"/>
      <c r="G104" s="13"/>
      <c r="H104" s="10"/>
      <c r="I104" s="14"/>
      <c r="J104" s="7"/>
      <c r="K104" s="7"/>
      <c r="L104" s="7"/>
      <c r="M104" s="7"/>
      <c r="N104" s="7">
        <f t="shared" si="1"/>
        <v>0</v>
      </c>
      <c r="O104" s="7"/>
    </row>
    <row r="105">
      <c r="A105" s="8" t="s">
        <v>453</v>
      </c>
      <c r="B105" s="9" t="s">
        <v>454</v>
      </c>
      <c r="C105" s="10"/>
      <c r="D105" s="19" t="s">
        <v>541</v>
      </c>
      <c r="E105" s="10"/>
      <c r="F105" s="12" t="s">
        <v>456</v>
      </c>
      <c r="G105" s="13"/>
      <c r="H105" s="10"/>
      <c r="I105" s="14"/>
      <c r="J105" s="7"/>
      <c r="K105" s="7"/>
      <c r="L105" s="7"/>
      <c r="M105" s="7"/>
      <c r="N105" s="7">
        <f t="shared" si="1"/>
        <v>1</v>
      </c>
      <c r="O105" s="7"/>
    </row>
    <row r="106">
      <c r="A106" s="20" t="s">
        <v>457</v>
      </c>
      <c r="B106" s="9" t="s">
        <v>458</v>
      </c>
      <c r="C106" s="10"/>
      <c r="D106" s="18" t="s">
        <v>459</v>
      </c>
      <c r="E106" s="10"/>
      <c r="F106" s="12" t="s">
        <v>460</v>
      </c>
      <c r="G106" s="13"/>
      <c r="H106" s="10"/>
      <c r="I106" s="17" t="s">
        <v>461</v>
      </c>
      <c r="J106" s="7"/>
      <c r="K106" s="7"/>
      <c r="L106" s="7"/>
      <c r="M106" s="7"/>
      <c r="N106" s="7">
        <f t="shared" si="1"/>
        <v>1</v>
      </c>
      <c r="O106" s="7"/>
    </row>
    <row r="107">
      <c r="A107" s="8" t="s">
        <v>462</v>
      </c>
      <c r="B107" s="9" t="s">
        <v>463</v>
      </c>
      <c r="C107" s="10"/>
      <c r="D107" s="18" t="s">
        <v>464</v>
      </c>
      <c r="E107" s="10"/>
      <c r="F107" s="12" t="s">
        <v>465</v>
      </c>
      <c r="G107" s="13"/>
      <c r="H107" s="10"/>
      <c r="I107" s="17" t="s">
        <v>466</v>
      </c>
      <c r="J107" s="7"/>
      <c r="K107" s="7"/>
      <c r="L107" s="7"/>
      <c r="M107" s="7"/>
      <c r="N107" s="7">
        <f t="shared" si="1"/>
        <v>1</v>
      </c>
      <c r="O107" s="7"/>
    </row>
    <row r="108">
      <c r="A108" s="8" t="s">
        <v>467</v>
      </c>
      <c r="B108" s="9" t="s">
        <v>468</v>
      </c>
      <c r="C108" s="10"/>
      <c r="D108" s="19" t="s">
        <v>566</v>
      </c>
      <c r="E108" s="10"/>
      <c r="F108" s="12" t="s">
        <v>470</v>
      </c>
      <c r="G108" s="13"/>
      <c r="H108" s="10"/>
      <c r="I108" s="14"/>
      <c r="J108" s="7"/>
      <c r="K108" s="7"/>
      <c r="L108" s="7"/>
      <c r="M108" s="7"/>
      <c r="N108" s="7">
        <f t="shared" si="1"/>
        <v>1</v>
      </c>
      <c r="O108" s="7"/>
    </row>
    <row r="109">
      <c r="A109" s="8" t="s">
        <v>471</v>
      </c>
      <c r="B109" s="9" t="s">
        <v>472</v>
      </c>
      <c r="C109" s="10"/>
      <c r="D109" s="18" t="s">
        <v>473</v>
      </c>
      <c r="E109" s="10"/>
      <c r="F109" s="12" t="s">
        <v>474</v>
      </c>
      <c r="G109" s="13"/>
      <c r="H109" s="10"/>
      <c r="I109" s="14"/>
      <c r="J109" s="7"/>
      <c r="K109" s="7"/>
      <c r="L109" s="7"/>
      <c r="M109" s="7"/>
      <c r="N109" s="7">
        <f t="shared" si="1"/>
        <v>1</v>
      </c>
      <c r="O109" s="7"/>
    </row>
    <row r="110">
      <c r="A110" s="8" t="s">
        <v>476</v>
      </c>
      <c r="B110" s="9" t="s">
        <v>478</v>
      </c>
      <c r="C110" s="10"/>
      <c r="D110" s="19" t="s">
        <v>575</v>
      </c>
      <c r="E110" s="10"/>
      <c r="F110" s="12" t="s">
        <v>480</v>
      </c>
      <c r="G110" s="13"/>
      <c r="H110" s="10"/>
      <c r="I110" s="14"/>
      <c r="J110" s="7"/>
      <c r="K110" s="7"/>
      <c r="L110" s="7"/>
      <c r="M110" s="7"/>
      <c r="N110" s="7">
        <f t="shared" si="1"/>
        <v>1</v>
      </c>
      <c r="O110" s="7"/>
    </row>
    <row r="111">
      <c r="A111" s="8" t="s">
        <v>482</v>
      </c>
      <c r="B111" s="9" t="s">
        <v>483</v>
      </c>
      <c r="C111" s="10"/>
      <c r="D111" s="11" t="s">
        <v>7</v>
      </c>
      <c r="E111" s="10"/>
      <c r="F111" s="12" t="s">
        <v>484</v>
      </c>
      <c r="G111" s="13"/>
      <c r="H111" s="10"/>
      <c r="I111" s="14"/>
      <c r="J111" s="7"/>
      <c r="K111" s="7"/>
      <c r="L111" s="7"/>
      <c r="M111" s="7"/>
      <c r="N111" s="7">
        <f t="shared" si="1"/>
        <v>1</v>
      </c>
      <c r="O111" s="7"/>
    </row>
    <row r="112">
      <c r="A112" s="8" t="s">
        <v>485</v>
      </c>
      <c r="B112" s="9" t="s">
        <v>487</v>
      </c>
      <c r="C112" s="10"/>
      <c r="D112" s="9" t="s">
        <v>488</v>
      </c>
      <c r="E112" s="10"/>
      <c r="F112" s="16"/>
      <c r="G112" s="13"/>
      <c r="H112" s="10"/>
      <c r="I112" s="14"/>
      <c r="J112" s="7"/>
      <c r="K112" s="7"/>
      <c r="L112" s="7"/>
      <c r="M112" s="7"/>
      <c r="N112" s="7">
        <f t="shared" si="1"/>
        <v>0</v>
      </c>
      <c r="O112" s="7"/>
    </row>
    <row r="113">
      <c r="A113" s="8" t="s">
        <v>489</v>
      </c>
      <c r="B113" s="15" t="s">
        <v>490</v>
      </c>
      <c r="C113" s="10"/>
      <c r="D113" s="11" t="s">
        <v>491</v>
      </c>
      <c r="E113" s="10"/>
      <c r="F113" s="12" t="s">
        <v>493</v>
      </c>
      <c r="G113" s="13"/>
      <c r="H113" s="10"/>
      <c r="I113" s="14"/>
      <c r="J113" s="7"/>
      <c r="K113" s="7"/>
      <c r="L113" s="7"/>
      <c r="M113" s="7"/>
      <c r="N113" s="7">
        <f t="shared" si="1"/>
        <v>1</v>
      </c>
      <c r="O113" s="7"/>
    </row>
    <row r="114">
      <c r="A114" s="8" t="s">
        <v>494</v>
      </c>
      <c r="B114" s="9" t="s">
        <v>495</v>
      </c>
      <c r="C114" s="10"/>
      <c r="D114" s="18" t="s">
        <v>496</v>
      </c>
      <c r="E114" s="10"/>
      <c r="F114" s="16"/>
      <c r="G114" s="13"/>
      <c r="H114" s="10"/>
      <c r="I114" s="14"/>
      <c r="J114" s="7"/>
      <c r="K114" s="7"/>
      <c r="L114" s="7"/>
      <c r="M114" s="7"/>
      <c r="N114" s="7">
        <f t="shared" si="1"/>
        <v>0</v>
      </c>
      <c r="O114" s="7"/>
    </row>
    <row r="115">
      <c r="A115" s="8" t="s">
        <v>497</v>
      </c>
      <c r="B115" s="9" t="s">
        <v>498</v>
      </c>
      <c r="C115" s="10"/>
      <c r="D115" s="11" t="s">
        <v>141</v>
      </c>
      <c r="E115" s="10"/>
      <c r="F115" s="12" t="s">
        <v>144</v>
      </c>
      <c r="G115" s="13"/>
      <c r="H115" s="10"/>
      <c r="I115" s="14"/>
      <c r="J115" s="7"/>
      <c r="K115" s="7"/>
      <c r="L115" s="7"/>
      <c r="M115" s="7"/>
      <c r="N115" s="7">
        <f t="shared" si="1"/>
        <v>1</v>
      </c>
      <c r="O115" s="7"/>
    </row>
    <row r="116">
      <c r="A116" s="8" t="s">
        <v>499</v>
      </c>
      <c r="B116" s="9" t="s">
        <v>184</v>
      </c>
      <c r="C116" s="10"/>
      <c r="D116" s="18" t="s">
        <v>500</v>
      </c>
      <c r="E116" s="10"/>
      <c r="F116" s="16"/>
      <c r="G116" s="13"/>
      <c r="H116" s="10"/>
      <c r="I116" s="14"/>
      <c r="J116" s="7"/>
      <c r="K116" s="7"/>
      <c r="L116" s="7"/>
      <c r="M116" s="7"/>
      <c r="N116" s="7">
        <f t="shared" si="1"/>
        <v>0</v>
      </c>
      <c r="O116" s="7"/>
    </row>
    <row r="117">
      <c r="A117" s="8" t="s">
        <v>501</v>
      </c>
      <c r="B117" s="9" t="s">
        <v>502</v>
      </c>
      <c r="C117" s="10"/>
      <c r="D117" s="19" t="s">
        <v>621</v>
      </c>
      <c r="E117" s="10"/>
      <c r="F117" s="12" t="s">
        <v>504</v>
      </c>
      <c r="G117" s="13"/>
      <c r="H117" s="10"/>
      <c r="I117" s="14"/>
      <c r="J117" s="7"/>
      <c r="K117" s="7"/>
      <c r="L117" s="7"/>
      <c r="M117" s="7"/>
      <c r="N117" s="7">
        <f t="shared" si="1"/>
        <v>1</v>
      </c>
      <c r="O117" s="7"/>
    </row>
    <row r="118">
      <c r="A118" s="8" t="s">
        <v>505</v>
      </c>
      <c r="B118" s="9" t="s">
        <v>506</v>
      </c>
      <c r="C118" s="10"/>
      <c r="D118" s="11" t="s">
        <v>7</v>
      </c>
      <c r="E118" s="10"/>
      <c r="F118" s="12" t="s">
        <v>507</v>
      </c>
      <c r="G118" s="13"/>
      <c r="H118" s="10"/>
      <c r="I118" s="14"/>
      <c r="J118" s="7"/>
      <c r="K118" s="7"/>
      <c r="L118" s="7"/>
      <c r="M118" s="7"/>
      <c r="N118" s="7">
        <f t="shared" si="1"/>
        <v>1</v>
      </c>
      <c r="O118" s="7"/>
    </row>
    <row r="119">
      <c r="A119" s="8" t="s">
        <v>508</v>
      </c>
      <c r="B119" s="9" t="s">
        <v>510</v>
      </c>
      <c r="C119" s="10"/>
      <c r="D119" s="11" t="s">
        <v>7</v>
      </c>
      <c r="E119" s="10"/>
      <c r="F119" s="12" t="s">
        <v>512</v>
      </c>
      <c r="G119" s="13"/>
      <c r="H119" s="10"/>
      <c r="I119" s="14"/>
      <c r="J119" s="7"/>
      <c r="K119" s="7"/>
      <c r="L119" s="7"/>
      <c r="M119" s="7"/>
      <c r="N119" s="7">
        <f t="shared" si="1"/>
        <v>1</v>
      </c>
      <c r="O119" s="7"/>
    </row>
    <row r="120">
      <c r="A120" s="8" t="s">
        <v>513</v>
      </c>
      <c r="B120" s="9" t="s">
        <v>514</v>
      </c>
      <c r="C120" s="10"/>
      <c r="D120" s="18" t="s">
        <v>464</v>
      </c>
      <c r="E120" s="10"/>
      <c r="F120" s="12" t="s">
        <v>515</v>
      </c>
      <c r="G120" s="13"/>
      <c r="H120" s="10"/>
      <c r="I120" s="14"/>
      <c r="J120" s="7"/>
      <c r="K120" s="7"/>
      <c r="L120" s="7"/>
      <c r="M120" s="7"/>
      <c r="N120" s="7">
        <f t="shared" si="1"/>
        <v>1</v>
      </c>
      <c r="O120" s="7"/>
    </row>
    <row r="121">
      <c r="A121" s="8" t="s">
        <v>516</v>
      </c>
      <c r="B121" s="9" t="s">
        <v>517</v>
      </c>
      <c r="C121" s="10"/>
      <c r="D121" s="21" t="s">
        <v>644</v>
      </c>
      <c r="E121" s="10"/>
      <c r="F121" s="12" t="s">
        <v>519</v>
      </c>
      <c r="G121" s="13"/>
      <c r="H121" s="10"/>
      <c r="I121" s="17" t="s">
        <v>520</v>
      </c>
      <c r="J121" s="7"/>
      <c r="K121" s="7"/>
      <c r="L121" s="7"/>
      <c r="M121" s="7"/>
      <c r="N121" s="7">
        <f t="shared" si="1"/>
        <v>1</v>
      </c>
      <c r="O121" s="7"/>
    </row>
    <row r="122">
      <c r="A122" s="8" t="s">
        <v>521</v>
      </c>
      <c r="B122" s="9" t="s">
        <v>522</v>
      </c>
      <c r="C122" s="10"/>
      <c r="D122" s="18" t="s">
        <v>523</v>
      </c>
      <c r="E122" s="10"/>
      <c r="F122" s="12" t="s">
        <v>524</v>
      </c>
      <c r="G122" s="13"/>
      <c r="H122" s="10"/>
      <c r="I122" s="14"/>
      <c r="J122" s="7"/>
      <c r="K122" s="7"/>
      <c r="L122" s="7"/>
      <c r="M122" s="7"/>
      <c r="N122" s="7">
        <f t="shared" si="1"/>
        <v>1</v>
      </c>
      <c r="O122" s="7"/>
    </row>
    <row r="123">
      <c r="A123" s="20" t="s">
        <v>631</v>
      </c>
      <c r="B123" s="15" t="s">
        <v>526</v>
      </c>
      <c r="C123" s="10"/>
      <c r="D123" s="15" t="s">
        <v>527</v>
      </c>
      <c r="E123" s="10"/>
      <c r="F123" s="12" t="s">
        <v>528</v>
      </c>
      <c r="G123" s="13"/>
      <c r="H123" s="10"/>
      <c r="I123" s="14"/>
      <c r="J123" s="7"/>
      <c r="K123" s="7"/>
      <c r="L123" s="7"/>
      <c r="M123" s="7"/>
      <c r="N123" s="7">
        <f t="shared" si="1"/>
        <v>1</v>
      </c>
      <c r="O123" s="7"/>
    </row>
    <row r="124">
      <c r="A124" s="20" t="s">
        <v>530</v>
      </c>
      <c r="B124" s="9"/>
      <c r="C124" s="10"/>
      <c r="D124" s="15" t="s">
        <v>531</v>
      </c>
      <c r="E124" s="10"/>
      <c r="F124" s="12" t="s">
        <v>532</v>
      </c>
      <c r="G124" s="13"/>
      <c r="H124" s="10"/>
      <c r="I124" s="14"/>
      <c r="J124" s="7"/>
      <c r="K124" s="7"/>
      <c r="L124" s="7"/>
      <c r="M124" s="7"/>
      <c r="N124" s="7">
        <f t="shared" si="1"/>
        <v>1</v>
      </c>
      <c r="O124" s="7"/>
    </row>
    <row r="125">
      <c r="A125" s="20" t="s">
        <v>533</v>
      </c>
      <c r="B125" s="9"/>
      <c r="C125" s="10"/>
      <c r="D125" s="15" t="s">
        <v>535</v>
      </c>
      <c r="E125" s="10"/>
      <c r="F125" s="12" t="s">
        <v>536</v>
      </c>
      <c r="G125" s="13"/>
      <c r="H125" s="10"/>
      <c r="I125" s="14"/>
      <c r="J125" s="7"/>
      <c r="K125" s="7"/>
      <c r="L125" s="7"/>
      <c r="M125" s="7"/>
      <c r="N125" s="7">
        <f t="shared" si="1"/>
        <v>1</v>
      </c>
      <c r="O125" s="7"/>
    </row>
    <row r="126">
      <c r="A126" s="20" t="s">
        <v>537</v>
      </c>
      <c r="B126" s="9"/>
      <c r="C126" s="10"/>
      <c r="D126" s="15" t="s">
        <v>538</v>
      </c>
      <c r="E126" s="10"/>
      <c r="F126" s="12" t="s">
        <v>539</v>
      </c>
      <c r="G126" s="13"/>
      <c r="H126" s="10"/>
      <c r="I126" s="14"/>
      <c r="J126" s="7"/>
      <c r="K126" s="7"/>
      <c r="L126" s="7"/>
      <c r="M126" s="7"/>
      <c r="N126" s="7">
        <f t="shared" si="1"/>
        <v>1</v>
      </c>
      <c r="O126" s="7"/>
    </row>
    <row r="127">
      <c r="A127" s="20" t="s">
        <v>540</v>
      </c>
      <c r="B127" s="9"/>
      <c r="C127" s="10"/>
      <c r="D127" s="15" t="s">
        <v>542</v>
      </c>
      <c r="E127" s="10"/>
      <c r="F127" s="12" t="s">
        <v>543</v>
      </c>
      <c r="G127" s="13"/>
      <c r="H127" s="10"/>
      <c r="I127" s="14"/>
      <c r="J127" s="7"/>
      <c r="K127" s="7"/>
      <c r="L127" s="7"/>
      <c r="M127" s="7"/>
      <c r="N127" s="7">
        <f t="shared" si="1"/>
        <v>1</v>
      </c>
      <c r="O127" s="7"/>
    </row>
    <row r="128">
      <c r="A128" s="20" t="s">
        <v>544</v>
      </c>
      <c r="B128" s="9"/>
      <c r="C128" s="10"/>
      <c r="D128" s="15" t="s">
        <v>542</v>
      </c>
      <c r="E128" s="10"/>
      <c r="F128" s="12" t="s">
        <v>545</v>
      </c>
      <c r="G128" s="13"/>
      <c r="H128" s="10"/>
      <c r="I128" s="14"/>
      <c r="J128" s="7"/>
      <c r="K128" s="7"/>
      <c r="L128" s="7"/>
      <c r="M128" s="7"/>
      <c r="N128" s="7">
        <f t="shared" si="1"/>
        <v>1</v>
      </c>
      <c r="O128" s="7"/>
    </row>
    <row r="129">
      <c r="A129" s="20" t="s">
        <v>546</v>
      </c>
      <c r="B129" s="9"/>
      <c r="C129" s="10"/>
      <c r="D129" s="15" t="s">
        <v>547</v>
      </c>
      <c r="E129" s="10"/>
      <c r="F129" s="12" t="s">
        <v>548</v>
      </c>
      <c r="G129" s="13"/>
      <c r="H129" s="10"/>
      <c r="I129" s="14"/>
      <c r="J129" s="7"/>
      <c r="K129" s="7"/>
      <c r="L129" s="7"/>
      <c r="M129" s="7"/>
      <c r="N129" s="7">
        <f t="shared" si="1"/>
        <v>1</v>
      </c>
      <c r="O129" s="7"/>
    </row>
    <row r="130">
      <c r="A130" s="20" t="s">
        <v>550</v>
      </c>
      <c r="B130" s="9"/>
      <c r="C130" s="10"/>
      <c r="D130" s="15" t="s">
        <v>551</v>
      </c>
      <c r="E130" s="10"/>
      <c r="F130" s="12" t="s">
        <v>552</v>
      </c>
      <c r="G130" s="13"/>
      <c r="H130" s="10"/>
      <c r="I130" s="17" t="s">
        <v>20</v>
      </c>
      <c r="J130" s="7"/>
      <c r="K130" s="7"/>
      <c r="L130" s="7"/>
      <c r="M130" s="7"/>
      <c r="N130" s="7">
        <f t="shared" si="1"/>
        <v>1</v>
      </c>
      <c r="O130" s="7"/>
    </row>
    <row r="131">
      <c r="A131" s="20" t="s">
        <v>553</v>
      </c>
      <c r="B131" s="9"/>
      <c r="C131" s="10"/>
      <c r="D131" s="15" t="s">
        <v>554</v>
      </c>
      <c r="E131" s="10"/>
      <c r="F131" s="12" t="s">
        <v>555</v>
      </c>
      <c r="G131" s="13"/>
      <c r="H131" s="10"/>
      <c r="I131" s="17" t="s">
        <v>260</v>
      </c>
      <c r="J131" s="7"/>
      <c r="K131" s="7"/>
      <c r="L131" s="7"/>
      <c r="M131" s="7"/>
      <c r="N131" s="7">
        <f t="shared" si="1"/>
        <v>1</v>
      </c>
      <c r="O131" s="7"/>
    </row>
    <row r="132">
      <c r="A132" s="20" t="s">
        <v>557</v>
      </c>
      <c r="B132" s="15" t="s">
        <v>558</v>
      </c>
      <c r="C132" s="10"/>
      <c r="D132" s="9"/>
      <c r="E132" s="10"/>
      <c r="F132" s="12" t="s">
        <v>559</v>
      </c>
      <c r="G132" s="13"/>
      <c r="H132" s="10"/>
      <c r="I132" s="14"/>
      <c r="J132" s="7"/>
      <c r="K132" s="7"/>
      <c r="L132" s="7"/>
      <c r="M132" s="7"/>
      <c r="N132" s="7"/>
      <c r="O132" s="7"/>
    </row>
    <row r="133">
      <c r="A133" s="20" t="s">
        <v>560</v>
      </c>
      <c r="B133" s="15" t="s">
        <v>558</v>
      </c>
      <c r="C133" s="10"/>
      <c r="D133" s="9"/>
      <c r="E133" s="10"/>
      <c r="F133" s="12" t="s">
        <v>561</v>
      </c>
      <c r="G133" s="13"/>
      <c r="H133" s="10"/>
      <c r="I133" s="14"/>
      <c r="J133" s="7"/>
      <c r="K133" s="7"/>
      <c r="L133" s="7"/>
      <c r="M133" s="7"/>
      <c r="N133" s="7"/>
      <c r="O133" s="7"/>
    </row>
    <row r="134">
      <c r="A134" s="20" t="s">
        <v>562</v>
      </c>
      <c r="B134" s="15" t="s">
        <v>558</v>
      </c>
      <c r="C134" s="10"/>
      <c r="D134" s="9"/>
      <c r="E134" s="10"/>
      <c r="F134" s="12" t="s">
        <v>563</v>
      </c>
      <c r="G134" s="13"/>
      <c r="H134" s="10"/>
      <c r="I134" s="14"/>
      <c r="J134" s="7"/>
      <c r="K134" s="7"/>
      <c r="L134" s="7"/>
      <c r="M134" s="7"/>
      <c r="N134" s="7"/>
      <c r="O134" s="7"/>
    </row>
    <row r="135">
      <c r="A135" s="20" t="s">
        <v>564</v>
      </c>
      <c r="B135" s="15" t="s">
        <v>558</v>
      </c>
      <c r="C135" s="10"/>
      <c r="D135" s="9"/>
      <c r="E135" s="10"/>
      <c r="F135" s="12" t="s">
        <v>565</v>
      </c>
      <c r="G135" s="13"/>
      <c r="H135" s="10"/>
      <c r="I135" s="14"/>
      <c r="J135" s="7"/>
      <c r="K135" s="7"/>
      <c r="L135" s="7"/>
      <c r="M135" s="7"/>
      <c r="N135" s="7"/>
      <c r="O135" s="7"/>
    </row>
    <row r="136">
      <c r="A136" s="20" t="s">
        <v>567</v>
      </c>
      <c r="B136" s="15" t="s">
        <v>568</v>
      </c>
      <c r="C136" s="10"/>
      <c r="D136" s="9"/>
      <c r="E136" s="10"/>
      <c r="F136" s="12" t="s">
        <v>569</v>
      </c>
      <c r="G136" s="13"/>
      <c r="H136" s="10"/>
      <c r="I136" s="14"/>
      <c r="J136" s="7"/>
      <c r="K136" s="7"/>
      <c r="L136" s="7"/>
      <c r="M136" s="7"/>
      <c r="N136" s="7"/>
      <c r="O136" s="7"/>
    </row>
    <row r="137">
      <c r="A137" s="20" t="s">
        <v>570</v>
      </c>
      <c r="B137" s="15" t="s">
        <v>571</v>
      </c>
      <c r="C137" s="10"/>
      <c r="D137" s="9"/>
      <c r="E137" s="10"/>
      <c r="F137" s="12" t="s">
        <v>572</v>
      </c>
      <c r="G137" s="13"/>
      <c r="H137" s="10"/>
      <c r="I137" s="14"/>
      <c r="J137" s="7"/>
      <c r="K137" s="7"/>
      <c r="L137" s="7"/>
      <c r="M137" s="7"/>
      <c r="N137" s="7"/>
      <c r="O137" s="7"/>
    </row>
    <row r="138">
      <c r="A138" s="8" t="s">
        <v>156</v>
      </c>
      <c r="B138" s="9" t="s">
        <v>156</v>
      </c>
      <c r="C138" s="10"/>
      <c r="D138" s="18" t="s">
        <v>573</v>
      </c>
      <c r="E138" s="10"/>
      <c r="F138" s="16"/>
      <c r="G138" s="13"/>
      <c r="H138" s="10"/>
      <c r="I138" s="14"/>
      <c r="J138" s="7"/>
      <c r="K138" s="7"/>
      <c r="L138" s="7"/>
      <c r="M138" s="7"/>
      <c r="N138" s="7">
        <f> IF(ISBLANK(F138), 0, 1)</f>
        <v>0</v>
      </c>
      <c r="O138" s="7"/>
    </row>
    <row r="139">
      <c r="A139" s="7"/>
      <c r="B139" s="7"/>
      <c r="C139" s="7"/>
      <c r="D139" s="7"/>
      <c r="E139" s="7"/>
      <c r="F139" s="7"/>
      <c r="G139" s="7"/>
      <c r="H139" s="7"/>
      <c r="I139" s="7"/>
      <c r="J139" s="7"/>
      <c r="K139" s="7"/>
      <c r="L139" s="7"/>
      <c r="M139" s="7"/>
      <c r="N139" s="7"/>
      <c r="O139" s="7">
        <f>SUM(N3:N139)</f>
        <v>101</v>
      </c>
      <c r="P139" s="7"/>
      <c r="Q139" s="7"/>
      <c r="R139" s="7"/>
      <c r="S139" s="7"/>
      <c r="T139" s="7"/>
      <c r="U139" s="7"/>
      <c r="V139" s="7"/>
      <c r="W139" s="7"/>
      <c r="X139" s="7"/>
      <c r="Y139" s="7"/>
      <c r="Z139" s="7"/>
    </row>
    <row r="140">
      <c r="A140" s="25" t="s">
        <v>576</v>
      </c>
      <c r="B140" s="25" t="s">
        <v>577</v>
      </c>
      <c r="C140" s="25" t="s">
        <v>578</v>
      </c>
      <c r="D140" s="25" t="s">
        <v>579</v>
      </c>
      <c r="E140" s="25" t="s">
        <v>580</v>
      </c>
      <c r="F140" s="25" t="s">
        <v>581</v>
      </c>
      <c r="G140" s="25"/>
      <c r="H140" s="25"/>
      <c r="I140" s="25" t="s">
        <v>4</v>
      </c>
      <c r="J140" s="7"/>
      <c r="K140" s="7"/>
      <c r="L140" s="7"/>
      <c r="M140" s="7"/>
      <c r="N140" s="7"/>
      <c r="O140" s="7"/>
    </row>
    <row r="141">
      <c r="A141" s="26" t="s">
        <v>582</v>
      </c>
      <c r="B141" s="26" t="s">
        <v>583</v>
      </c>
      <c r="C141" s="26" t="s">
        <v>584</v>
      </c>
      <c r="D141" s="27"/>
      <c r="E141" s="28" t="s">
        <v>585</v>
      </c>
      <c r="F141" s="29"/>
      <c r="G141" s="13"/>
      <c r="H141" s="10"/>
      <c r="I141" s="29"/>
      <c r="J141" s="7"/>
      <c r="K141" s="7"/>
      <c r="L141" s="7"/>
      <c r="M141" s="7"/>
      <c r="N141" s="7">
        <f t="shared" ref="N141:N335" si="2"> IF(ISBLANK(F141), 0, 1)</f>
        <v>0</v>
      </c>
      <c r="O141" s="7"/>
    </row>
    <row r="142">
      <c r="A142" s="26" t="s">
        <v>587</v>
      </c>
      <c r="B142" s="26" t="s">
        <v>588</v>
      </c>
      <c r="C142" s="26" t="s">
        <v>589</v>
      </c>
      <c r="D142" s="27"/>
      <c r="E142" s="28" t="s">
        <v>591</v>
      </c>
      <c r="F142" s="30" t="s">
        <v>592</v>
      </c>
      <c r="G142" s="13"/>
      <c r="H142" s="10"/>
      <c r="I142" s="29"/>
      <c r="J142" s="7"/>
      <c r="K142" s="7"/>
      <c r="L142" s="7"/>
      <c r="M142" s="7"/>
      <c r="N142" s="7">
        <f t="shared" si="2"/>
        <v>1</v>
      </c>
      <c r="O142" s="7"/>
    </row>
    <row r="143">
      <c r="A143" s="26" t="s">
        <v>596</v>
      </c>
      <c r="B143" s="26" t="s">
        <v>597</v>
      </c>
      <c r="C143" s="26" t="s">
        <v>589</v>
      </c>
      <c r="D143" s="26" t="s">
        <v>598</v>
      </c>
      <c r="E143" s="28" t="s">
        <v>599</v>
      </c>
      <c r="F143" s="29"/>
      <c r="G143" s="13"/>
      <c r="H143" s="10"/>
      <c r="I143" s="29"/>
      <c r="J143" s="7"/>
      <c r="K143" s="7"/>
      <c r="L143" s="7"/>
      <c r="M143" s="7"/>
      <c r="N143" s="7">
        <f t="shared" si="2"/>
        <v>0</v>
      </c>
      <c r="O143" s="7"/>
    </row>
    <row r="144">
      <c r="A144" s="26" t="s">
        <v>602</v>
      </c>
      <c r="B144" s="31" t="s">
        <v>603</v>
      </c>
      <c r="C144" s="26" t="s">
        <v>589</v>
      </c>
      <c r="D144" s="27"/>
      <c r="E144" s="32" t="s">
        <v>604</v>
      </c>
      <c r="F144" s="30" t="s">
        <v>605</v>
      </c>
      <c r="G144" s="13"/>
      <c r="H144" s="10"/>
      <c r="I144" s="30" t="s">
        <v>520</v>
      </c>
      <c r="J144" s="7"/>
      <c r="K144" s="7"/>
      <c r="L144" s="7"/>
      <c r="M144" s="7"/>
      <c r="N144" s="7">
        <f t="shared" si="2"/>
        <v>1</v>
      </c>
      <c r="O144" s="7"/>
    </row>
    <row r="145">
      <c r="A145" s="26" t="s">
        <v>606</v>
      </c>
      <c r="B145" s="26" t="s">
        <v>607</v>
      </c>
      <c r="C145" s="26" t="s">
        <v>584</v>
      </c>
      <c r="D145" s="27"/>
      <c r="E145" s="32" t="s">
        <v>608</v>
      </c>
      <c r="F145" s="30" t="s">
        <v>609</v>
      </c>
      <c r="G145" s="13"/>
      <c r="H145" s="10"/>
      <c r="I145" s="29"/>
      <c r="J145" s="7"/>
      <c r="K145" s="7"/>
      <c r="L145" s="7"/>
      <c r="M145" s="7"/>
      <c r="N145" s="7">
        <f t="shared" si="2"/>
        <v>1</v>
      </c>
      <c r="O145" s="7"/>
    </row>
    <row r="146">
      <c r="A146" s="26" t="s">
        <v>610</v>
      </c>
      <c r="B146" s="31" t="s">
        <v>611</v>
      </c>
      <c r="C146" s="26" t="s">
        <v>589</v>
      </c>
      <c r="D146" s="27"/>
      <c r="E146" s="28" t="s">
        <v>612</v>
      </c>
      <c r="F146" s="30" t="s">
        <v>613</v>
      </c>
      <c r="G146" s="13"/>
      <c r="H146" s="10"/>
      <c r="I146" s="29"/>
      <c r="J146" s="7"/>
      <c r="K146" s="7"/>
      <c r="L146" s="7"/>
      <c r="M146" s="7"/>
      <c r="N146" s="7">
        <f t="shared" si="2"/>
        <v>1</v>
      </c>
      <c r="O146" s="7"/>
    </row>
    <row r="147">
      <c r="A147" s="26" t="s">
        <v>614</v>
      </c>
      <c r="B147" s="31" t="s">
        <v>615</v>
      </c>
      <c r="C147" s="26" t="s">
        <v>589</v>
      </c>
      <c r="D147" s="27"/>
      <c r="E147" s="28" t="s">
        <v>616</v>
      </c>
      <c r="F147" s="30" t="s">
        <v>617</v>
      </c>
      <c r="G147" s="13"/>
      <c r="H147" s="10"/>
      <c r="I147" s="29"/>
      <c r="J147" s="7"/>
      <c r="K147" s="7"/>
      <c r="L147" s="7"/>
      <c r="M147" s="7"/>
      <c r="N147" s="7">
        <f t="shared" si="2"/>
        <v>1</v>
      </c>
      <c r="O147" s="7"/>
    </row>
    <row r="148">
      <c r="A148" s="31" t="s">
        <v>614</v>
      </c>
      <c r="B148" s="26" t="s">
        <v>618</v>
      </c>
      <c r="C148" s="26" t="s">
        <v>589</v>
      </c>
      <c r="D148" s="27"/>
      <c r="E148" s="28" t="s">
        <v>619</v>
      </c>
      <c r="F148" s="30" t="s">
        <v>617</v>
      </c>
      <c r="G148" s="13"/>
      <c r="H148" s="10"/>
      <c r="I148" s="29"/>
      <c r="J148" s="7"/>
      <c r="K148" s="7"/>
      <c r="L148" s="7"/>
      <c r="M148" s="7"/>
      <c r="N148" s="7">
        <f t="shared" si="2"/>
        <v>1</v>
      </c>
      <c r="O148" s="7"/>
    </row>
    <row r="149">
      <c r="A149" s="31" t="s">
        <v>614</v>
      </c>
      <c r="B149" s="26" t="s">
        <v>615</v>
      </c>
      <c r="C149" s="26" t="s">
        <v>589</v>
      </c>
      <c r="D149" s="27"/>
      <c r="E149" s="28" t="s">
        <v>620</v>
      </c>
      <c r="F149" s="30" t="s">
        <v>617</v>
      </c>
      <c r="G149" s="13"/>
      <c r="H149" s="10"/>
      <c r="I149" s="29"/>
      <c r="J149" s="7"/>
      <c r="K149" s="7"/>
      <c r="L149" s="7"/>
      <c r="M149" s="7"/>
      <c r="N149" s="7">
        <f t="shared" si="2"/>
        <v>1</v>
      </c>
      <c r="O149" s="7"/>
    </row>
    <row r="150">
      <c r="A150" s="26" t="s">
        <v>623</v>
      </c>
      <c r="B150" s="26" t="s">
        <v>624</v>
      </c>
      <c r="C150" s="26" t="s">
        <v>584</v>
      </c>
      <c r="D150" s="33" t="s">
        <v>746</v>
      </c>
      <c r="E150" s="28" t="s">
        <v>626</v>
      </c>
      <c r="F150" s="30" t="s">
        <v>627</v>
      </c>
      <c r="G150" s="13"/>
      <c r="H150" s="10"/>
      <c r="I150" s="29"/>
      <c r="J150" s="7"/>
      <c r="K150" s="7"/>
      <c r="L150" s="7"/>
      <c r="M150" s="7"/>
      <c r="N150" s="7">
        <f t="shared" si="2"/>
        <v>1</v>
      </c>
      <c r="O150" s="7"/>
    </row>
    <row r="151">
      <c r="A151" s="26" t="s">
        <v>628</v>
      </c>
      <c r="B151" s="26" t="s">
        <v>629</v>
      </c>
      <c r="C151" s="26" t="s">
        <v>589</v>
      </c>
      <c r="D151" s="27"/>
      <c r="E151" s="28" t="s">
        <v>630</v>
      </c>
      <c r="F151" s="30" t="s">
        <v>632</v>
      </c>
      <c r="G151" s="13"/>
      <c r="H151" s="10"/>
      <c r="I151" s="29"/>
      <c r="J151" s="7"/>
      <c r="K151" s="7"/>
      <c r="L151" s="7"/>
      <c r="M151" s="7"/>
      <c r="N151" s="7">
        <f t="shared" si="2"/>
        <v>1</v>
      </c>
      <c r="O151" s="7"/>
    </row>
    <row r="152">
      <c r="A152" s="26" t="s">
        <v>633</v>
      </c>
      <c r="B152" s="26" t="s">
        <v>634</v>
      </c>
      <c r="C152" s="26" t="s">
        <v>584</v>
      </c>
      <c r="D152" s="26" t="s">
        <v>635</v>
      </c>
      <c r="E152" s="28" t="s">
        <v>636</v>
      </c>
      <c r="F152" s="29"/>
      <c r="G152" s="13"/>
      <c r="H152" s="10"/>
      <c r="I152" s="29"/>
      <c r="J152" s="7"/>
      <c r="K152" s="7"/>
      <c r="L152" s="7"/>
      <c r="M152" s="7"/>
      <c r="N152" s="7">
        <f t="shared" si="2"/>
        <v>0</v>
      </c>
      <c r="O152" s="7"/>
    </row>
    <row r="153">
      <c r="A153" s="31" t="s">
        <v>637</v>
      </c>
      <c r="B153" s="26" t="s">
        <v>638</v>
      </c>
      <c r="C153" s="26" t="s">
        <v>589</v>
      </c>
      <c r="D153" s="27"/>
      <c r="E153" s="33" t="s">
        <v>760</v>
      </c>
      <c r="F153" s="30" t="s">
        <v>640</v>
      </c>
      <c r="G153" s="13"/>
      <c r="H153" s="10"/>
      <c r="I153" s="29"/>
      <c r="J153" s="7"/>
      <c r="K153" s="7"/>
      <c r="L153" s="7"/>
      <c r="M153" s="7"/>
      <c r="N153" s="7">
        <f t="shared" si="2"/>
        <v>1</v>
      </c>
      <c r="O153" s="7"/>
    </row>
    <row r="154">
      <c r="A154" s="26" t="s">
        <v>641</v>
      </c>
      <c r="B154" s="26" t="s">
        <v>642</v>
      </c>
      <c r="C154" s="26" t="s">
        <v>589</v>
      </c>
      <c r="D154" s="27"/>
      <c r="E154" s="28" t="s">
        <v>643</v>
      </c>
      <c r="F154" s="30" t="s">
        <v>645</v>
      </c>
      <c r="G154" s="13"/>
      <c r="H154" s="10"/>
      <c r="I154" s="29"/>
      <c r="J154" s="7"/>
      <c r="K154" s="7"/>
      <c r="L154" s="7"/>
      <c r="M154" s="7"/>
      <c r="N154" s="7">
        <f t="shared" si="2"/>
        <v>1</v>
      </c>
      <c r="O154" s="7"/>
    </row>
    <row r="155">
      <c r="A155" s="26" t="s">
        <v>646</v>
      </c>
      <c r="B155" s="26" t="s">
        <v>647</v>
      </c>
      <c r="C155" s="26" t="s">
        <v>648</v>
      </c>
      <c r="D155" s="27"/>
      <c r="E155" s="28" t="s">
        <v>649</v>
      </c>
      <c r="F155" s="29"/>
      <c r="G155" s="13"/>
      <c r="H155" s="10"/>
      <c r="I155" s="29"/>
      <c r="J155" s="7"/>
      <c r="K155" s="7"/>
      <c r="L155" s="7"/>
      <c r="M155" s="7"/>
      <c r="N155" s="7">
        <f t="shared" si="2"/>
        <v>0</v>
      </c>
      <c r="O155" s="7"/>
    </row>
    <row r="156">
      <c r="A156" s="26" t="s">
        <v>650</v>
      </c>
      <c r="B156" s="26" t="s">
        <v>651</v>
      </c>
      <c r="C156" s="26" t="s">
        <v>589</v>
      </c>
      <c r="D156" s="27"/>
      <c r="E156" s="28" t="s">
        <v>652</v>
      </c>
      <c r="F156" s="29"/>
      <c r="G156" s="13"/>
      <c r="H156" s="10"/>
      <c r="I156" s="29"/>
      <c r="J156" s="7"/>
      <c r="K156" s="7"/>
      <c r="L156" s="7"/>
      <c r="M156" s="7"/>
      <c r="N156" s="7">
        <f t="shared" si="2"/>
        <v>0</v>
      </c>
      <c r="O156" s="7"/>
    </row>
    <row r="157">
      <c r="A157" s="26" t="s">
        <v>654</v>
      </c>
      <c r="B157" s="26" t="s">
        <v>655</v>
      </c>
      <c r="C157" s="26" t="s">
        <v>589</v>
      </c>
      <c r="D157" s="26" t="s">
        <v>635</v>
      </c>
      <c r="E157" s="28" t="s">
        <v>656</v>
      </c>
      <c r="F157" s="29"/>
      <c r="G157" s="13"/>
      <c r="H157" s="10"/>
      <c r="I157" s="29"/>
      <c r="J157" s="7"/>
      <c r="K157" s="7"/>
      <c r="L157" s="7"/>
      <c r="M157" s="7"/>
      <c r="N157" s="7">
        <f t="shared" si="2"/>
        <v>0</v>
      </c>
      <c r="O157" s="7"/>
    </row>
    <row r="158">
      <c r="A158" s="26" t="s">
        <v>657</v>
      </c>
      <c r="B158" s="26" t="s">
        <v>658</v>
      </c>
      <c r="C158" s="26" t="s">
        <v>589</v>
      </c>
      <c r="D158" s="27"/>
      <c r="E158" s="28" t="s">
        <v>659</v>
      </c>
      <c r="F158" s="29"/>
      <c r="G158" s="13"/>
      <c r="H158" s="10"/>
      <c r="I158" s="29"/>
      <c r="J158" s="7"/>
      <c r="K158" s="7"/>
      <c r="L158" s="7"/>
      <c r="M158" s="7"/>
      <c r="N158" s="7">
        <f t="shared" si="2"/>
        <v>0</v>
      </c>
      <c r="O158" s="7"/>
    </row>
    <row r="159">
      <c r="A159" s="26" t="s">
        <v>660</v>
      </c>
      <c r="B159" s="26" t="s">
        <v>661</v>
      </c>
      <c r="C159" s="26" t="s">
        <v>589</v>
      </c>
      <c r="D159" s="27"/>
      <c r="E159" s="33" t="s">
        <v>789</v>
      </c>
      <c r="F159" s="30" t="s">
        <v>663</v>
      </c>
      <c r="G159" s="13"/>
      <c r="H159" s="10"/>
      <c r="I159" s="29"/>
      <c r="J159" s="7"/>
      <c r="K159" s="7"/>
      <c r="L159" s="7"/>
      <c r="M159" s="7"/>
      <c r="N159" s="7">
        <f t="shared" si="2"/>
        <v>1</v>
      </c>
      <c r="O159" s="7"/>
    </row>
    <row r="160">
      <c r="A160" s="26" t="s">
        <v>664</v>
      </c>
      <c r="B160" s="26" t="s">
        <v>665</v>
      </c>
      <c r="C160" s="26" t="s">
        <v>589</v>
      </c>
      <c r="D160" s="27"/>
      <c r="E160" s="28" t="s">
        <v>666</v>
      </c>
      <c r="F160" s="30" t="s">
        <v>667</v>
      </c>
      <c r="G160" s="13"/>
      <c r="H160" s="10"/>
      <c r="I160" s="29"/>
      <c r="J160" s="7"/>
      <c r="K160" s="7"/>
      <c r="L160" s="7"/>
      <c r="M160" s="7"/>
      <c r="N160" s="7">
        <f t="shared" si="2"/>
        <v>1</v>
      </c>
      <c r="O160" s="7"/>
    </row>
    <row r="161">
      <c r="A161" s="26" t="s">
        <v>668</v>
      </c>
      <c r="B161" s="26" t="s">
        <v>669</v>
      </c>
      <c r="C161" s="26" t="s">
        <v>589</v>
      </c>
      <c r="D161" s="26" t="s">
        <v>598</v>
      </c>
      <c r="E161" s="28" t="s">
        <v>670</v>
      </c>
      <c r="F161" s="30" t="s">
        <v>671</v>
      </c>
      <c r="G161" s="13"/>
      <c r="H161" s="10"/>
      <c r="I161" s="29"/>
      <c r="J161" s="7"/>
      <c r="K161" s="7"/>
      <c r="L161" s="7"/>
      <c r="M161" s="7"/>
      <c r="N161" s="7">
        <f t="shared" si="2"/>
        <v>1</v>
      </c>
      <c r="O161" s="7"/>
    </row>
    <row r="162">
      <c r="A162" s="26" t="s">
        <v>672</v>
      </c>
      <c r="B162" s="26" t="s">
        <v>673</v>
      </c>
      <c r="C162" s="26" t="s">
        <v>589</v>
      </c>
      <c r="D162" s="27"/>
      <c r="E162" s="28" t="s">
        <v>674</v>
      </c>
      <c r="F162" s="29"/>
      <c r="G162" s="13"/>
      <c r="H162" s="10"/>
      <c r="I162" s="29"/>
      <c r="J162" s="7"/>
      <c r="K162" s="7"/>
      <c r="L162" s="7"/>
      <c r="M162" s="7"/>
      <c r="N162" s="7">
        <f t="shared" si="2"/>
        <v>0</v>
      </c>
      <c r="O162" s="7"/>
    </row>
    <row r="163">
      <c r="A163" s="26" t="s">
        <v>676</v>
      </c>
      <c r="B163" s="26" t="s">
        <v>677</v>
      </c>
      <c r="C163" s="26" t="s">
        <v>589</v>
      </c>
      <c r="D163" s="27"/>
      <c r="E163" s="28" t="s">
        <v>678</v>
      </c>
      <c r="F163" s="30" t="s">
        <v>680</v>
      </c>
      <c r="G163" s="13"/>
      <c r="H163" s="10"/>
      <c r="I163" s="29"/>
      <c r="J163" s="7"/>
      <c r="K163" s="7"/>
      <c r="L163" s="7"/>
      <c r="M163" s="7"/>
      <c r="N163" s="7">
        <f t="shared" si="2"/>
        <v>1</v>
      </c>
      <c r="O163" s="7"/>
    </row>
    <row r="164">
      <c r="A164" s="26" t="s">
        <v>681</v>
      </c>
      <c r="B164" s="26" t="s">
        <v>682</v>
      </c>
      <c r="C164" s="26" t="s">
        <v>589</v>
      </c>
      <c r="D164" s="27"/>
      <c r="E164" s="28" t="s">
        <v>683</v>
      </c>
      <c r="F164" s="29"/>
      <c r="G164" s="13"/>
      <c r="H164" s="10"/>
      <c r="I164" s="29"/>
      <c r="J164" s="7"/>
      <c r="K164" s="7"/>
      <c r="L164" s="7"/>
      <c r="M164" s="7"/>
      <c r="N164" s="7">
        <f t="shared" si="2"/>
        <v>0</v>
      </c>
      <c r="O164" s="7"/>
    </row>
    <row r="165">
      <c r="A165" s="31" t="s">
        <v>684</v>
      </c>
      <c r="B165" s="26" t="s">
        <v>685</v>
      </c>
      <c r="C165" s="26" t="s">
        <v>584</v>
      </c>
      <c r="D165" s="27"/>
      <c r="E165" s="31" t="s">
        <v>686</v>
      </c>
      <c r="F165" s="30" t="s">
        <v>687</v>
      </c>
      <c r="G165" s="13"/>
      <c r="H165" s="10"/>
      <c r="I165" s="29"/>
      <c r="J165" s="7"/>
      <c r="K165" s="7"/>
      <c r="L165" s="7"/>
      <c r="M165" s="7"/>
      <c r="N165" s="7">
        <f t="shared" si="2"/>
        <v>1</v>
      </c>
      <c r="O165" s="7"/>
    </row>
    <row r="166">
      <c r="A166" s="26" t="s">
        <v>688</v>
      </c>
      <c r="B166" s="31" t="s">
        <v>689</v>
      </c>
      <c r="C166" s="26" t="s">
        <v>589</v>
      </c>
      <c r="D166" s="27"/>
      <c r="E166" s="28" t="s">
        <v>690</v>
      </c>
      <c r="F166" s="30" t="s">
        <v>691</v>
      </c>
      <c r="G166" s="13"/>
      <c r="H166" s="10"/>
      <c r="I166" s="29"/>
      <c r="J166" s="7"/>
      <c r="K166" s="7"/>
      <c r="L166" s="7"/>
      <c r="M166" s="7"/>
      <c r="N166" s="7">
        <f t="shared" si="2"/>
        <v>1</v>
      </c>
      <c r="O166" s="7"/>
    </row>
    <row r="167">
      <c r="A167" s="31" t="s">
        <v>692</v>
      </c>
      <c r="B167" s="26" t="s">
        <v>693</v>
      </c>
      <c r="C167" s="26" t="s">
        <v>589</v>
      </c>
      <c r="D167" s="27"/>
      <c r="E167" s="28" t="s">
        <v>694</v>
      </c>
      <c r="F167" s="30" t="s">
        <v>695</v>
      </c>
      <c r="G167" s="13"/>
      <c r="H167" s="10"/>
      <c r="I167" s="29"/>
      <c r="J167" s="7"/>
      <c r="K167" s="7"/>
      <c r="L167" s="7"/>
      <c r="M167" s="7"/>
      <c r="N167" s="7">
        <f t="shared" si="2"/>
        <v>1</v>
      </c>
      <c r="O167" s="7"/>
    </row>
    <row r="168">
      <c r="A168" s="31" t="s">
        <v>696</v>
      </c>
      <c r="B168" s="31" t="s">
        <v>697</v>
      </c>
      <c r="C168" s="26" t="s">
        <v>589</v>
      </c>
      <c r="D168" s="27"/>
      <c r="E168" s="28" t="s">
        <v>698</v>
      </c>
      <c r="F168" s="30" t="s">
        <v>699</v>
      </c>
      <c r="G168" s="13"/>
      <c r="H168" s="10"/>
      <c r="I168" s="29"/>
      <c r="J168" s="7"/>
      <c r="K168" s="7"/>
      <c r="L168" s="7"/>
      <c r="M168" s="7"/>
      <c r="N168" s="7">
        <f t="shared" si="2"/>
        <v>1</v>
      </c>
      <c r="O168" s="7"/>
    </row>
    <row r="169">
      <c r="A169" s="26" t="s">
        <v>700</v>
      </c>
      <c r="B169" s="26" t="s">
        <v>701</v>
      </c>
      <c r="C169" s="26" t="s">
        <v>584</v>
      </c>
      <c r="D169" s="27"/>
      <c r="E169" s="28" t="s">
        <v>702</v>
      </c>
      <c r="F169" s="29"/>
      <c r="G169" s="13"/>
      <c r="H169" s="10"/>
      <c r="I169" s="29"/>
      <c r="J169" s="7"/>
      <c r="K169" s="7"/>
      <c r="L169" s="7"/>
      <c r="M169" s="7"/>
      <c r="N169" s="7">
        <f t="shared" si="2"/>
        <v>0</v>
      </c>
      <c r="O169" s="7"/>
    </row>
    <row r="170">
      <c r="A170" s="26" t="s">
        <v>703</v>
      </c>
      <c r="B170" s="26" t="s">
        <v>704</v>
      </c>
      <c r="C170" s="26" t="s">
        <v>589</v>
      </c>
      <c r="D170" s="27"/>
      <c r="E170" s="28" t="s">
        <v>705</v>
      </c>
      <c r="F170" s="30" t="s">
        <v>706</v>
      </c>
      <c r="G170" s="13"/>
      <c r="H170" s="10"/>
      <c r="I170" s="29"/>
      <c r="J170" s="7"/>
      <c r="K170" s="7"/>
      <c r="L170" s="7"/>
      <c r="M170" s="7"/>
      <c r="N170" s="7">
        <f t="shared" si="2"/>
        <v>1</v>
      </c>
      <c r="O170" s="7"/>
    </row>
    <row r="171">
      <c r="A171" s="26" t="s">
        <v>707</v>
      </c>
      <c r="B171" s="26" t="s">
        <v>708</v>
      </c>
      <c r="C171" s="26" t="s">
        <v>589</v>
      </c>
      <c r="D171" s="26" t="s">
        <v>635</v>
      </c>
      <c r="E171" s="28" t="s">
        <v>709</v>
      </c>
      <c r="F171" s="30" t="s">
        <v>710</v>
      </c>
      <c r="G171" s="13"/>
      <c r="H171" s="10"/>
      <c r="I171" s="30"/>
      <c r="J171" s="7"/>
      <c r="K171" s="7"/>
      <c r="L171" s="7"/>
      <c r="M171" s="7"/>
      <c r="N171" s="7">
        <f t="shared" si="2"/>
        <v>1</v>
      </c>
      <c r="O171" s="7"/>
    </row>
    <row r="172">
      <c r="A172" s="26" t="s">
        <v>711</v>
      </c>
      <c r="B172" s="26" t="s">
        <v>712</v>
      </c>
      <c r="C172" s="26" t="s">
        <v>589</v>
      </c>
      <c r="D172" s="27"/>
      <c r="E172" s="28" t="s">
        <v>713</v>
      </c>
      <c r="F172" s="29"/>
      <c r="G172" s="13"/>
      <c r="H172" s="10"/>
      <c r="I172" s="30" t="s">
        <v>466</v>
      </c>
      <c r="J172" s="7"/>
      <c r="K172" s="7"/>
      <c r="L172" s="7"/>
      <c r="M172" s="7"/>
      <c r="N172" s="7">
        <f t="shared" si="2"/>
        <v>0</v>
      </c>
      <c r="O172" s="7"/>
    </row>
    <row r="173">
      <c r="A173" s="31" t="s">
        <v>714</v>
      </c>
      <c r="B173" s="26" t="s">
        <v>715</v>
      </c>
      <c r="C173" s="26" t="s">
        <v>589</v>
      </c>
      <c r="D173" s="27"/>
      <c r="E173" s="28" t="s">
        <v>716</v>
      </c>
      <c r="F173" s="30" t="s">
        <v>718</v>
      </c>
      <c r="G173" s="13"/>
      <c r="H173" s="10"/>
      <c r="I173" s="29"/>
      <c r="J173" s="7"/>
      <c r="K173" s="7"/>
      <c r="L173" s="7"/>
      <c r="M173" s="7"/>
      <c r="N173" s="7">
        <f t="shared" si="2"/>
        <v>1</v>
      </c>
      <c r="O173" s="7"/>
    </row>
    <row r="174">
      <c r="A174" s="26" t="s">
        <v>719</v>
      </c>
      <c r="B174" s="26" t="s">
        <v>720</v>
      </c>
      <c r="C174" s="26" t="s">
        <v>589</v>
      </c>
      <c r="D174" s="26" t="s">
        <v>598</v>
      </c>
      <c r="E174" s="28" t="s">
        <v>721</v>
      </c>
      <c r="F174" s="30" t="s">
        <v>722</v>
      </c>
      <c r="G174" s="13"/>
      <c r="H174" s="10"/>
      <c r="I174" s="29"/>
      <c r="J174" s="7"/>
      <c r="K174" s="7"/>
      <c r="L174" s="7"/>
      <c r="M174" s="7"/>
      <c r="N174" s="7">
        <f t="shared" si="2"/>
        <v>1</v>
      </c>
      <c r="O174" s="7"/>
    </row>
    <row r="175">
      <c r="A175" s="26" t="s">
        <v>723</v>
      </c>
      <c r="B175" s="26" t="s">
        <v>724</v>
      </c>
      <c r="C175" s="26" t="s">
        <v>589</v>
      </c>
      <c r="D175" s="27"/>
      <c r="E175" s="28" t="s">
        <v>725</v>
      </c>
      <c r="F175" s="29"/>
      <c r="G175" s="13"/>
      <c r="H175" s="10"/>
      <c r="I175" s="29"/>
      <c r="J175" s="7"/>
      <c r="K175" s="7"/>
      <c r="L175" s="7"/>
      <c r="M175" s="7"/>
      <c r="N175" s="7">
        <f t="shared" si="2"/>
        <v>0</v>
      </c>
      <c r="O175" s="7"/>
    </row>
    <row r="176">
      <c r="A176" s="26" t="s">
        <v>726</v>
      </c>
      <c r="B176" s="26" t="s">
        <v>727</v>
      </c>
      <c r="C176" s="26" t="s">
        <v>584</v>
      </c>
      <c r="D176" s="27"/>
      <c r="E176" s="28" t="s">
        <v>728</v>
      </c>
      <c r="F176" s="29"/>
      <c r="G176" s="13"/>
      <c r="H176" s="10"/>
      <c r="I176" s="29"/>
      <c r="J176" s="7"/>
      <c r="K176" s="7"/>
      <c r="L176" s="7"/>
      <c r="M176" s="7"/>
      <c r="N176" s="7">
        <f t="shared" si="2"/>
        <v>0</v>
      </c>
      <c r="O176" s="7"/>
    </row>
    <row r="177">
      <c r="A177" s="26" t="s">
        <v>729</v>
      </c>
      <c r="B177" s="26" t="s">
        <v>730</v>
      </c>
      <c r="C177" s="26" t="s">
        <v>589</v>
      </c>
      <c r="D177" s="27"/>
      <c r="E177" s="28" t="s">
        <v>731</v>
      </c>
      <c r="F177" s="30" t="s">
        <v>733</v>
      </c>
      <c r="G177" s="13"/>
      <c r="H177" s="10"/>
      <c r="I177" s="29"/>
      <c r="J177" s="7"/>
      <c r="K177" s="7"/>
      <c r="L177" s="7"/>
      <c r="M177" s="7"/>
      <c r="N177" s="7">
        <f t="shared" si="2"/>
        <v>1</v>
      </c>
      <c r="O177" s="7"/>
    </row>
    <row r="178">
      <c r="A178" s="26" t="s">
        <v>734</v>
      </c>
      <c r="B178" s="26" t="s">
        <v>735</v>
      </c>
      <c r="C178" s="26" t="s">
        <v>736</v>
      </c>
      <c r="D178" s="27"/>
      <c r="E178" s="32" t="s">
        <v>737</v>
      </c>
      <c r="F178" s="30" t="s">
        <v>738</v>
      </c>
      <c r="G178" s="13"/>
      <c r="H178" s="10"/>
      <c r="I178" s="17" t="s">
        <v>445</v>
      </c>
      <c r="J178" s="7"/>
      <c r="K178" s="7"/>
      <c r="L178" s="7"/>
      <c r="M178" s="7"/>
      <c r="N178" s="7">
        <f t="shared" si="2"/>
        <v>1</v>
      </c>
      <c r="O178" s="7"/>
    </row>
    <row r="179">
      <c r="A179" s="26" t="s">
        <v>739</v>
      </c>
      <c r="B179" s="26" t="s">
        <v>740</v>
      </c>
      <c r="C179" s="26" t="s">
        <v>589</v>
      </c>
      <c r="D179" s="27"/>
      <c r="E179" s="28" t="s">
        <v>741</v>
      </c>
      <c r="F179" s="30" t="s">
        <v>742</v>
      </c>
      <c r="G179" s="13"/>
      <c r="H179" s="10"/>
      <c r="I179" s="29"/>
      <c r="J179" s="7"/>
      <c r="K179" s="7"/>
      <c r="L179" s="7"/>
      <c r="M179" s="7"/>
      <c r="N179" s="7">
        <f t="shared" si="2"/>
        <v>1</v>
      </c>
      <c r="O179" s="7"/>
    </row>
    <row r="180">
      <c r="A180" s="26" t="s">
        <v>743</v>
      </c>
      <c r="B180" s="26" t="s">
        <v>744</v>
      </c>
      <c r="C180" s="26" t="s">
        <v>584</v>
      </c>
      <c r="D180" s="26" t="s">
        <v>635</v>
      </c>
      <c r="E180" s="28" t="s">
        <v>745</v>
      </c>
      <c r="F180" s="29"/>
      <c r="G180" s="13"/>
      <c r="H180" s="10"/>
      <c r="I180" s="29"/>
      <c r="J180" s="7"/>
      <c r="K180" s="7"/>
      <c r="L180" s="7"/>
      <c r="M180" s="7"/>
      <c r="N180" s="7">
        <f t="shared" si="2"/>
        <v>0</v>
      </c>
      <c r="O180" s="7"/>
    </row>
    <row r="181">
      <c r="A181" s="26" t="s">
        <v>747</v>
      </c>
      <c r="B181" s="26" t="s">
        <v>748</v>
      </c>
      <c r="C181" s="26" t="s">
        <v>584</v>
      </c>
      <c r="D181" s="27"/>
      <c r="E181" s="28" t="s">
        <v>749</v>
      </c>
      <c r="F181" s="29"/>
      <c r="G181" s="13"/>
      <c r="H181" s="10"/>
      <c r="I181" s="29"/>
      <c r="J181" s="7"/>
      <c r="K181" s="7"/>
      <c r="L181" s="7"/>
      <c r="M181" s="7"/>
      <c r="N181" s="7">
        <f t="shared" si="2"/>
        <v>0</v>
      </c>
      <c r="O181" s="7"/>
    </row>
    <row r="182">
      <c r="A182" s="26" t="s">
        <v>750</v>
      </c>
      <c r="B182" s="26" t="s">
        <v>751</v>
      </c>
      <c r="C182" s="26" t="s">
        <v>752</v>
      </c>
      <c r="D182" s="28" t="s">
        <v>753</v>
      </c>
      <c r="E182" s="33" t="s">
        <v>922</v>
      </c>
      <c r="F182" s="30" t="s">
        <v>755</v>
      </c>
      <c r="G182" s="13"/>
      <c r="H182" s="10"/>
      <c r="I182" s="29"/>
      <c r="J182" s="7"/>
      <c r="K182" s="7"/>
      <c r="L182" s="7"/>
      <c r="M182" s="7"/>
      <c r="N182" s="7">
        <f t="shared" si="2"/>
        <v>1</v>
      </c>
      <c r="O182" s="7"/>
    </row>
    <row r="183">
      <c r="A183" s="26" t="s">
        <v>756</v>
      </c>
      <c r="B183" s="26" t="s">
        <v>757</v>
      </c>
      <c r="C183" s="26" t="s">
        <v>758</v>
      </c>
      <c r="D183" s="28" t="s">
        <v>753</v>
      </c>
      <c r="E183" s="33" t="s">
        <v>933</v>
      </c>
      <c r="F183" s="30" t="s">
        <v>761</v>
      </c>
      <c r="G183" s="13"/>
      <c r="H183" s="10"/>
      <c r="I183" s="29"/>
      <c r="J183" s="7"/>
      <c r="K183" s="7"/>
      <c r="L183" s="7"/>
      <c r="M183" s="7"/>
      <c r="N183" s="7">
        <f t="shared" si="2"/>
        <v>1</v>
      </c>
      <c r="O183" s="7"/>
    </row>
    <row r="184">
      <c r="A184" s="26" t="s">
        <v>762</v>
      </c>
      <c r="B184" s="26" t="s">
        <v>763</v>
      </c>
      <c r="C184" s="26" t="s">
        <v>589</v>
      </c>
      <c r="D184" s="27"/>
      <c r="E184" s="28" t="s">
        <v>764</v>
      </c>
      <c r="F184" s="29"/>
      <c r="G184" s="13"/>
      <c r="H184" s="10"/>
      <c r="I184" s="29"/>
      <c r="J184" s="7"/>
      <c r="K184" s="7"/>
      <c r="L184" s="7"/>
      <c r="M184" s="7"/>
      <c r="N184" s="7">
        <f t="shared" si="2"/>
        <v>0</v>
      </c>
      <c r="O184" s="7"/>
    </row>
    <row r="185">
      <c r="A185" s="26" t="s">
        <v>766</v>
      </c>
      <c r="B185" s="26" t="s">
        <v>767</v>
      </c>
      <c r="C185" s="26" t="s">
        <v>589</v>
      </c>
      <c r="D185" s="26" t="s">
        <v>598</v>
      </c>
      <c r="E185" s="28" t="s">
        <v>768</v>
      </c>
      <c r="F185" s="29"/>
      <c r="G185" s="13"/>
      <c r="H185" s="10"/>
      <c r="I185" s="29"/>
      <c r="J185" s="7"/>
      <c r="K185" s="7"/>
      <c r="L185" s="7"/>
      <c r="M185" s="7"/>
      <c r="N185" s="7">
        <f t="shared" si="2"/>
        <v>0</v>
      </c>
      <c r="O185" s="7"/>
    </row>
    <row r="186">
      <c r="A186" s="26" t="s">
        <v>770</v>
      </c>
      <c r="B186" s="26" t="s">
        <v>771</v>
      </c>
      <c r="C186" s="26" t="s">
        <v>772</v>
      </c>
      <c r="D186" s="27"/>
      <c r="E186" s="28" t="s">
        <v>773</v>
      </c>
      <c r="F186" s="30" t="s">
        <v>774</v>
      </c>
      <c r="G186" s="13"/>
      <c r="H186" s="10"/>
      <c r="I186" s="29"/>
      <c r="J186" s="7"/>
      <c r="K186" s="7"/>
      <c r="L186" s="7"/>
      <c r="M186" s="7"/>
      <c r="N186" s="7">
        <f t="shared" si="2"/>
        <v>1</v>
      </c>
      <c r="O186" s="7"/>
    </row>
    <row r="187">
      <c r="A187" s="26" t="s">
        <v>775</v>
      </c>
      <c r="B187" s="26" t="s">
        <v>776</v>
      </c>
      <c r="C187" s="26" t="s">
        <v>589</v>
      </c>
      <c r="D187" s="27"/>
      <c r="E187" s="28" t="s">
        <v>777</v>
      </c>
      <c r="F187" s="30" t="s">
        <v>779</v>
      </c>
      <c r="G187" s="13"/>
      <c r="H187" s="10"/>
      <c r="I187" s="30" t="s">
        <v>420</v>
      </c>
      <c r="J187" s="7"/>
      <c r="K187" s="7"/>
      <c r="L187" s="7"/>
      <c r="M187" s="7"/>
      <c r="N187" s="7">
        <f t="shared" si="2"/>
        <v>1</v>
      </c>
      <c r="O187" s="7"/>
    </row>
    <row r="188">
      <c r="A188" s="26" t="s">
        <v>780</v>
      </c>
      <c r="B188" s="26" t="s">
        <v>781</v>
      </c>
      <c r="C188" s="26" t="s">
        <v>589</v>
      </c>
      <c r="D188" s="27"/>
      <c r="E188" s="28" t="s">
        <v>782</v>
      </c>
      <c r="F188" s="29"/>
      <c r="G188" s="13"/>
      <c r="H188" s="10"/>
      <c r="I188" s="29"/>
      <c r="J188" s="7"/>
      <c r="K188" s="7"/>
      <c r="L188" s="7"/>
      <c r="M188" s="7"/>
      <c r="N188" s="7">
        <f t="shared" si="2"/>
        <v>0</v>
      </c>
      <c r="O188" s="7"/>
    </row>
    <row r="189">
      <c r="A189" s="26" t="s">
        <v>783</v>
      </c>
      <c r="B189" s="26" t="s">
        <v>784</v>
      </c>
      <c r="C189" s="26" t="s">
        <v>589</v>
      </c>
      <c r="D189" s="27"/>
      <c r="E189" s="28" t="s">
        <v>785</v>
      </c>
      <c r="F189" s="30" t="s">
        <v>786</v>
      </c>
      <c r="G189" s="13"/>
      <c r="H189" s="10"/>
      <c r="I189" s="29"/>
      <c r="J189" s="7"/>
      <c r="K189" s="7"/>
      <c r="L189" s="7"/>
      <c r="M189" s="7"/>
      <c r="N189" s="7">
        <f t="shared" si="2"/>
        <v>1</v>
      </c>
      <c r="O189" s="7"/>
    </row>
    <row r="190">
      <c r="A190" s="26" t="s">
        <v>787</v>
      </c>
      <c r="B190" s="26" t="s">
        <v>788</v>
      </c>
      <c r="C190" s="26" t="s">
        <v>589</v>
      </c>
      <c r="D190" s="27"/>
      <c r="E190" s="28" t="s">
        <v>790</v>
      </c>
      <c r="F190" s="29"/>
      <c r="G190" s="13"/>
      <c r="H190" s="10"/>
      <c r="I190" s="29"/>
      <c r="J190" s="7"/>
      <c r="K190" s="7"/>
      <c r="L190" s="7"/>
      <c r="M190" s="7"/>
      <c r="N190" s="7">
        <f t="shared" si="2"/>
        <v>0</v>
      </c>
      <c r="O190" s="7"/>
    </row>
    <row r="191">
      <c r="A191" s="26" t="s">
        <v>791</v>
      </c>
      <c r="B191" s="26" t="s">
        <v>792</v>
      </c>
      <c r="C191" s="26" t="s">
        <v>589</v>
      </c>
      <c r="D191" s="27"/>
      <c r="E191" s="31" t="s">
        <v>793</v>
      </c>
      <c r="F191" s="30" t="s">
        <v>794</v>
      </c>
      <c r="G191" s="13"/>
      <c r="H191" s="10"/>
      <c r="I191" s="29"/>
      <c r="J191" s="7"/>
      <c r="K191" s="7"/>
      <c r="L191" s="7"/>
      <c r="M191" s="7"/>
      <c r="N191" s="7">
        <f t="shared" si="2"/>
        <v>1</v>
      </c>
      <c r="O191" s="7"/>
    </row>
    <row r="192">
      <c r="A192" s="26" t="s">
        <v>795</v>
      </c>
      <c r="B192" s="26" t="s">
        <v>796</v>
      </c>
      <c r="C192" s="26" t="s">
        <v>589</v>
      </c>
      <c r="D192" s="27"/>
      <c r="E192" s="28" t="s">
        <v>797</v>
      </c>
      <c r="F192" s="29"/>
      <c r="G192" s="13"/>
      <c r="H192" s="10"/>
      <c r="I192" s="29"/>
      <c r="J192" s="7"/>
      <c r="K192" s="7"/>
      <c r="L192" s="7"/>
      <c r="M192" s="7"/>
      <c r="N192" s="7">
        <f t="shared" si="2"/>
        <v>0</v>
      </c>
      <c r="O192" s="7"/>
    </row>
    <row r="193">
      <c r="A193" s="26" t="s">
        <v>799</v>
      </c>
      <c r="B193" s="31" t="s">
        <v>800</v>
      </c>
      <c r="C193" s="26" t="s">
        <v>584</v>
      </c>
      <c r="D193" s="27"/>
      <c r="E193" s="34" t="s">
        <v>801</v>
      </c>
      <c r="F193" s="30" t="s">
        <v>802</v>
      </c>
      <c r="G193" s="13"/>
      <c r="H193" s="10"/>
      <c r="I193" s="29"/>
      <c r="J193" s="7"/>
      <c r="K193" s="7"/>
      <c r="L193" s="7"/>
      <c r="M193" s="7"/>
      <c r="N193" s="7">
        <f t="shared" si="2"/>
        <v>1</v>
      </c>
      <c r="O193" s="7"/>
    </row>
    <row r="194">
      <c r="A194" s="26" t="s">
        <v>803</v>
      </c>
      <c r="B194" s="26" t="s">
        <v>804</v>
      </c>
      <c r="C194" s="26" t="s">
        <v>589</v>
      </c>
      <c r="D194" s="26" t="s">
        <v>598</v>
      </c>
      <c r="E194" s="28" t="s">
        <v>806</v>
      </c>
      <c r="F194" s="29"/>
      <c r="G194" s="13"/>
      <c r="H194" s="10"/>
      <c r="I194" s="29"/>
      <c r="J194" s="7"/>
      <c r="K194" s="7"/>
      <c r="L194" s="7"/>
      <c r="M194" s="7"/>
      <c r="N194" s="7">
        <f t="shared" si="2"/>
        <v>0</v>
      </c>
      <c r="O194" s="7"/>
    </row>
    <row r="195">
      <c r="A195" s="26" t="s">
        <v>807</v>
      </c>
      <c r="B195" s="26" t="s">
        <v>808</v>
      </c>
      <c r="C195" s="26" t="s">
        <v>809</v>
      </c>
      <c r="D195" s="27"/>
      <c r="E195" s="33" t="s">
        <v>1006</v>
      </c>
      <c r="F195" s="30" t="s">
        <v>812</v>
      </c>
      <c r="G195" s="13"/>
      <c r="H195" s="10"/>
      <c r="I195" s="29"/>
      <c r="J195" s="7"/>
      <c r="K195" s="7"/>
      <c r="L195" s="7"/>
      <c r="M195" s="7"/>
      <c r="N195" s="7">
        <f t="shared" si="2"/>
        <v>1</v>
      </c>
      <c r="O195" s="7"/>
    </row>
    <row r="196">
      <c r="A196" s="26" t="s">
        <v>813</v>
      </c>
      <c r="B196" s="26" t="s">
        <v>814</v>
      </c>
      <c r="C196" s="26" t="s">
        <v>589</v>
      </c>
      <c r="D196" s="27"/>
      <c r="E196" s="31" t="s">
        <v>815</v>
      </c>
      <c r="F196" s="30" t="s">
        <v>816</v>
      </c>
      <c r="G196" s="13"/>
      <c r="H196" s="10"/>
      <c r="I196" s="30" t="s">
        <v>374</v>
      </c>
      <c r="J196" s="7"/>
      <c r="K196" s="7"/>
      <c r="L196" s="7"/>
      <c r="M196" s="7"/>
      <c r="N196" s="7">
        <f t="shared" si="2"/>
        <v>1</v>
      </c>
      <c r="O196" s="7"/>
    </row>
    <row r="197">
      <c r="A197" s="26" t="s">
        <v>817</v>
      </c>
      <c r="B197" s="26" t="s">
        <v>818</v>
      </c>
      <c r="C197" s="26" t="s">
        <v>589</v>
      </c>
      <c r="D197" s="27"/>
      <c r="E197" s="28" t="s">
        <v>819</v>
      </c>
      <c r="F197" s="30" t="s">
        <v>820</v>
      </c>
      <c r="G197" s="13"/>
      <c r="H197" s="10"/>
      <c r="I197" s="29"/>
      <c r="J197" s="7"/>
      <c r="K197" s="7"/>
      <c r="L197" s="7"/>
      <c r="M197" s="7"/>
      <c r="N197" s="7">
        <f t="shared" si="2"/>
        <v>1</v>
      </c>
      <c r="O197" s="7"/>
    </row>
    <row r="198">
      <c r="A198" s="26" t="s">
        <v>821</v>
      </c>
      <c r="B198" s="26" t="s">
        <v>822</v>
      </c>
      <c r="C198" s="26" t="s">
        <v>584</v>
      </c>
      <c r="D198" s="27"/>
      <c r="E198" s="28" t="s">
        <v>823</v>
      </c>
      <c r="F198" s="29"/>
      <c r="G198" s="13"/>
      <c r="H198" s="10"/>
      <c r="I198" s="29"/>
      <c r="J198" s="7"/>
      <c r="K198" s="7"/>
      <c r="L198" s="7"/>
      <c r="M198" s="7"/>
      <c r="N198" s="7">
        <f t="shared" si="2"/>
        <v>0</v>
      </c>
      <c r="O198" s="7"/>
    </row>
    <row r="199">
      <c r="A199" s="26" t="s">
        <v>824</v>
      </c>
      <c r="B199" s="26" t="s">
        <v>825</v>
      </c>
      <c r="C199" s="26" t="s">
        <v>589</v>
      </c>
      <c r="D199" s="27"/>
      <c r="E199" s="28" t="s">
        <v>826</v>
      </c>
      <c r="F199" s="30" t="s">
        <v>827</v>
      </c>
      <c r="G199" s="13"/>
      <c r="H199" s="10"/>
      <c r="I199" s="30" t="s">
        <v>828</v>
      </c>
      <c r="J199" s="7"/>
      <c r="K199" s="7"/>
      <c r="L199" s="7"/>
      <c r="M199" s="7"/>
      <c r="N199" s="7">
        <f t="shared" si="2"/>
        <v>1</v>
      </c>
      <c r="O199" s="7"/>
    </row>
    <row r="200">
      <c r="A200" s="26" t="s">
        <v>829</v>
      </c>
      <c r="B200" s="26" t="s">
        <v>830</v>
      </c>
      <c r="C200" s="26" t="s">
        <v>589</v>
      </c>
      <c r="D200" s="27"/>
      <c r="E200" s="28" t="s">
        <v>831</v>
      </c>
      <c r="F200" s="30" t="s">
        <v>832</v>
      </c>
      <c r="G200" s="13"/>
      <c r="H200" s="10"/>
      <c r="I200" s="29"/>
      <c r="J200" s="7"/>
      <c r="K200" s="7"/>
      <c r="L200" s="7"/>
      <c r="M200" s="7"/>
      <c r="N200" s="7">
        <f t="shared" si="2"/>
        <v>1</v>
      </c>
      <c r="O200" s="7"/>
    </row>
    <row r="201">
      <c r="A201" s="26" t="s">
        <v>833</v>
      </c>
      <c r="B201" s="26" t="s">
        <v>834</v>
      </c>
      <c r="C201" s="26" t="s">
        <v>835</v>
      </c>
      <c r="D201" s="26" t="s">
        <v>635</v>
      </c>
      <c r="E201" s="28" t="s">
        <v>836</v>
      </c>
      <c r="F201" s="30" t="s">
        <v>837</v>
      </c>
      <c r="G201" s="13"/>
      <c r="H201" s="10"/>
      <c r="I201" s="29"/>
      <c r="J201" s="7"/>
      <c r="K201" s="7"/>
      <c r="L201" s="7"/>
      <c r="M201" s="7"/>
      <c r="N201" s="7">
        <f t="shared" si="2"/>
        <v>1</v>
      </c>
      <c r="O201" s="7"/>
    </row>
    <row r="202">
      <c r="A202" s="26" t="s">
        <v>838</v>
      </c>
      <c r="B202" s="26" t="s">
        <v>839</v>
      </c>
      <c r="C202" s="26" t="s">
        <v>589</v>
      </c>
      <c r="D202" s="27"/>
      <c r="E202" s="32" t="s">
        <v>840</v>
      </c>
      <c r="F202" s="30" t="s">
        <v>841</v>
      </c>
      <c r="G202" s="13"/>
      <c r="H202" s="10"/>
      <c r="I202" s="29"/>
      <c r="J202" s="7"/>
      <c r="K202" s="7"/>
      <c r="L202" s="7"/>
      <c r="M202" s="7"/>
      <c r="N202" s="7">
        <f t="shared" si="2"/>
        <v>1</v>
      </c>
      <c r="O202" s="7"/>
    </row>
    <row r="203">
      <c r="A203" s="26" t="s">
        <v>842</v>
      </c>
      <c r="B203" s="26" t="s">
        <v>843</v>
      </c>
      <c r="C203" s="26" t="s">
        <v>589</v>
      </c>
      <c r="D203" s="27"/>
      <c r="E203" s="28" t="s">
        <v>844</v>
      </c>
      <c r="F203" s="30" t="s">
        <v>845</v>
      </c>
      <c r="G203" s="13"/>
      <c r="H203" s="10"/>
      <c r="I203" s="29"/>
      <c r="J203" s="7"/>
      <c r="K203" s="7"/>
      <c r="L203" s="7"/>
      <c r="M203" s="7"/>
      <c r="N203" s="7">
        <f t="shared" si="2"/>
        <v>1</v>
      </c>
      <c r="O203" s="7"/>
    </row>
    <row r="204">
      <c r="A204" s="26" t="s">
        <v>846</v>
      </c>
      <c r="B204" s="31" t="s">
        <v>848</v>
      </c>
      <c r="C204" s="26" t="s">
        <v>584</v>
      </c>
      <c r="D204" s="27"/>
      <c r="E204" s="28" t="s">
        <v>849</v>
      </c>
      <c r="F204" s="30" t="s">
        <v>850</v>
      </c>
      <c r="G204" s="13"/>
      <c r="H204" s="10"/>
      <c r="I204" s="29"/>
      <c r="J204" s="7"/>
      <c r="K204" s="7"/>
      <c r="L204" s="7"/>
      <c r="M204" s="7"/>
      <c r="N204" s="7">
        <f t="shared" si="2"/>
        <v>1</v>
      </c>
      <c r="O204" s="7"/>
    </row>
    <row r="205">
      <c r="A205" s="26" t="s">
        <v>851</v>
      </c>
      <c r="B205" s="26" t="s">
        <v>852</v>
      </c>
      <c r="C205" s="26" t="s">
        <v>589</v>
      </c>
      <c r="D205" s="27"/>
      <c r="E205" s="28" t="s">
        <v>853</v>
      </c>
      <c r="F205" s="30" t="s">
        <v>854</v>
      </c>
      <c r="G205" s="13"/>
      <c r="H205" s="10"/>
      <c r="I205" s="29"/>
      <c r="J205" s="7"/>
      <c r="K205" s="7"/>
      <c r="L205" s="7"/>
      <c r="M205" s="7"/>
      <c r="N205" s="7">
        <f t="shared" si="2"/>
        <v>1</v>
      </c>
      <c r="O205" s="7"/>
    </row>
    <row r="206">
      <c r="A206" s="26" t="s">
        <v>855</v>
      </c>
      <c r="B206" s="26" t="s">
        <v>856</v>
      </c>
      <c r="C206" s="26" t="s">
        <v>584</v>
      </c>
      <c r="D206" s="27"/>
      <c r="E206" s="31" t="s">
        <v>857</v>
      </c>
      <c r="F206" s="30" t="s">
        <v>858</v>
      </c>
      <c r="G206" s="13"/>
      <c r="H206" s="10"/>
      <c r="I206" s="29"/>
      <c r="J206" s="7"/>
      <c r="K206" s="7"/>
      <c r="L206" s="7"/>
      <c r="M206" s="7"/>
      <c r="N206" s="7">
        <f t="shared" si="2"/>
        <v>1</v>
      </c>
      <c r="O206" s="7"/>
    </row>
    <row r="207">
      <c r="A207" s="26" t="s">
        <v>859</v>
      </c>
      <c r="B207" s="26" t="s">
        <v>860</v>
      </c>
      <c r="C207" s="26" t="s">
        <v>589</v>
      </c>
      <c r="D207" s="27"/>
      <c r="E207" s="28" t="s">
        <v>861</v>
      </c>
      <c r="F207" s="30" t="s">
        <v>862</v>
      </c>
      <c r="G207" s="13"/>
      <c r="H207" s="10"/>
      <c r="I207" s="29"/>
      <c r="J207" s="7"/>
      <c r="K207" s="7"/>
      <c r="L207" s="7"/>
      <c r="M207" s="7"/>
      <c r="N207" s="7">
        <f t="shared" si="2"/>
        <v>1</v>
      </c>
      <c r="O207" s="7"/>
    </row>
    <row r="208">
      <c r="A208" s="26" t="s">
        <v>863</v>
      </c>
      <c r="B208" s="26" t="s">
        <v>864</v>
      </c>
      <c r="C208" s="26" t="s">
        <v>589</v>
      </c>
      <c r="D208" s="28" t="s">
        <v>865</v>
      </c>
      <c r="E208" s="28" t="s">
        <v>866</v>
      </c>
      <c r="F208" s="30" t="s">
        <v>867</v>
      </c>
      <c r="G208" s="13"/>
      <c r="H208" s="10"/>
      <c r="I208" s="30" t="s">
        <v>82</v>
      </c>
      <c r="J208" s="7"/>
      <c r="K208" s="7"/>
      <c r="L208" s="7"/>
      <c r="M208" s="7"/>
      <c r="N208" s="7">
        <f t="shared" si="2"/>
        <v>1</v>
      </c>
      <c r="O208" s="7"/>
    </row>
    <row r="209">
      <c r="A209" s="26" t="s">
        <v>868</v>
      </c>
      <c r="B209" s="26" t="s">
        <v>869</v>
      </c>
      <c r="C209" s="26" t="s">
        <v>589</v>
      </c>
      <c r="D209" s="27"/>
      <c r="E209" s="28" t="s">
        <v>870</v>
      </c>
      <c r="F209" s="29"/>
      <c r="G209" s="13"/>
      <c r="H209" s="10"/>
      <c r="I209" s="29"/>
      <c r="J209" s="7"/>
      <c r="K209" s="7"/>
      <c r="L209" s="7"/>
      <c r="M209" s="7"/>
      <c r="N209" s="7">
        <f t="shared" si="2"/>
        <v>0</v>
      </c>
      <c r="O209" s="7"/>
    </row>
    <row r="210">
      <c r="A210" s="26" t="s">
        <v>871</v>
      </c>
      <c r="B210" s="26" t="s">
        <v>872</v>
      </c>
      <c r="C210" s="26" t="s">
        <v>589</v>
      </c>
      <c r="D210" s="27"/>
      <c r="E210" s="28" t="s">
        <v>874</v>
      </c>
      <c r="F210" s="30" t="s">
        <v>875</v>
      </c>
      <c r="G210" s="13"/>
      <c r="H210" s="10"/>
      <c r="I210" s="29"/>
      <c r="J210" s="7"/>
      <c r="K210" s="7"/>
      <c r="L210" s="7"/>
      <c r="M210" s="7"/>
      <c r="N210" s="7">
        <f t="shared" si="2"/>
        <v>1</v>
      </c>
      <c r="O210" s="7"/>
    </row>
    <row r="211">
      <c r="A211" s="26" t="s">
        <v>876</v>
      </c>
      <c r="B211" s="26" t="s">
        <v>877</v>
      </c>
      <c r="C211" s="26" t="s">
        <v>589</v>
      </c>
      <c r="D211" s="27"/>
      <c r="E211" s="28" t="s">
        <v>878</v>
      </c>
      <c r="F211" s="29"/>
      <c r="G211" s="13"/>
      <c r="H211" s="10"/>
      <c r="I211" s="29"/>
      <c r="J211" s="7"/>
      <c r="K211" s="7"/>
      <c r="L211" s="7"/>
      <c r="M211" s="7"/>
      <c r="N211" s="7">
        <f t="shared" si="2"/>
        <v>0</v>
      </c>
      <c r="O211" s="7"/>
    </row>
    <row r="212">
      <c r="A212" s="26" t="s">
        <v>880</v>
      </c>
      <c r="B212" s="26" t="s">
        <v>881</v>
      </c>
      <c r="C212" s="26" t="s">
        <v>589</v>
      </c>
      <c r="D212" s="26" t="s">
        <v>598</v>
      </c>
      <c r="E212" s="28" t="s">
        <v>882</v>
      </c>
      <c r="F212" s="30" t="s">
        <v>884</v>
      </c>
      <c r="G212" s="13"/>
      <c r="H212" s="10"/>
      <c r="I212" s="30"/>
      <c r="J212" s="7"/>
      <c r="K212" s="7"/>
      <c r="L212" s="7"/>
      <c r="M212" s="7"/>
      <c r="N212" s="7">
        <f t="shared" si="2"/>
        <v>1</v>
      </c>
      <c r="O212" s="7"/>
    </row>
    <row r="213">
      <c r="A213" s="26" t="s">
        <v>880</v>
      </c>
      <c r="B213" s="26" t="s">
        <v>885</v>
      </c>
      <c r="C213" s="26" t="s">
        <v>589</v>
      </c>
      <c r="D213" s="27"/>
      <c r="E213" s="28" t="s">
        <v>886</v>
      </c>
      <c r="F213" s="29"/>
      <c r="G213" s="13"/>
      <c r="H213" s="10"/>
      <c r="I213" s="30" t="s">
        <v>254</v>
      </c>
      <c r="J213" s="7"/>
      <c r="K213" s="7"/>
      <c r="L213" s="7"/>
      <c r="M213" s="7"/>
      <c r="N213" s="7">
        <f t="shared" si="2"/>
        <v>0</v>
      </c>
      <c r="O213" s="7"/>
    </row>
    <row r="214">
      <c r="A214" s="26" t="s">
        <v>887</v>
      </c>
      <c r="B214" s="26" t="s">
        <v>888</v>
      </c>
      <c r="C214" s="26" t="s">
        <v>648</v>
      </c>
      <c r="D214" s="27"/>
      <c r="E214" s="28" t="s">
        <v>889</v>
      </c>
      <c r="F214" s="29"/>
      <c r="G214" s="13"/>
      <c r="H214" s="10"/>
      <c r="I214" s="29"/>
      <c r="J214" s="7"/>
      <c r="K214" s="7"/>
      <c r="L214" s="7"/>
      <c r="M214" s="7"/>
      <c r="N214" s="7">
        <f t="shared" si="2"/>
        <v>0</v>
      </c>
      <c r="O214" s="7"/>
    </row>
    <row r="215">
      <c r="A215" s="26" t="s">
        <v>891</v>
      </c>
      <c r="B215" s="26" t="s">
        <v>892</v>
      </c>
      <c r="C215" s="26" t="s">
        <v>589</v>
      </c>
      <c r="D215" s="27"/>
      <c r="E215" s="28" t="s">
        <v>893</v>
      </c>
      <c r="F215" s="30"/>
      <c r="G215" s="13"/>
      <c r="H215" s="10"/>
      <c r="I215" s="29"/>
      <c r="J215" s="7"/>
      <c r="K215" s="7"/>
      <c r="L215" s="7"/>
      <c r="M215" s="7"/>
      <c r="N215" s="7">
        <f t="shared" si="2"/>
        <v>0</v>
      </c>
      <c r="O215" s="7"/>
    </row>
    <row r="216">
      <c r="A216" s="31" t="s">
        <v>894</v>
      </c>
      <c r="B216" s="31" t="s">
        <v>895</v>
      </c>
      <c r="C216" s="26" t="s">
        <v>835</v>
      </c>
      <c r="D216" s="27"/>
      <c r="E216" s="32" t="s">
        <v>896</v>
      </c>
      <c r="F216" s="30" t="s">
        <v>897</v>
      </c>
      <c r="G216" s="13"/>
      <c r="H216" s="10"/>
      <c r="I216" s="29"/>
      <c r="J216" s="7"/>
      <c r="K216" s="7"/>
      <c r="L216" s="7"/>
      <c r="M216" s="7"/>
      <c r="N216" s="7">
        <f t="shared" si="2"/>
        <v>1</v>
      </c>
      <c r="O216" s="7"/>
    </row>
    <row r="217">
      <c r="A217" s="26" t="s">
        <v>898</v>
      </c>
      <c r="B217" s="26" t="s">
        <v>899</v>
      </c>
      <c r="C217" s="26" t="s">
        <v>589</v>
      </c>
      <c r="D217" s="26" t="s">
        <v>598</v>
      </c>
      <c r="E217" s="28" t="s">
        <v>900</v>
      </c>
      <c r="F217" s="30" t="s">
        <v>154</v>
      </c>
      <c r="G217" s="13"/>
      <c r="H217" s="10"/>
      <c r="I217" s="29"/>
      <c r="J217" s="7"/>
      <c r="K217" s="7"/>
      <c r="L217" s="7"/>
      <c r="M217" s="7"/>
      <c r="N217" s="7">
        <f t="shared" si="2"/>
        <v>1</v>
      </c>
      <c r="O217" s="7"/>
    </row>
    <row r="218">
      <c r="A218" s="26" t="s">
        <v>901</v>
      </c>
      <c r="B218" s="26" t="s">
        <v>902</v>
      </c>
      <c r="C218" s="26" t="s">
        <v>589</v>
      </c>
      <c r="D218" s="27"/>
      <c r="E218" s="28" t="s">
        <v>903</v>
      </c>
      <c r="F218" s="30" t="s">
        <v>904</v>
      </c>
      <c r="G218" s="13"/>
      <c r="H218" s="10"/>
      <c r="I218" s="29"/>
      <c r="J218" s="7"/>
      <c r="K218" s="7"/>
      <c r="L218" s="7"/>
      <c r="M218" s="7"/>
      <c r="N218" s="7">
        <f t="shared" si="2"/>
        <v>1</v>
      </c>
      <c r="O218" s="7"/>
    </row>
    <row r="219">
      <c r="A219" s="26" t="s">
        <v>905</v>
      </c>
      <c r="B219" s="26" t="s">
        <v>906</v>
      </c>
      <c r="C219" s="26" t="s">
        <v>589</v>
      </c>
      <c r="D219" s="26" t="s">
        <v>598</v>
      </c>
      <c r="E219" s="28" t="s">
        <v>907</v>
      </c>
      <c r="F219" s="30" t="s">
        <v>908</v>
      </c>
      <c r="G219" s="13"/>
      <c r="H219" s="10"/>
      <c r="I219" s="30" t="s">
        <v>344</v>
      </c>
      <c r="J219" s="7"/>
      <c r="K219" s="7"/>
      <c r="L219" s="7"/>
      <c r="M219" s="7"/>
      <c r="N219" s="7">
        <f t="shared" si="2"/>
        <v>1</v>
      </c>
      <c r="O219" s="7"/>
    </row>
    <row r="220">
      <c r="A220" s="26" t="s">
        <v>909</v>
      </c>
      <c r="B220" s="26" t="s">
        <v>910</v>
      </c>
      <c r="C220" s="26" t="s">
        <v>589</v>
      </c>
      <c r="D220" s="26" t="s">
        <v>598</v>
      </c>
      <c r="E220" s="28" t="s">
        <v>911</v>
      </c>
      <c r="F220" s="30" t="s">
        <v>912</v>
      </c>
      <c r="G220" s="13"/>
      <c r="H220" s="10"/>
      <c r="I220" s="29"/>
      <c r="J220" s="7"/>
      <c r="K220" s="7"/>
      <c r="L220" s="7"/>
      <c r="M220" s="7"/>
      <c r="N220" s="7">
        <f t="shared" si="2"/>
        <v>1</v>
      </c>
      <c r="O220" s="7"/>
    </row>
    <row r="221">
      <c r="A221" s="26" t="s">
        <v>913</v>
      </c>
      <c r="B221" s="26" t="s">
        <v>914</v>
      </c>
      <c r="C221" s="26" t="s">
        <v>589</v>
      </c>
      <c r="D221" s="27"/>
      <c r="E221" s="28" t="s">
        <v>915</v>
      </c>
      <c r="F221" s="29"/>
      <c r="G221" s="13"/>
      <c r="H221" s="10"/>
      <c r="I221" s="29"/>
      <c r="J221" s="7"/>
      <c r="K221" s="7"/>
      <c r="L221" s="7"/>
      <c r="M221" s="7"/>
      <c r="N221" s="7">
        <f t="shared" si="2"/>
        <v>0</v>
      </c>
      <c r="O221" s="7"/>
    </row>
    <row r="222" ht="18.0" customHeight="1">
      <c r="A222" s="26" t="s">
        <v>916</v>
      </c>
      <c r="B222" s="26" t="s">
        <v>917</v>
      </c>
      <c r="C222" s="26" t="s">
        <v>589</v>
      </c>
      <c r="D222" s="28" t="s">
        <v>918</v>
      </c>
      <c r="E222" s="27"/>
      <c r="F222" s="29"/>
      <c r="G222" s="13"/>
      <c r="H222" s="10"/>
      <c r="I222" s="29"/>
      <c r="J222" s="7"/>
      <c r="K222" s="7"/>
      <c r="L222" s="7"/>
      <c r="M222" s="7"/>
      <c r="N222" s="7">
        <f t="shared" si="2"/>
        <v>0</v>
      </c>
      <c r="O222" s="7"/>
    </row>
    <row r="223">
      <c r="A223" s="26" t="s">
        <v>916</v>
      </c>
      <c r="B223" s="26" t="s">
        <v>917</v>
      </c>
      <c r="C223" s="26" t="s">
        <v>919</v>
      </c>
      <c r="D223" s="31" t="s">
        <v>920</v>
      </c>
      <c r="E223" s="28" t="s">
        <v>921</v>
      </c>
      <c r="F223" s="30" t="s">
        <v>923</v>
      </c>
      <c r="G223" s="13"/>
      <c r="H223" s="10"/>
      <c r="I223" s="29"/>
      <c r="J223" s="7"/>
      <c r="K223" s="7"/>
      <c r="L223" s="7"/>
      <c r="M223" s="7"/>
      <c r="N223" s="7">
        <f t="shared" si="2"/>
        <v>1</v>
      </c>
      <c r="O223" s="7"/>
    </row>
    <row r="224">
      <c r="A224" s="26" t="s">
        <v>925</v>
      </c>
      <c r="B224" s="26" t="s">
        <v>926</v>
      </c>
      <c r="C224" s="26" t="s">
        <v>589</v>
      </c>
      <c r="D224" s="27"/>
      <c r="E224" s="28" t="s">
        <v>927</v>
      </c>
      <c r="F224" s="30" t="s">
        <v>928</v>
      </c>
      <c r="G224" s="13"/>
      <c r="H224" s="10"/>
      <c r="I224" s="29"/>
      <c r="J224" s="7"/>
      <c r="K224" s="7"/>
      <c r="L224" s="7"/>
      <c r="M224" s="7"/>
      <c r="N224" s="7">
        <f t="shared" si="2"/>
        <v>1</v>
      </c>
      <c r="O224" s="7"/>
    </row>
    <row r="225">
      <c r="A225" s="26" t="s">
        <v>929</v>
      </c>
      <c r="B225" s="26" t="s">
        <v>930</v>
      </c>
      <c r="C225" s="26" t="s">
        <v>931</v>
      </c>
      <c r="D225" s="27"/>
      <c r="E225" s="28" t="s">
        <v>932</v>
      </c>
      <c r="F225" s="29"/>
      <c r="G225" s="13"/>
      <c r="H225" s="10"/>
      <c r="I225" s="29"/>
      <c r="J225" s="7"/>
      <c r="K225" s="7"/>
      <c r="L225" s="7"/>
      <c r="M225" s="7"/>
      <c r="N225" s="7">
        <f t="shared" si="2"/>
        <v>0</v>
      </c>
      <c r="O225" s="7"/>
    </row>
    <row r="226">
      <c r="A226" s="26" t="s">
        <v>929</v>
      </c>
      <c r="B226" s="26" t="s">
        <v>934</v>
      </c>
      <c r="C226" s="26" t="s">
        <v>935</v>
      </c>
      <c r="D226" s="27"/>
      <c r="E226" s="28" t="s">
        <v>936</v>
      </c>
      <c r="F226" s="29"/>
      <c r="G226" s="13"/>
      <c r="H226" s="10"/>
      <c r="I226" s="29"/>
      <c r="J226" s="7"/>
      <c r="K226" s="7"/>
      <c r="L226" s="7"/>
      <c r="M226" s="7"/>
      <c r="N226" s="7">
        <f t="shared" si="2"/>
        <v>0</v>
      </c>
      <c r="O226" s="7"/>
    </row>
    <row r="227">
      <c r="A227" s="26" t="s">
        <v>937</v>
      </c>
      <c r="B227" s="31" t="s">
        <v>938</v>
      </c>
      <c r="C227" s="26" t="s">
        <v>589</v>
      </c>
      <c r="D227" s="27"/>
      <c r="E227" s="28" t="s">
        <v>939</v>
      </c>
      <c r="F227" s="30" t="s">
        <v>940</v>
      </c>
      <c r="G227" s="13"/>
      <c r="H227" s="10"/>
      <c r="I227" s="30" t="s">
        <v>127</v>
      </c>
      <c r="J227" s="7"/>
      <c r="K227" s="7"/>
      <c r="L227" s="7"/>
      <c r="M227" s="7"/>
      <c r="N227" s="7">
        <f t="shared" si="2"/>
        <v>1</v>
      </c>
      <c r="O227" s="7"/>
    </row>
    <row r="228">
      <c r="A228" s="26" t="s">
        <v>941</v>
      </c>
      <c r="B228" s="26" t="s">
        <v>942</v>
      </c>
      <c r="C228" s="26" t="s">
        <v>589</v>
      </c>
      <c r="D228" s="27"/>
      <c r="E228" s="28" t="s">
        <v>943</v>
      </c>
      <c r="F228" s="29"/>
      <c r="G228" s="13"/>
      <c r="H228" s="10"/>
      <c r="I228" s="29"/>
      <c r="J228" s="7"/>
      <c r="K228" s="7"/>
      <c r="L228" s="7"/>
      <c r="M228" s="7"/>
      <c r="N228" s="7">
        <f t="shared" si="2"/>
        <v>0</v>
      </c>
      <c r="O228" s="7"/>
    </row>
    <row r="229">
      <c r="A229" s="26" t="s">
        <v>945</v>
      </c>
      <c r="B229" s="26" t="s">
        <v>946</v>
      </c>
      <c r="C229" s="26" t="s">
        <v>589</v>
      </c>
      <c r="D229" s="27"/>
      <c r="E229" s="28" t="s">
        <v>947</v>
      </c>
      <c r="F229" s="30" t="s">
        <v>948</v>
      </c>
      <c r="G229" s="13"/>
      <c r="H229" s="10"/>
      <c r="I229" s="30" t="s">
        <v>290</v>
      </c>
      <c r="J229" s="7"/>
      <c r="K229" s="7"/>
      <c r="L229" s="7"/>
      <c r="M229" s="7"/>
      <c r="N229" s="7">
        <f t="shared" si="2"/>
        <v>1</v>
      </c>
      <c r="O229" s="7"/>
    </row>
    <row r="230">
      <c r="A230" s="26" t="s">
        <v>949</v>
      </c>
      <c r="B230" s="26" t="s">
        <v>950</v>
      </c>
      <c r="C230" s="26" t="s">
        <v>589</v>
      </c>
      <c r="D230" s="27"/>
      <c r="E230" s="28" t="s">
        <v>951</v>
      </c>
      <c r="F230" s="30" t="s">
        <v>952</v>
      </c>
      <c r="G230" s="13"/>
      <c r="H230" s="10"/>
      <c r="I230" s="29"/>
      <c r="J230" s="7"/>
      <c r="K230" s="7"/>
      <c r="L230" s="7"/>
      <c r="M230" s="7"/>
      <c r="N230" s="7">
        <f t="shared" si="2"/>
        <v>1</v>
      </c>
      <c r="O230" s="7"/>
    </row>
    <row r="231">
      <c r="A231" s="26" t="s">
        <v>953</v>
      </c>
      <c r="B231" s="26" t="s">
        <v>954</v>
      </c>
      <c r="C231" s="26" t="s">
        <v>584</v>
      </c>
      <c r="D231" s="26" t="s">
        <v>955</v>
      </c>
      <c r="E231" s="34" t="s">
        <v>956</v>
      </c>
      <c r="F231" s="30" t="s">
        <v>957</v>
      </c>
      <c r="G231" s="13"/>
      <c r="H231" s="10"/>
      <c r="I231" s="29"/>
      <c r="J231" s="7"/>
      <c r="K231" s="7"/>
      <c r="L231" s="7"/>
      <c r="M231" s="7"/>
      <c r="N231" s="7">
        <f t="shared" si="2"/>
        <v>1</v>
      </c>
      <c r="O231" s="7"/>
    </row>
    <row r="232">
      <c r="A232" s="26" t="s">
        <v>958</v>
      </c>
      <c r="B232" s="26" t="s">
        <v>277</v>
      </c>
      <c r="C232" s="26" t="s">
        <v>589</v>
      </c>
      <c r="D232" s="27"/>
      <c r="E232" s="28" t="s">
        <v>959</v>
      </c>
      <c r="F232" s="30" t="s">
        <v>188</v>
      </c>
      <c r="G232" s="13"/>
      <c r="H232" s="10"/>
      <c r="I232" s="30" t="s">
        <v>280</v>
      </c>
      <c r="J232" s="7"/>
      <c r="K232" s="7"/>
      <c r="L232" s="7"/>
      <c r="M232" s="7"/>
      <c r="N232" s="7">
        <f t="shared" si="2"/>
        <v>1</v>
      </c>
      <c r="O232" s="7"/>
    </row>
    <row r="233">
      <c r="A233" s="26" t="s">
        <v>960</v>
      </c>
      <c r="B233" s="26" t="s">
        <v>961</v>
      </c>
      <c r="C233" s="26" t="s">
        <v>589</v>
      </c>
      <c r="D233" s="27"/>
      <c r="E233" s="28" t="s">
        <v>962</v>
      </c>
      <c r="F233" s="30" t="s">
        <v>963</v>
      </c>
      <c r="G233" s="13"/>
      <c r="H233" s="10"/>
      <c r="I233" s="30" t="s">
        <v>20</v>
      </c>
      <c r="J233" s="7"/>
      <c r="K233" s="7"/>
      <c r="L233" s="7"/>
      <c r="M233" s="7"/>
      <c r="N233" s="7">
        <f t="shared" si="2"/>
        <v>1</v>
      </c>
      <c r="O233" s="7"/>
    </row>
    <row r="234">
      <c r="A234" s="26" t="s">
        <v>964</v>
      </c>
      <c r="B234" s="26" t="s">
        <v>965</v>
      </c>
      <c r="C234" s="26" t="s">
        <v>589</v>
      </c>
      <c r="D234" s="26" t="s">
        <v>635</v>
      </c>
      <c r="E234" s="28" t="s">
        <v>966</v>
      </c>
      <c r="F234" s="30"/>
      <c r="G234" s="13"/>
      <c r="H234" s="10"/>
      <c r="I234" s="29"/>
      <c r="J234" s="7"/>
      <c r="K234" s="7"/>
      <c r="L234" s="7"/>
      <c r="M234" s="7"/>
      <c r="N234" s="7">
        <f t="shared" si="2"/>
        <v>0</v>
      </c>
      <c r="O234" s="7"/>
    </row>
    <row r="235">
      <c r="A235" s="26" t="s">
        <v>968</v>
      </c>
      <c r="B235" s="31" t="s">
        <v>969</v>
      </c>
      <c r="C235" s="26" t="s">
        <v>589</v>
      </c>
      <c r="D235" s="27"/>
      <c r="E235" s="34" t="s">
        <v>970</v>
      </c>
      <c r="F235" s="30" t="s">
        <v>971</v>
      </c>
      <c r="G235" s="13"/>
      <c r="H235" s="10"/>
      <c r="I235" s="30" t="s">
        <v>247</v>
      </c>
      <c r="J235" s="7"/>
      <c r="K235" s="7"/>
      <c r="L235" s="7"/>
      <c r="M235" s="7"/>
      <c r="N235" s="7">
        <f t="shared" si="2"/>
        <v>1</v>
      </c>
      <c r="O235" s="7"/>
    </row>
    <row r="236">
      <c r="A236" s="26" t="s">
        <v>972</v>
      </c>
      <c r="B236" s="26" t="s">
        <v>973</v>
      </c>
      <c r="C236" s="26" t="s">
        <v>974</v>
      </c>
      <c r="D236" s="27"/>
      <c r="E236" s="28" t="s">
        <v>976</v>
      </c>
      <c r="F236" s="30" t="s">
        <v>977</v>
      </c>
      <c r="G236" s="13"/>
      <c r="H236" s="10"/>
      <c r="I236" s="29"/>
      <c r="J236" s="7"/>
      <c r="K236" s="7"/>
      <c r="L236" s="7"/>
      <c r="M236" s="7"/>
      <c r="N236" s="7">
        <f t="shared" si="2"/>
        <v>1</v>
      </c>
      <c r="O236" s="7"/>
    </row>
    <row r="237">
      <c r="A237" s="26" t="s">
        <v>978</v>
      </c>
      <c r="B237" s="26" t="s">
        <v>979</v>
      </c>
      <c r="C237" s="26" t="s">
        <v>589</v>
      </c>
      <c r="D237" s="26" t="s">
        <v>598</v>
      </c>
      <c r="E237" s="28" t="s">
        <v>980</v>
      </c>
      <c r="F237" s="29"/>
      <c r="G237" s="13"/>
      <c r="H237" s="10"/>
      <c r="I237" s="29"/>
      <c r="J237" s="7"/>
      <c r="K237" s="7"/>
      <c r="L237" s="7"/>
      <c r="M237" s="7"/>
      <c r="N237" s="7">
        <f t="shared" si="2"/>
        <v>0</v>
      </c>
      <c r="O237" s="7"/>
    </row>
    <row r="238">
      <c r="A238" s="26" t="s">
        <v>981</v>
      </c>
      <c r="B238" s="26" t="s">
        <v>982</v>
      </c>
      <c r="C238" s="26" t="s">
        <v>589</v>
      </c>
      <c r="D238" s="26" t="s">
        <v>598</v>
      </c>
      <c r="E238" s="28" t="s">
        <v>983</v>
      </c>
      <c r="F238" s="30" t="s">
        <v>984</v>
      </c>
      <c r="G238" s="13"/>
      <c r="H238" s="10"/>
      <c r="I238" s="29"/>
      <c r="J238" s="7"/>
      <c r="K238" s="7"/>
      <c r="L238" s="7"/>
      <c r="M238" s="7"/>
      <c r="N238" s="7">
        <f t="shared" si="2"/>
        <v>1</v>
      </c>
      <c r="O238" s="7"/>
    </row>
    <row r="239">
      <c r="A239" s="26" t="s">
        <v>985</v>
      </c>
      <c r="B239" s="26" t="s">
        <v>986</v>
      </c>
      <c r="C239" s="26" t="s">
        <v>589</v>
      </c>
      <c r="D239" s="26" t="s">
        <v>598</v>
      </c>
      <c r="E239" s="28" t="s">
        <v>987</v>
      </c>
      <c r="F239" s="29"/>
      <c r="G239" s="13"/>
      <c r="H239" s="10"/>
      <c r="I239" s="29"/>
      <c r="J239" s="7"/>
      <c r="K239" s="7"/>
      <c r="L239" s="7"/>
      <c r="M239" s="7"/>
      <c r="N239" s="7">
        <f t="shared" si="2"/>
        <v>0</v>
      </c>
      <c r="O239" s="7"/>
    </row>
    <row r="240">
      <c r="A240" s="26" t="s">
        <v>988</v>
      </c>
      <c r="B240" s="26" t="s">
        <v>989</v>
      </c>
      <c r="C240" s="26" t="s">
        <v>589</v>
      </c>
      <c r="D240" s="26" t="s">
        <v>598</v>
      </c>
      <c r="E240" s="28" t="s">
        <v>990</v>
      </c>
      <c r="F240" s="30" t="s">
        <v>991</v>
      </c>
      <c r="G240" s="13"/>
      <c r="H240" s="10"/>
      <c r="I240" s="30" t="s">
        <v>344</v>
      </c>
      <c r="J240" s="7"/>
      <c r="K240" s="7"/>
      <c r="L240" s="7"/>
      <c r="M240" s="7"/>
      <c r="N240" s="7">
        <f t="shared" si="2"/>
        <v>1</v>
      </c>
      <c r="O240" s="7"/>
    </row>
    <row r="241">
      <c r="A241" s="26" t="s">
        <v>992</v>
      </c>
      <c r="B241" s="26" t="s">
        <v>993</v>
      </c>
      <c r="C241" s="26" t="s">
        <v>589</v>
      </c>
      <c r="D241" s="27"/>
      <c r="E241" s="28" t="s">
        <v>994</v>
      </c>
      <c r="F241" s="29"/>
      <c r="G241" s="13"/>
      <c r="H241" s="10"/>
      <c r="I241" s="29"/>
      <c r="J241" s="7"/>
      <c r="K241" s="7"/>
      <c r="L241" s="7"/>
      <c r="M241" s="7"/>
      <c r="N241" s="7">
        <f t="shared" si="2"/>
        <v>0</v>
      </c>
      <c r="O241" s="7"/>
    </row>
    <row r="242">
      <c r="A242" s="26" t="s">
        <v>995</v>
      </c>
      <c r="B242" s="26" t="s">
        <v>996</v>
      </c>
      <c r="C242" s="26" t="s">
        <v>589</v>
      </c>
      <c r="D242" s="26" t="s">
        <v>997</v>
      </c>
      <c r="E242" s="28" t="s">
        <v>998</v>
      </c>
      <c r="F242" s="30"/>
      <c r="G242" s="13"/>
      <c r="H242" s="10"/>
      <c r="I242" s="30"/>
      <c r="J242" s="7"/>
      <c r="K242" s="7"/>
      <c r="L242" s="7"/>
      <c r="M242" s="7"/>
      <c r="N242" s="7">
        <f t="shared" si="2"/>
        <v>0</v>
      </c>
      <c r="O242" s="7"/>
    </row>
    <row r="243">
      <c r="A243" s="26" t="s">
        <v>999</v>
      </c>
      <c r="B243" s="26" t="s">
        <v>1000</v>
      </c>
      <c r="C243" s="26" t="s">
        <v>589</v>
      </c>
      <c r="D243" s="26" t="s">
        <v>598</v>
      </c>
      <c r="E243" s="28" t="s">
        <v>1001</v>
      </c>
      <c r="F243" s="30" t="s">
        <v>1002</v>
      </c>
      <c r="G243" s="13"/>
      <c r="H243" s="10"/>
      <c r="I243" s="29"/>
      <c r="J243" s="7"/>
      <c r="K243" s="7"/>
      <c r="L243" s="7"/>
      <c r="M243" s="7"/>
      <c r="N243" s="7">
        <f t="shared" si="2"/>
        <v>1</v>
      </c>
      <c r="O243" s="7"/>
    </row>
    <row r="244">
      <c r="A244" s="26" t="s">
        <v>1003</v>
      </c>
      <c r="B244" s="31" t="s">
        <v>1004</v>
      </c>
      <c r="C244" s="26" t="s">
        <v>589</v>
      </c>
      <c r="D244" s="27"/>
      <c r="E244" s="28" t="s">
        <v>1005</v>
      </c>
      <c r="F244" s="30" t="s">
        <v>1007</v>
      </c>
      <c r="G244" s="13"/>
      <c r="H244" s="10"/>
      <c r="I244" s="29"/>
      <c r="J244" s="7"/>
      <c r="K244" s="7"/>
      <c r="L244" s="7"/>
      <c r="M244" s="7"/>
      <c r="N244" s="7">
        <f t="shared" si="2"/>
        <v>1</v>
      </c>
      <c r="O244" s="7"/>
    </row>
    <row r="245">
      <c r="A245" s="26" t="s">
        <v>1008</v>
      </c>
      <c r="B245" s="31" t="s">
        <v>1009</v>
      </c>
      <c r="C245" s="26" t="s">
        <v>589</v>
      </c>
      <c r="D245" s="27"/>
      <c r="E245" s="28" t="s">
        <v>1010</v>
      </c>
      <c r="F245" s="30" t="s">
        <v>1011</v>
      </c>
      <c r="G245" s="13"/>
      <c r="H245" s="10"/>
      <c r="I245" s="29"/>
      <c r="J245" s="7"/>
      <c r="K245" s="7"/>
      <c r="L245" s="7"/>
      <c r="M245" s="7"/>
      <c r="N245" s="7">
        <f t="shared" si="2"/>
        <v>1</v>
      </c>
      <c r="O245" s="7"/>
    </row>
    <row r="246">
      <c r="A246" s="26" t="s">
        <v>1013</v>
      </c>
      <c r="B246" s="26" t="s">
        <v>1014</v>
      </c>
      <c r="C246" s="26" t="s">
        <v>589</v>
      </c>
      <c r="D246" s="26" t="s">
        <v>598</v>
      </c>
      <c r="E246" s="28" t="s">
        <v>1015</v>
      </c>
      <c r="F246" s="29"/>
      <c r="G246" s="13"/>
      <c r="H246" s="10"/>
      <c r="I246" s="29"/>
      <c r="J246" s="7"/>
      <c r="K246" s="7"/>
      <c r="L246" s="7"/>
      <c r="M246" s="7"/>
      <c r="N246" s="7">
        <f t="shared" si="2"/>
        <v>0</v>
      </c>
      <c r="O246" s="7"/>
    </row>
    <row r="247">
      <c r="A247" s="26" t="s">
        <v>1016</v>
      </c>
      <c r="B247" s="26" t="s">
        <v>1017</v>
      </c>
      <c r="C247" s="26" t="s">
        <v>589</v>
      </c>
      <c r="D247" s="27"/>
      <c r="E247" s="28" t="s">
        <v>1018</v>
      </c>
      <c r="F247" s="30" t="s">
        <v>154</v>
      </c>
      <c r="G247" s="13"/>
      <c r="H247" s="10"/>
      <c r="I247" s="29"/>
      <c r="J247" s="7"/>
      <c r="K247" s="7"/>
      <c r="L247" s="7"/>
      <c r="M247" s="7"/>
      <c r="N247" s="7">
        <f t="shared" si="2"/>
        <v>1</v>
      </c>
      <c r="O247" s="7"/>
    </row>
    <row r="248">
      <c r="A248" s="26" t="s">
        <v>1019</v>
      </c>
      <c r="B248" s="31" t="s">
        <v>1020</v>
      </c>
      <c r="C248" s="26" t="s">
        <v>589</v>
      </c>
      <c r="D248" s="27"/>
      <c r="E248" s="26" t="s">
        <v>1021</v>
      </c>
      <c r="F248" s="30" t="s">
        <v>1022</v>
      </c>
      <c r="G248" s="13"/>
      <c r="H248" s="10"/>
      <c r="I248" s="30" t="s">
        <v>427</v>
      </c>
      <c r="J248" s="7"/>
      <c r="K248" s="7"/>
      <c r="L248" s="7"/>
      <c r="M248" s="7"/>
      <c r="N248" s="7">
        <f t="shared" si="2"/>
        <v>1</v>
      </c>
      <c r="O248" s="7"/>
    </row>
    <row r="249">
      <c r="A249" s="31" t="s">
        <v>1023</v>
      </c>
      <c r="B249" s="26" t="s">
        <v>1024</v>
      </c>
      <c r="C249" s="26" t="s">
        <v>589</v>
      </c>
      <c r="D249" s="26" t="s">
        <v>598</v>
      </c>
      <c r="E249" s="27"/>
      <c r="F249" s="29"/>
      <c r="G249" s="13"/>
      <c r="H249" s="10"/>
      <c r="I249" s="29"/>
      <c r="J249" s="7"/>
      <c r="K249" s="7"/>
      <c r="L249" s="7"/>
      <c r="M249" s="7"/>
      <c r="N249" s="7">
        <f t="shared" si="2"/>
        <v>0</v>
      </c>
      <c r="O249" s="7"/>
    </row>
    <row r="250">
      <c r="A250" s="31" t="s">
        <v>1023</v>
      </c>
      <c r="B250" s="26" t="s">
        <v>1024</v>
      </c>
      <c r="C250" s="26" t="s">
        <v>1025</v>
      </c>
      <c r="D250" s="26" t="s">
        <v>1026</v>
      </c>
      <c r="E250" s="27"/>
      <c r="F250" s="30" t="s">
        <v>1027</v>
      </c>
      <c r="G250" s="13"/>
      <c r="H250" s="10"/>
      <c r="I250" s="29"/>
      <c r="J250" s="7"/>
      <c r="K250" s="7"/>
      <c r="L250" s="7"/>
      <c r="M250" s="7"/>
      <c r="N250" s="7">
        <f t="shared" si="2"/>
        <v>1</v>
      </c>
      <c r="O250" s="7"/>
    </row>
    <row r="251">
      <c r="A251" s="26" t="s">
        <v>1028</v>
      </c>
      <c r="B251" s="26" t="s">
        <v>1029</v>
      </c>
      <c r="C251" s="26" t="s">
        <v>584</v>
      </c>
      <c r="D251" s="27"/>
      <c r="E251" s="32" t="s">
        <v>1030</v>
      </c>
      <c r="F251" s="29"/>
      <c r="G251" s="13"/>
      <c r="H251" s="10"/>
      <c r="I251" s="29"/>
      <c r="J251" s="7"/>
      <c r="K251" s="7"/>
      <c r="L251" s="7"/>
      <c r="M251" s="7"/>
      <c r="N251" s="7">
        <f t="shared" si="2"/>
        <v>0</v>
      </c>
      <c r="O251" s="7"/>
    </row>
    <row r="252">
      <c r="A252" s="26" t="s">
        <v>1031</v>
      </c>
      <c r="B252" s="26" t="s">
        <v>1032</v>
      </c>
      <c r="C252" s="26" t="s">
        <v>589</v>
      </c>
      <c r="D252" s="26" t="s">
        <v>598</v>
      </c>
      <c r="E252" s="28" t="s">
        <v>1033</v>
      </c>
      <c r="F252" s="29"/>
      <c r="G252" s="13"/>
      <c r="H252" s="10"/>
      <c r="I252" s="29"/>
      <c r="J252" s="7"/>
      <c r="K252" s="7"/>
      <c r="L252" s="7"/>
      <c r="M252" s="7"/>
      <c r="N252" s="7">
        <f t="shared" si="2"/>
        <v>0</v>
      </c>
      <c r="O252" s="7"/>
    </row>
    <row r="253">
      <c r="A253" s="26" t="s">
        <v>1035</v>
      </c>
      <c r="B253" s="26" t="s">
        <v>1036</v>
      </c>
      <c r="C253" s="26" t="s">
        <v>589</v>
      </c>
      <c r="D253" s="26" t="s">
        <v>635</v>
      </c>
      <c r="E253" s="28" t="s">
        <v>1037</v>
      </c>
      <c r="F253" s="30" t="s">
        <v>1038</v>
      </c>
      <c r="G253" s="13"/>
      <c r="H253" s="10"/>
      <c r="I253" s="29"/>
      <c r="J253" s="7"/>
      <c r="K253" s="7"/>
      <c r="L253" s="7"/>
      <c r="M253" s="7"/>
      <c r="N253" s="7">
        <f t="shared" si="2"/>
        <v>1</v>
      </c>
      <c r="O253" s="7"/>
    </row>
    <row r="254">
      <c r="A254" s="26" t="s">
        <v>1039</v>
      </c>
      <c r="B254" s="26" t="s">
        <v>1040</v>
      </c>
      <c r="C254" s="26" t="s">
        <v>589</v>
      </c>
      <c r="D254" s="27"/>
      <c r="E254" s="28" t="s">
        <v>1041</v>
      </c>
      <c r="F254" s="30" t="s">
        <v>1042</v>
      </c>
      <c r="G254" s="13"/>
      <c r="H254" s="10"/>
      <c r="I254" s="29"/>
      <c r="J254" s="7"/>
      <c r="K254" s="7"/>
      <c r="L254" s="7"/>
      <c r="M254" s="7"/>
      <c r="N254" s="7">
        <f t="shared" si="2"/>
        <v>1</v>
      </c>
      <c r="O254" s="7"/>
    </row>
    <row r="255">
      <c r="A255" s="26" t="s">
        <v>1043</v>
      </c>
      <c r="B255" s="26" t="s">
        <v>1044</v>
      </c>
      <c r="C255" s="26" t="s">
        <v>589</v>
      </c>
      <c r="D255" s="27"/>
      <c r="E255" s="28" t="s">
        <v>1045</v>
      </c>
      <c r="F255" s="29"/>
      <c r="G255" s="13"/>
      <c r="H255" s="10"/>
      <c r="I255" s="29"/>
      <c r="J255" s="7"/>
      <c r="K255" s="7"/>
      <c r="L255" s="7"/>
      <c r="M255" s="7"/>
      <c r="N255" s="7">
        <f t="shared" si="2"/>
        <v>0</v>
      </c>
      <c r="O255" s="7"/>
    </row>
    <row r="256">
      <c r="A256" s="26" t="s">
        <v>1047</v>
      </c>
      <c r="B256" s="26" t="s">
        <v>1048</v>
      </c>
      <c r="C256" s="26" t="s">
        <v>589</v>
      </c>
      <c r="D256" s="26" t="s">
        <v>635</v>
      </c>
      <c r="E256" s="28" t="s">
        <v>1049</v>
      </c>
      <c r="F256" s="29"/>
      <c r="G256" s="13"/>
      <c r="H256" s="10"/>
      <c r="I256" s="29"/>
      <c r="J256" s="7"/>
      <c r="K256" s="7"/>
      <c r="L256" s="7"/>
      <c r="M256" s="7"/>
      <c r="N256" s="7">
        <f t="shared" si="2"/>
        <v>0</v>
      </c>
      <c r="O256" s="7"/>
    </row>
    <row r="257">
      <c r="A257" s="26" t="s">
        <v>1050</v>
      </c>
      <c r="B257" s="26" t="s">
        <v>1051</v>
      </c>
      <c r="C257" s="26" t="s">
        <v>589</v>
      </c>
      <c r="D257" s="27"/>
      <c r="E257" s="28" t="s">
        <v>1052</v>
      </c>
      <c r="F257" s="30" t="s">
        <v>1053</v>
      </c>
      <c r="G257" s="13"/>
      <c r="H257" s="10"/>
      <c r="I257" s="29"/>
      <c r="J257" s="7"/>
      <c r="K257" s="7"/>
      <c r="L257" s="7"/>
      <c r="M257" s="7"/>
      <c r="N257" s="7">
        <f t="shared" si="2"/>
        <v>1</v>
      </c>
      <c r="O257" s="7"/>
    </row>
    <row r="258">
      <c r="A258" s="26" t="s">
        <v>1054</v>
      </c>
      <c r="B258" s="26" t="s">
        <v>1055</v>
      </c>
      <c r="C258" s="26" t="s">
        <v>589</v>
      </c>
      <c r="D258" s="27"/>
      <c r="E258" s="28" t="s">
        <v>1056</v>
      </c>
      <c r="F258" s="29"/>
      <c r="G258" s="13"/>
      <c r="H258" s="10"/>
      <c r="I258" s="29"/>
      <c r="J258" s="7"/>
      <c r="K258" s="7"/>
      <c r="L258" s="7"/>
      <c r="M258" s="7"/>
      <c r="N258" s="7">
        <f t="shared" si="2"/>
        <v>0</v>
      </c>
      <c r="O258" s="7"/>
    </row>
    <row r="259">
      <c r="A259" s="26" t="s">
        <v>1057</v>
      </c>
      <c r="B259" s="26" t="s">
        <v>1058</v>
      </c>
      <c r="C259" s="26" t="s">
        <v>1059</v>
      </c>
      <c r="D259" s="26" t="s">
        <v>635</v>
      </c>
      <c r="E259" s="28" t="s">
        <v>1060</v>
      </c>
      <c r="F259" s="30" t="s">
        <v>1061</v>
      </c>
      <c r="G259" s="13"/>
      <c r="H259" s="10"/>
      <c r="I259" s="29"/>
      <c r="J259" s="7"/>
      <c r="K259" s="7"/>
      <c r="L259" s="7"/>
      <c r="M259" s="7"/>
      <c r="N259" s="7">
        <f t="shared" si="2"/>
        <v>1</v>
      </c>
      <c r="O259" s="7"/>
    </row>
    <row r="260">
      <c r="A260" s="26" t="s">
        <v>1062</v>
      </c>
      <c r="B260" s="26" t="s">
        <v>1063</v>
      </c>
      <c r="C260" s="26" t="s">
        <v>589</v>
      </c>
      <c r="D260" s="26" t="s">
        <v>598</v>
      </c>
      <c r="E260" s="28" t="s">
        <v>1064</v>
      </c>
      <c r="F260" s="29"/>
      <c r="G260" s="13"/>
      <c r="H260" s="10"/>
      <c r="I260" s="29"/>
      <c r="J260" s="7"/>
      <c r="K260" s="7"/>
      <c r="L260" s="7"/>
      <c r="M260" s="7"/>
      <c r="N260" s="7">
        <f t="shared" si="2"/>
        <v>0</v>
      </c>
      <c r="O260" s="7"/>
    </row>
    <row r="261">
      <c r="A261" s="26" t="s">
        <v>1065</v>
      </c>
      <c r="B261" s="26" t="s">
        <v>1066</v>
      </c>
      <c r="C261" s="26" t="s">
        <v>584</v>
      </c>
      <c r="D261" s="27"/>
      <c r="E261" s="32" t="s">
        <v>1067</v>
      </c>
      <c r="F261" s="30" t="s">
        <v>1068</v>
      </c>
      <c r="G261" s="13"/>
      <c r="H261" s="10"/>
      <c r="I261" s="29"/>
      <c r="J261" s="7"/>
      <c r="K261" s="7"/>
      <c r="L261" s="7"/>
      <c r="M261" s="7"/>
      <c r="N261" s="7">
        <f t="shared" si="2"/>
        <v>1</v>
      </c>
      <c r="O261" s="7"/>
    </row>
    <row r="262">
      <c r="A262" s="26" t="s">
        <v>1070</v>
      </c>
      <c r="B262" s="26" t="s">
        <v>1071</v>
      </c>
      <c r="C262" s="26" t="s">
        <v>589</v>
      </c>
      <c r="D262" s="26" t="s">
        <v>598</v>
      </c>
      <c r="E262" s="28" t="s">
        <v>1072</v>
      </c>
      <c r="F262" s="29"/>
      <c r="G262" s="13"/>
      <c r="H262" s="10"/>
      <c r="I262" s="29"/>
      <c r="J262" s="7"/>
      <c r="K262" s="7"/>
      <c r="L262" s="7"/>
      <c r="M262" s="7"/>
      <c r="N262" s="7">
        <f t="shared" si="2"/>
        <v>0</v>
      </c>
      <c r="O262" s="7"/>
    </row>
    <row r="263">
      <c r="A263" s="26" t="s">
        <v>1073</v>
      </c>
      <c r="B263" s="26" t="s">
        <v>1074</v>
      </c>
      <c r="C263" s="26" t="s">
        <v>835</v>
      </c>
      <c r="D263" s="27"/>
      <c r="E263" s="28" t="s">
        <v>1075</v>
      </c>
      <c r="F263" s="29"/>
      <c r="G263" s="13"/>
      <c r="H263" s="10"/>
      <c r="I263" s="29"/>
      <c r="J263" s="7"/>
      <c r="K263" s="7"/>
      <c r="L263" s="7"/>
      <c r="M263" s="7"/>
      <c r="N263" s="7">
        <f t="shared" si="2"/>
        <v>0</v>
      </c>
      <c r="O263" s="7"/>
    </row>
    <row r="264">
      <c r="A264" s="26" t="s">
        <v>1076</v>
      </c>
      <c r="B264" s="26" t="s">
        <v>1077</v>
      </c>
      <c r="C264" s="26" t="s">
        <v>589</v>
      </c>
      <c r="D264" s="26" t="s">
        <v>598</v>
      </c>
      <c r="E264" s="28" t="s">
        <v>1078</v>
      </c>
      <c r="F264" s="29"/>
      <c r="G264" s="13"/>
      <c r="H264" s="10"/>
      <c r="I264" s="29"/>
      <c r="J264" s="7"/>
      <c r="K264" s="7"/>
      <c r="L264" s="7"/>
      <c r="M264" s="7"/>
      <c r="N264" s="7">
        <f t="shared" si="2"/>
        <v>0</v>
      </c>
      <c r="O264" s="7"/>
    </row>
    <row r="265">
      <c r="A265" s="26" t="s">
        <v>1079</v>
      </c>
      <c r="B265" s="26" t="s">
        <v>1080</v>
      </c>
      <c r="C265" s="26" t="s">
        <v>584</v>
      </c>
      <c r="D265" s="27"/>
      <c r="E265" s="28" t="s">
        <v>1081</v>
      </c>
      <c r="F265" s="29"/>
      <c r="G265" s="13"/>
      <c r="H265" s="10"/>
      <c r="I265" s="29"/>
      <c r="J265" s="7"/>
      <c r="K265" s="7"/>
      <c r="L265" s="7"/>
      <c r="M265" s="7"/>
      <c r="N265" s="7">
        <f t="shared" si="2"/>
        <v>0</v>
      </c>
      <c r="O265" s="7"/>
    </row>
    <row r="266">
      <c r="A266" s="26" t="s">
        <v>1082</v>
      </c>
      <c r="B266" s="26" t="s">
        <v>1083</v>
      </c>
      <c r="C266" s="26" t="s">
        <v>589</v>
      </c>
      <c r="D266" s="27"/>
      <c r="E266" s="28" t="s">
        <v>1084</v>
      </c>
      <c r="F266" s="29"/>
      <c r="G266" s="13"/>
      <c r="H266" s="10"/>
      <c r="I266" s="29"/>
      <c r="J266" s="7"/>
      <c r="K266" s="7"/>
      <c r="L266" s="7"/>
      <c r="M266" s="7"/>
      <c r="N266" s="7">
        <f t="shared" si="2"/>
        <v>0</v>
      </c>
      <c r="O266" s="7"/>
    </row>
    <row r="267">
      <c r="A267" s="26" t="s">
        <v>1085</v>
      </c>
      <c r="B267" s="26" t="s">
        <v>1086</v>
      </c>
      <c r="C267" s="26" t="s">
        <v>589</v>
      </c>
      <c r="D267" s="26" t="s">
        <v>1087</v>
      </c>
      <c r="E267" s="28" t="s">
        <v>1088</v>
      </c>
      <c r="F267" s="30" t="s">
        <v>1089</v>
      </c>
      <c r="G267" s="13"/>
      <c r="H267" s="10"/>
      <c r="I267" s="29"/>
      <c r="J267" s="7"/>
      <c r="K267" s="7"/>
      <c r="L267" s="7"/>
      <c r="M267" s="7"/>
      <c r="N267" s="7">
        <f t="shared" si="2"/>
        <v>1</v>
      </c>
      <c r="O267" s="7"/>
    </row>
    <row r="268">
      <c r="A268" s="26" t="s">
        <v>1090</v>
      </c>
      <c r="B268" s="26" t="s">
        <v>1091</v>
      </c>
      <c r="C268" s="26" t="s">
        <v>589</v>
      </c>
      <c r="D268" s="26" t="s">
        <v>235</v>
      </c>
      <c r="E268" s="28" t="s">
        <v>1088</v>
      </c>
      <c r="F268" s="30" t="s">
        <v>1092</v>
      </c>
      <c r="G268" s="13"/>
      <c r="H268" s="10"/>
      <c r="I268" s="29"/>
      <c r="J268" s="7"/>
      <c r="K268" s="7"/>
      <c r="L268" s="7"/>
      <c r="M268" s="7"/>
      <c r="N268" s="7">
        <f t="shared" si="2"/>
        <v>1</v>
      </c>
      <c r="O268" s="7"/>
    </row>
    <row r="269">
      <c r="A269" s="26" t="s">
        <v>1093</v>
      </c>
      <c r="B269" s="26" t="s">
        <v>1094</v>
      </c>
      <c r="C269" s="26" t="s">
        <v>589</v>
      </c>
      <c r="D269" s="26" t="s">
        <v>235</v>
      </c>
      <c r="E269" s="28" t="s">
        <v>1088</v>
      </c>
      <c r="F269" s="30" t="s">
        <v>1095</v>
      </c>
      <c r="G269" s="13"/>
      <c r="H269" s="10"/>
      <c r="I269" s="29"/>
      <c r="J269" s="7"/>
      <c r="K269" s="7"/>
      <c r="L269" s="7"/>
      <c r="M269" s="7"/>
      <c r="N269" s="7">
        <f t="shared" si="2"/>
        <v>1</v>
      </c>
      <c r="O269" s="7"/>
    </row>
    <row r="270">
      <c r="A270" s="26" t="s">
        <v>1096</v>
      </c>
      <c r="B270" s="26" t="s">
        <v>1097</v>
      </c>
      <c r="C270" s="26" t="s">
        <v>589</v>
      </c>
      <c r="D270" s="27"/>
      <c r="E270" s="32" t="s">
        <v>1098</v>
      </c>
      <c r="F270" s="30" t="s">
        <v>1099</v>
      </c>
      <c r="G270" s="13"/>
      <c r="H270" s="10"/>
      <c r="I270" s="29"/>
      <c r="J270" s="7"/>
      <c r="K270" s="7"/>
      <c r="L270" s="7"/>
      <c r="M270" s="7"/>
      <c r="N270" s="7">
        <f t="shared" si="2"/>
        <v>1</v>
      </c>
      <c r="O270" s="7"/>
    </row>
    <row r="271">
      <c r="A271" s="26" t="s">
        <v>1100</v>
      </c>
      <c r="B271" s="26" t="s">
        <v>1101</v>
      </c>
      <c r="C271" s="26" t="s">
        <v>589</v>
      </c>
      <c r="D271" s="27"/>
      <c r="E271" s="28" t="s">
        <v>1102</v>
      </c>
      <c r="F271" s="30" t="s">
        <v>1103</v>
      </c>
      <c r="G271" s="13"/>
      <c r="H271" s="10"/>
      <c r="I271" s="29"/>
      <c r="J271" s="7"/>
      <c r="K271" s="7"/>
      <c r="L271" s="7"/>
      <c r="M271" s="7"/>
      <c r="N271" s="7">
        <f t="shared" si="2"/>
        <v>1</v>
      </c>
      <c r="O271" s="7"/>
    </row>
    <row r="272">
      <c r="A272" s="26" t="s">
        <v>1104</v>
      </c>
      <c r="B272" s="26" t="s">
        <v>1105</v>
      </c>
      <c r="C272" s="26" t="s">
        <v>589</v>
      </c>
      <c r="D272" s="27"/>
      <c r="E272" s="28" t="s">
        <v>1106</v>
      </c>
      <c r="F272" s="30" t="s">
        <v>1107</v>
      </c>
      <c r="G272" s="13"/>
      <c r="H272" s="10"/>
      <c r="I272" s="29"/>
      <c r="J272" s="7"/>
      <c r="K272" s="7"/>
      <c r="L272" s="7"/>
      <c r="M272" s="7"/>
      <c r="N272" s="7">
        <f t="shared" si="2"/>
        <v>1</v>
      </c>
      <c r="O272" s="7"/>
    </row>
    <row r="273">
      <c r="A273" s="26" t="s">
        <v>1108</v>
      </c>
      <c r="B273" s="26" t="s">
        <v>1109</v>
      </c>
      <c r="C273" s="26" t="s">
        <v>648</v>
      </c>
      <c r="D273" s="26" t="s">
        <v>1026</v>
      </c>
      <c r="E273" s="27"/>
      <c r="F273" s="30" t="s">
        <v>1110</v>
      </c>
      <c r="G273" s="13"/>
      <c r="H273" s="10"/>
      <c r="I273" s="29"/>
      <c r="J273" s="7"/>
      <c r="K273" s="7"/>
      <c r="L273" s="7"/>
      <c r="M273" s="7"/>
      <c r="N273" s="7">
        <f t="shared" si="2"/>
        <v>1</v>
      </c>
      <c r="O273" s="7"/>
    </row>
    <row r="274">
      <c r="A274" s="26" t="s">
        <v>1111</v>
      </c>
      <c r="B274" s="26" t="s">
        <v>1112</v>
      </c>
      <c r="C274" s="26" t="s">
        <v>589</v>
      </c>
      <c r="D274" s="27"/>
      <c r="E274" s="28" t="s">
        <v>1113</v>
      </c>
      <c r="F274" s="29"/>
      <c r="G274" s="13"/>
      <c r="H274" s="10"/>
      <c r="I274" s="29"/>
      <c r="J274" s="7"/>
      <c r="K274" s="7"/>
      <c r="L274" s="7"/>
      <c r="M274" s="7"/>
      <c r="N274" s="7">
        <f t="shared" si="2"/>
        <v>0</v>
      </c>
      <c r="O274" s="7"/>
    </row>
    <row r="275">
      <c r="A275" s="26" t="s">
        <v>1114</v>
      </c>
      <c r="B275" s="26" t="s">
        <v>1115</v>
      </c>
      <c r="C275" s="26" t="s">
        <v>589</v>
      </c>
      <c r="D275" s="27"/>
      <c r="E275" s="28" t="s">
        <v>1116</v>
      </c>
      <c r="F275" s="29"/>
      <c r="G275" s="13"/>
      <c r="H275" s="10"/>
      <c r="I275" s="29"/>
      <c r="J275" s="7"/>
      <c r="K275" s="7"/>
      <c r="L275" s="7"/>
      <c r="M275" s="7"/>
      <c r="N275" s="7">
        <f t="shared" si="2"/>
        <v>0</v>
      </c>
      <c r="O275" s="7"/>
    </row>
    <row r="276">
      <c r="A276" s="26" t="s">
        <v>1117</v>
      </c>
      <c r="B276" s="26" t="s">
        <v>1118</v>
      </c>
      <c r="C276" s="26" t="s">
        <v>589</v>
      </c>
      <c r="D276" s="26" t="s">
        <v>598</v>
      </c>
      <c r="E276" s="28" t="s">
        <v>1119</v>
      </c>
      <c r="F276" s="29"/>
      <c r="G276" s="13"/>
      <c r="H276" s="10"/>
      <c r="I276" s="29"/>
      <c r="J276" s="7"/>
      <c r="K276" s="7"/>
      <c r="L276" s="7"/>
      <c r="M276" s="7"/>
      <c r="N276" s="7">
        <f t="shared" si="2"/>
        <v>0</v>
      </c>
      <c r="O276" s="7"/>
    </row>
    <row r="277">
      <c r="A277" s="26" t="s">
        <v>1120</v>
      </c>
      <c r="B277" s="26" t="s">
        <v>1020</v>
      </c>
      <c r="C277" s="26" t="s">
        <v>589</v>
      </c>
      <c r="D277" s="27"/>
      <c r="E277" s="28" t="s">
        <v>1121</v>
      </c>
      <c r="F277" s="30" t="s">
        <v>1122</v>
      </c>
      <c r="G277" s="13"/>
      <c r="H277" s="10"/>
      <c r="I277" s="30" t="s">
        <v>351</v>
      </c>
      <c r="J277" s="7"/>
      <c r="K277" s="7"/>
      <c r="L277" s="7"/>
      <c r="M277" s="7"/>
      <c r="N277" s="7">
        <f t="shared" si="2"/>
        <v>1</v>
      </c>
      <c r="O277" s="7"/>
    </row>
    <row r="278">
      <c r="A278" s="26" t="s">
        <v>1123</v>
      </c>
      <c r="B278" s="26" t="s">
        <v>1124</v>
      </c>
      <c r="C278" s="26" t="s">
        <v>589</v>
      </c>
      <c r="D278" s="27"/>
      <c r="E278" s="28" t="s">
        <v>1125</v>
      </c>
      <c r="F278" s="30" t="s">
        <v>1126</v>
      </c>
      <c r="G278" s="13"/>
      <c r="H278" s="10"/>
      <c r="I278" s="30" t="s">
        <v>260</v>
      </c>
      <c r="J278" s="7"/>
      <c r="K278" s="7"/>
      <c r="L278" s="7"/>
      <c r="M278" s="7"/>
      <c r="N278" s="7">
        <f t="shared" si="2"/>
        <v>1</v>
      </c>
      <c r="O278" s="7"/>
    </row>
    <row r="279">
      <c r="A279" s="26" t="s">
        <v>1127</v>
      </c>
      <c r="B279" s="26" t="s">
        <v>1128</v>
      </c>
      <c r="C279" s="26" t="s">
        <v>589</v>
      </c>
      <c r="D279" s="27"/>
      <c r="E279" s="28" t="s">
        <v>1129</v>
      </c>
      <c r="F279" s="30" t="s">
        <v>1130</v>
      </c>
      <c r="G279" s="13"/>
      <c r="H279" s="10"/>
      <c r="I279" s="30" t="s">
        <v>324</v>
      </c>
      <c r="J279" s="7"/>
      <c r="K279" s="7"/>
      <c r="L279" s="7"/>
      <c r="M279" s="7"/>
      <c r="N279" s="7">
        <f t="shared" si="2"/>
        <v>1</v>
      </c>
      <c r="O279" s="7"/>
    </row>
    <row r="280">
      <c r="A280" s="26" t="s">
        <v>1131</v>
      </c>
      <c r="B280" s="31" t="s">
        <v>1132</v>
      </c>
      <c r="C280" s="26" t="s">
        <v>589</v>
      </c>
      <c r="D280" s="26" t="s">
        <v>598</v>
      </c>
      <c r="E280" s="28" t="s">
        <v>1133</v>
      </c>
      <c r="F280" s="29"/>
      <c r="G280" s="13"/>
      <c r="H280" s="10"/>
      <c r="I280" s="29"/>
      <c r="J280" s="7"/>
      <c r="K280" s="7"/>
      <c r="L280" s="7"/>
      <c r="M280" s="7"/>
      <c r="N280" s="7">
        <f t="shared" si="2"/>
        <v>0</v>
      </c>
      <c r="O280" s="7"/>
    </row>
    <row r="281">
      <c r="A281" s="26" t="s">
        <v>1134</v>
      </c>
      <c r="B281" s="31" t="s">
        <v>1135</v>
      </c>
      <c r="C281" s="26" t="s">
        <v>589</v>
      </c>
      <c r="D281" s="27"/>
      <c r="E281" s="28" t="s">
        <v>1136</v>
      </c>
      <c r="F281" s="29"/>
      <c r="G281" s="13"/>
      <c r="H281" s="10"/>
      <c r="I281" s="29"/>
      <c r="J281" s="7"/>
      <c r="K281" s="7"/>
      <c r="L281" s="7"/>
      <c r="M281" s="7"/>
      <c r="N281" s="7">
        <f t="shared" si="2"/>
        <v>0</v>
      </c>
      <c r="O281" s="7"/>
    </row>
    <row r="282">
      <c r="A282" s="31" t="s">
        <v>1138</v>
      </c>
      <c r="B282" s="26" t="s">
        <v>1139</v>
      </c>
      <c r="C282" s="26" t="s">
        <v>589</v>
      </c>
      <c r="D282" s="26" t="s">
        <v>598</v>
      </c>
      <c r="E282" s="27"/>
      <c r="F282" s="30" t="s">
        <v>1140</v>
      </c>
      <c r="G282" s="13"/>
      <c r="H282" s="10"/>
      <c r="I282" s="29"/>
      <c r="J282" s="7"/>
      <c r="K282" s="7"/>
      <c r="L282" s="7"/>
      <c r="M282" s="7"/>
      <c r="N282" s="7">
        <f t="shared" si="2"/>
        <v>1</v>
      </c>
      <c r="O282" s="7"/>
    </row>
    <row r="283">
      <c r="A283" s="26" t="s">
        <v>1141</v>
      </c>
      <c r="B283" s="26" t="s">
        <v>1142</v>
      </c>
      <c r="C283" s="26" t="s">
        <v>589</v>
      </c>
      <c r="D283" s="27"/>
      <c r="E283" s="28" t="s">
        <v>1143</v>
      </c>
      <c r="F283" s="30" t="s">
        <v>1144</v>
      </c>
      <c r="G283" s="13"/>
      <c r="H283" s="10"/>
      <c r="I283" s="29"/>
      <c r="J283" s="7"/>
      <c r="K283" s="7"/>
      <c r="L283" s="7"/>
      <c r="M283" s="7"/>
      <c r="N283" s="7">
        <f t="shared" si="2"/>
        <v>1</v>
      </c>
      <c r="O283" s="7"/>
    </row>
    <row r="284">
      <c r="A284" s="26" t="s">
        <v>1145</v>
      </c>
      <c r="B284" s="26" t="s">
        <v>1146</v>
      </c>
      <c r="C284" s="26" t="s">
        <v>584</v>
      </c>
      <c r="D284" s="27"/>
      <c r="E284" s="33" t="s">
        <v>1423</v>
      </c>
      <c r="F284" s="30" t="s">
        <v>1148</v>
      </c>
      <c r="G284" s="13"/>
      <c r="H284" s="10"/>
      <c r="I284" s="29"/>
      <c r="J284" s="7"/>
      <c r="K284" s="7"/>
      <c r="L284" s="7"/>
      <c r="M284" s="7"/>
      <c r="N284" s="7">
        <f t="shared" si="2"/>
        <v>1</v>
      </c>
      <c r="O284" s="7"/>
    </row>
    <row r="285">
      <c r="A285" s="26" t="s">
        <v>1149</v>
      </c>
      <c r="B285" s="26" t="s">
        <v>1150</v>
      </c>
      <c r="C285" s="26" t="s">
        <v>1151</v>
      </c>
      <c r="D285" s="27"/>
      <c r="E285" s="28" t="s">
        <v>1152</v>
      </c>
      <c r="F285" s="29"/>
      <c r="G285" s="13"/>
      <c r="H285" s="10"/>
      <c r="I285" s="29"/>
      <c r="J285" s="7"/>
      <c r="K285" s="7"/>
      <c r="L285" s="7"/>
      <c r="M285" s="7"/>
      <c r="N285" s="7">
        <f t="shared" si="2"/>
        <v>0</v>
      </c>
      <c r="O285" s="7"/>
    </row>
    <row r="286">
      <c r="A286" s="31" t="s">
        <v>1153</v>
      </c>
      <c r="B286" s="26" t="s">
        <v>1154</v>
      </c>
      <c r="C286" s="26" t="s">
        <v>589</v>
      </c>
      <c r="D286" s="27"/>
      <c r="E286" s="28" t="s">
        <v>1155</v>
      </c>
      <c r="F286" s="30" t="s">
        <v>1156</v>
      </c>
      <c r="G286" s="13"/>
      <c r="H286" s="10"/>
      <c r="I286" s="30" t="s">
        <v>39</v>
      </c>
      <c r="J286" s="7"/>
      <c r="K286" s="7"/>
      <c r="L286" s="7"/>
      <c r="M286" s="7"/>
      <c r="N286" s="7">
        <f t="shared" si="2"/>
        <v>1</v>
      </c>
      <c r="O286" s="7"/>
    </row>
    <row r="287">
      <c r="A287" s="26" t="s">
        <v>1157</v>
      </c>
      <c r="B287" s="26" t="s">
        <v>1158</v>
      </c>
      <c r="C287" s="26" t="s">
        <v>584</v>
      </c>
      <c r="D287" s="27"/>
      <c r="E287" s="28" t="s">
        <v>1159</v>
      </c>
      <c r="F287" s="29"/>
      <c r="G287" s="13"/>
      <c r="H287" s="10"/>
      <c r="I287" s="29"/>
      <c r="J287" s="7"/>
      <c r="K287" s="7"/>
      <c r="L287" s="7"/>
      <c r="M287" s="7"/>
      <c r="N287" s="7">
        <f t="shared" si="2"/>
        <v>0</v>
      </c>
      <c r="O287" s="7"/>
    </row>
    <row r="288">
      <c r="A288" s="26" t="s">
        <v>1160</v>
      </c>
      <c r="B288" s="26" t="s">
        <v>1161</v>
      </c>
      <c r="C288" s="26" t="s">
        <v>1162</v>
      </c>
      <c r="D288" s="27"/>
      <c r="E288" s="28" t="s">
        <v>1163</v>
      </c>
      <c r="F288" s="29"/>
      <c r="G288" s="13"/>
      <c r="H288" s="10"/>
      <c r="I288" s="29"/>
      <c r="J288" s="7"/>
      <c r="K288" s="7"/>
      <c r="L288" s="7"/>
      <c r="M288" s="7"/>
      <c r="N288" s="7">
        <f t="shared" si="2"/>
        <v>0</v>
      </c>
      <c r="O288" s="7"/>
    </row>
    <row r="289">
      <c r="A289" s="26" t="s">
        <v>1164</v>
      </c>
      <c r="B289" s="26" t="s">
        <v>1165</v>
      </c>
      <c r="C289" s="26" t="s">
        <v>589</v>
      </c>
      <c r="D289" s="27"/>
      <c r="E289" s="28" t="s">
        <v>1166</v>
      </c>
      <c r="F289" s="30" t="s">
        <v>1167</v>
      </c>
      <c r="G289" s="13"/>
      <c r="H289" s="10"/>
      <c r="I289" s="29"/>
      <c r="J289" s="7"/>
      <c r="K289" s="7"/>
      <c r="L289" s="7"/>
      <c r="M289" s="7"/>
      <c r="N289" s="7">
        <f t="shared" si="2"/>
        <v>1</v>
      </c>
      <c r="O289" s="7"/>
    </row>
    <row r="290">
      <c r="A290" s="26" t="s">
        <v>1168</v>
      </c>
      <c r="B290" s="26" t="s">
        <v>1169</v>
      </c>
      <c r="C290" s="26" t="s">
        <v>1059</v>
      </c>
      <c r="D290" s="27"/>
      <c r="E290" s="28" t="s">
        <v>1170</v>
      </c>
      <c r="F290" s="30" t="s">
        <v>1171</v>
      </c>
      <c r="G290" s="13"/>
      <c r="H290" s="10"/>
      <c r="I290" s="29"/>
      <c r="J290" s="7"/>
      <c r="K290" s="7"/>
      <c r="L290" s="7"/>
      <c r="M290" s="7"/>
      <c r="N290" s="7">
        <f t="shared" si="2"/>
        <v>1</v>
      </c>
      <c r="O290" s="7"/>
    </row>
    <row r="291" ht="16.5" customHeight="1">
      <c r="A291" s="26" t="s">
        <v>1172</v>
      </c>
      <c r="B291" s="26" t="s">
        <v>1173</v>
      </c>
      <c r="C291" s="26" t="s">
        <v>589</v>
      </c>
      <c r="D291" s="28" t="s">
        <v>1174</v>
      </c>
      <c r="E291" s="33" t="s">
        <v>1462</v>
      </c>
      <c r="F291" s="30" t="s">
        <v>1176</v>
      </c>
      <c r="G291" s="13"/>
      <c r="H291" s="10"/>
      <c r="I291" s="30" t="s">
        <v>122</v>
      </c>
      <c r="J291" s="7"/>
      <c r="K291" s="7"/>
      <c r="L291" s="7"/>
      <c r="M291" s="7"/>
      <c r="N291" s="7">
        <f t="shared" si="2"/>
        <v>1</v>
      </c>
      <c r="O291" s="7"/>
    </row>
    <row r="292" ht="15.75" customHeight="1">
      <c r="A292" s="26" t="s">
        <v>1177</v>
      </c>
      <c r="B292" s="26" t="s">
        <v>1178</v>
      </c>
      <c r="C292" s="26" t="s">
        <v>589</v>
      </c>
      <c r="D292" s="28" t="s">
        <v>1174</v>
      </c>
      <c r="E292" s="28" t="s">
        <v>1179</v>
      </c>
      <c r="F292" s="30" t="s">
        <v>1180</v>
      </c>
      <c r="G292" s="13"/>
      <c r="H292" s="10"/>
      <c r="I292" s="30" t="s">
        <v>122</v>
      </c>
      <c r="J292" s="7"/>
      <c r="K292" s="7"/>
      <c r="L292" s="7"/>
      <c r="M292" s="7"/>
      <c r="N292" s="7">
        <f t="shared" si="2"/>
        <v>1</v>
      </c>
      <c r="O292" s="7"/>
    </row>
    <row r="293">
      <c r="A293" s="26" t="s">
        <v>1181</v>
      </c>
      <c r="B293" s="31" t="s">
        <v>1182</v>
      </c>
      <c r="C293" s="26" t="s">
        <v>589</v>
      </c>
      <c r="D293" s="26"/>
      <c r="E293" s="28" t="s">
        <v>1481</v>
      </c>
      <c r="F293" s="29"/>
      <c r="G293" s="13"/>
      <c r="H293" s="10"/>
      <c r="I293" s="30" t="s">
        <v>403</v>
      </c>
      <c r="J293" s="7"/>
      <c r="K293" s="7"/>
      <c r="L293" s="7"/>
      <c r="M293" s="7"/>
      <c r="N293" s="7">
        <f t="shared" si="2"/>
        <v>0</v>
      </c>
      <c r="O293" s="7"/>
    </row>
    <row r="294">
      <c r="A294" s="26" t="s">
        <v>1184</v>
      </c>
      <c r="B294" s="26" t="s">
        <v>1185</v>
      </c>
      <c r="C294" s="26" t="s">
        <v>835</v>
      </c>
      <c r="D294" s="26" t="s">
        <v>635</v>
      </c>
      <c r="E294" s="28" t="s">
        <v>1186</v>
      </c>
      <c r="F294" s="29"/>
      <c r="G294" s="13"/>
      <c r="H294" s="10"/>
      <c r="I294" s="29"/>
      <c r="J294" s="7"/>
      <c r="K294" s="7"/>
      <c r="L294" s="7"/>
      <c r="M294" s="7"/>
      <c r="N294" s="7">
        <f t="shared" si="2"/>
        <v>0</v>
      </c>
      <c r="O294" s="7"/>
    </row>
    <row r="295">
      <c r="A295" s="26" t="s">
        <v>1187</v>
      </c>
      <c r="B295" s="26" t="s">
        <v>1188</v>
      </c>
      <c r="C295" s="26" t="s">
        <v>589</v>
      </c>
      <c r="D295" s="27"/>
      <c r="E295" s="28" t="s">
        <v>1189</v>
      </c>
      <c r="F295" s="30" t="s">
        <v>1190</v>
      </c>
      <c r="G295" s="13"/>
      <c r="H295" s="10"/>
      <c r="I295" s="30" t="s">
        <v>52</v>
      </c>
      <c r="J295" s="7"/>
      <c r="K295" s="7"/>
      <c r="L295" s="7"/>
      <c r="M295" s="7"/>
      <c r="N295" s="7">
        <f t="shared" si="2"/>
        <v>1</v>
      </c>
      <c r="O295" s="7"/>
    </row>
    <row r="296">
      <c r="A296" s="26" t="s">
        <v>1191</v>
      </c>
      <c r="B296" s="26" t="s">
        <v>1192</v>
      </c>
      <c r="C296" s="26" t="s">
        <v>589</v>
      </c>
      <c r="D296" s="27"/>
      <c r="E296" s="28" t="s">
        <v>1193</v>
      </c>
      <c r="F296" s="30" t="s">
        <v>1194</v>
      </c>
      <c r="G296" s="13"/>
      <c r="H296" s="10"/>
      <c r="I296" s="29"/>
      <c r="J296" s="7"/>
      <c r="K296" s="7"/>
      <c r="L296" s="7"/>
      <c r="M296" s="7"/>
      <c r="N296" s="7">
        <f t="shared" si="2"/>
        <v>1</v>
      </c>
      <c r="O296" s="7"/>
    </row>
    <row r="297">
      <c r="A297" s="26" t="s">
        <v>1195</v>
      </c>
      <c r="B297" s="26" t="s">
        <v>1196</v>
      </c>
      <c r="C297" s="26" t="s">
        <v>648</v>
      </c>
      <c r="D297" s="27"/>
      <c r="E297" s="28" t="s">
        <v>1197</v>
      </c>
      <c r="F297" s="29"/>
      <c r="G297" s="13"/>
      <c r="H297" s="10"/>
      <c r="I297" s="29"/>
      <c r="J297" s="7"/>
      <c r="K297" s="7"/>
      <c r="L297" s="7"/>
      <c r="M297" s="7"/>
      <c r="N297" s="7">
        <f t="shared" si="2"/>
        <v>0</v>
      </c>
      <c r="O297" s="7"/>
    </row>
    <row r="298">
      <c r="A298" s="26" t="s">
        <v>1198</v>
      </c>
      <c r="B298" s="26" t="s">
        <v>1199</v>
      </c>
      <c r="C298" s="26" t="s">
        <v>589</v>
      </c>
      <c r="D298" s="27"/>
      <c r="E298" s="32" t="s">
        <v>1200</v>
      </c>
      <c r="F298" s="30" t="s">
        <v>1201</v>
      </c>
      <c r="G298" s="13"/>
      <c r="H298" s="10"/>
      <c r="I298" s="29"/>
      <c r="J298" s="7"/>
      <c r="K298" s="7"/>
      <c r="L298" s="7"/>
      <c r="M298" s="7"/>
      <c r="N298" s="7">
        <f t="shared" si="2"/>
        <v>1</v>
      </c>
      <c r="O298" s="7"/>
    </row>
    <row r="299">
      <c r="A299" s="26" t="s">
        <v>1202</v>
      </c>
      <c r="B299" s="26" t="s">
        <v>1203</v>
      </c>
      <c r="C299" s="26" t="s">
        <v>1204</v>
      </c>
      <c r="D299" s="27"/>
      <c r="E299" s="28" t="s">
        <v>1205</v>
      </c>
      <c r="F299" s="30" t="s">
        <v>1206</v>
      </c>
      <c r="G299" s="13"/>
      <c r="H299" s="10"/>
      <c r="I299" s="29"/>
      <c r="J299" s="7"/>
      <c r="K299" s="7"/>
      <c r="L299" s="7"/>
      <c r="M299" s="7"/>
      <c r="N299" s="7">
        <f t="shared" si="2"/>
        <v>1</v>
      </c>
      <c r="O299" s="7"/>
    </row>
    <row r="300">
      <c r="A300" s="26" t="s">
        <v>1207</v>
      </c>
      <c r="B300" s="26" t="s">
        <v>1208</v>
      </c>
      <c r="C300" s="26" t="s">
        <v>589</v>
      </c>
      <c r="D300" s="27"/>
      <c r="E300" s="28" t="s">
        <v>1209</v>
      </c>
      <c r="F300" s="30" t="s">
        <v>1210</v>
      </c>
      <c r="G300" s="13"/>
      <c r="H300" s="10"/>
      <c r="I300" s="29"/>
      <c r="J300" s="7"/>
      <c r="K300" s="7"/>
      <c r="L300" s="7"/>
      <c r="M300" s="7"/>
      <c r="N300" s="7">
        <f t="shared" si="2"/>
        <v>1</v>
      </c>
      <c r="O300" s="7"/>
    </row>
    <row r="301">
      <c r="A301" s="31" t="s">
        <v>1212</v>
      </c>
      <c r="B301" s="26" t="s">
        <v>1213</v>
      </c>
      <c r="C301" s="26" t="s">
        <v>589</v>
      </c>
      <c r="D301" s="26" t="s">
        <v>598</v>
      </c>
      <c r="E301" s="28" t="s">
        <v>1214</v>
      </c>
      <c r="F301" s="30" t="s">
        <v>1215</v>
      </c>
      <c r="G301" s="13"/>
      <c r="H301" s="10"/>
      <c r="I301" s="29"/>
      <c r="J301" s="7"/>
      <c r="K301" s="7"/>
      <c r="L301" s="7"/>
      <c r="M301" s="7"/>
      <c r="N301" s="7">
        <f t="shared" si="2"/>
        <v>1</v>
      </c>
      <c r="O301" s="7"/>
    </row>
    <row r="302">
      <c r="A302" s="26" t="s">
        <v>1216</v>
      </c>
      <c r="B302" s="26" t="s">
        <v>1217</v>
      </c>
      <c r="C302" s="26" t="s">
        <v>584</v>
      </c>
      <c r="D302" s="26" t="s">
        <v>635</v>
      </c>
      <c r="E302" s="28" t="s">
        <v>1218</v>
      </c>
      <c r="F302" s="29"/>
      <c r="G302" s="13"/>
      <c r="H302" s="10"/>
      <c r="I302" s="29"/>
      <c r="J302" s="7"/>
      <c r="K302" s="7"/>
      <c r="L302" s="7"/>
      <c r="M302" s="7"/>
      <c r="N302" s="7">
        <f t="shared" si="2"/>
        <v>0</v>
      </c>
      <c r="O302" s="7"/>
    </row>
    <row r="303">
      <c r="A303" s="26" t="s">
        <v>1219</v>
      </c>
      <c r="B303" s="26" t="s">
        <v>1220</v>
      </c>
      <c r="C303" s="26" t="s">
        <v>584</v>
      </c>
      <c r="D303" s="27"/>
      <c r="E303" s="28" t="s">
        <v>1221</v>
      </c>
      <c r="F303" s="29"/>
      <c r="G303" s="13"/>
      <c r="H303" s="10"/>
      <c r="I303" s="29"/>
      <c r="J303" s="7"/>
      <c r="K303" s="7"/>
      <c r="L303" s="7"/>
      <c r="M303" s="7"/>
      <c r="N303" s="7">
        <f t="shared" si="2"/>
        <v>0</v>
      </c>
      <c r="O303" s="7"/>
    </row>
    <row r="304">
      <c r="A304" s="26" t="s">
        <v>1223</v>
      </c>
      <c r="B304" s="31" t="s">
        <v>1224</v>
      </c>
      <c r="C304" s="26" t="s">
        <v>589</v>
      </c>
      <c r="D304" s="26" t="s">
        <v>635</v>
      </c>
      <c r="E304" s="28" t="s">
        <v>1225</v>
      </c>
      <c r="F304" s="30" t="s">
        <v>1226</v>
      </c>
      <c r="G304" s="13"/>
      <c r="H304" s="10"/>
      <c r="I304" s="29"/>
      <c r="J304" s="7"/>
      <c r="K304" s="7"/>
      <c r="L304" s="7"/>
      <c r="M304" s="7"/>
      <c r="N304" s="7">
        <f t="shared" si="2"/>
        <v>1</v>
      </c>
      <c r="O304" s="7"/>
    </row>
    <row r="305">
      <c r="A305" s="26" t="s">
        <v>1227</v>
      </c>
      <c r="B305" s="26" t="s">
        <v>1228</v>
      </c>
      <c r="C305" s="26" t="s">
        <v>589</v>
      </c>
      <c r="D305" s="27"/>
      <c r="E305" s="28" t="s">
        <v>1229</v>
      </c>
      <c r="F305" s="29"/>
      <c r="G305" s="13"/>
      <c r="H305" s="10"/>
      <c r="I305" s="29"/>
      <c r="J305" s="7"/>
      <c r="K305" s="7"/>
      <c r="L305" s="7"/>
      <c r="M305" s="7"/>
      <c r="N305" s="7">
        <f t="shared" si="2"/>
        <v>0</v>
      </c>
      <c r="O305" s="7"/>
    </row>
    <row r="306">
      <c r="A306" s="26" t="s">
        <v>1230</v>
      </c>
      <c r="B306" s="26" t="s">
        <v>1231</v>
      </c>
      <c r="C306" s="26" t="s">
        <v>589</v>
      </c>
      <c r="D306" s="26" t="s">
        <v>598</v>
      </c>
      <c r="E306" s="28" t="s">
        <v>1232</v>
      </c>
      <c r="F306" s="30" t="s">
        <v>1233</v>
      </c>
      <c r="G306" s="13"/>
      <c r="H306" s="10"/>
      <c r="I306" s="29"/>
      <c r="J306" s="7"/>
      <c r="K306" s="7"/>
      <c r="L306" s="7"/>
      <c r="M306" s="7"/>
      <c r="N306" s="7">
        <f t="shared" si="2"/>
        <v>1</v>
      </c>
      <c r="O306" s="7"/>
    </row>
    <row r="307">
      <c r="A307" s="26" t="s">
        <v>1234</v>
      </c>
      <c r="B307" s="26" t="s">
        <v>1235</v>
      </c>
      <c r="C307" s="26" t="s">
        <v>589</v>
      </c>
      <c r="D307" s="27"/>
      <c r="E307" s="28" t="s">
        <v>1236</v>
      </c>
      <c r="F307" s="30" t="s">
        <v>1237</v>
      </c>
      <c r="G307" s="13"/>
      <c r="H307" s="10"/>
      <c r="I307" s="29"/>
      <c r="J307" s="7"/>
      <c r="K307" s="7"/>
      <c r="L307" s="7"/>
      <c r="M307" s="7"/>
      <c r="N307" s="7">
        <f t="shared" si="2"/>
        <v>1</v>
      </c>
      <c r="O307" s="7"/>
    </row>
    <row r="308">
      <c r="A308" s="31" t="s">
        <v>1238</v>
      </c>
      <c r="B308" s="26" t="s">
        <v>1239</v>
      </c>
      <c r="C308" s="31" t="s">
        <v>589</v>
      </c>
      <c r="D308" s="26"/>
      <c r="E308" s="31" t="s">
        <v>1240</v>
      </c>
      <c r="F308" s="29"/>
      <c r="G308" s="13"/>
      <c r="H308" s="10"/>
      <c r="I308" s="30" t="s">
        <v>391</v>
      </c>
      <c r="J308" s="7"/>
      <c r="K308" s="7"/>
      <c r="L308" s="7"/>
      <c r="M308" s="7"/>
      <c r="N308" s="7">
        <f t="shared" si="2"/>
        <v>0</v>
      </c>
      <c r="O308" s="7"/>
    </row>
    <row r="309">
      <c r="A309" s="26" t="s">
        <v>1241</v>
      </c>
      <c r="B309" s="26" t="s">
        <v>1242</v>
      </c>
      <c r="C309" s="26" t="s">
        <v>589</v>
      </c>
      <c r="D309" s="26" t="s">
        <v>598</v>
      </c>
      <c r="E309" s="28" t="s">
        <v>1243</v>
      </c>
      <c r="F309" s="29"/>
      <c r="G309" s="13"/>
      <c r="H309" s="10"/>
      <c r="I309" s="29"/>
      <c r="J309" s="7"/>
      <c r="K309" s="7"/>
      <c r="L309" s="7"/>
      <c r="M309" s="7"/>
      <c r="N309" s="7">
        <f t="shared" si="2"/>
        <v>0</v>
      </c>
      <c r="O309" s="7"/>
    </row>
    <row r="310">
      <c r="A310" s="26" t="s">
        <v>1244</v>
      </c>
      <c r="B310" s="26" t="s">
        <v>1245</v>
      </c>
      <c r="C310" s="26" t="s">
        <v>584</v>
      </c>
      <c r="D310" s="26" t="s">
        <v>635</v>
      </c>
      <c r="E310" s="28" t="s">
        <v>1246</v>
      </c>
      <c r="F310" s="29"/>
      <c r="G310" s="13"/>
      <c r="H310" s="10"/>
      <c r="I310" s="29"/>
      <c r="J310" s="7"/>
      <c r="K310" s="7"/>
      <c r="L310" s="7"/>
      <c r="M310" s="7"/>
      <c r="N310" s="7">
        <f t="shared" si="2"/>
        <v>0</v>
      </c>
      <c r="O310" s="7"/>
    </row>
    <row r="311">
      <c r="A311" s="26" t="s">
        <v>1247</v>
      </c>
      <c r="B311" s="26" t="s">
        <v>1248</v>
      </c>
      <c r="C311" s="26" t="s">
        <v>589</v>
      </c>
      <c r="D311" s="27"/>
      <c r="E311" s="28" t="s">
        <v>1249</v>
      </c>
      <c r="F311" s="35" t="s">
        <v>188</v>
      </c>
      <c r="I311" s="29"/>
      <c r="J311" s="7"/>
      <c r="K311" s="7"/>
      <c r="L311" s="7"/>
      <c r="M311" s="7"/>
      <c r="N311" s="7">
        <f t="shared" si="2"/>
        <v>1</v>
      </c>
      <c r="O311" s="7"/>
    </row>
    <row r="312">
      <c r="A312" s="26" t="s">
        <v>1250</v>
      </c>
      <c r="B312" s="26" t="s">
        <v>1251</v>
      </c>
      <c r="C312" s="26" t="s">
        <v>589</v>
      </c>
      <c r="D312" s="27"/>
      <c r="E312" s="28" t="s">
        <v>1252</v>
      </c>
      <c r="F312" s="29"/>
      <c r="G312" s="13"/>
      <c r="H312" s="10"/>
      <c r="I312" s="29"/>
      <c r="J312" s="7"/>
      <c r="K312" s="7"/>
      <c r="L312" s="7"/>
      <c r="M312" s="7"/>
      <c r="N312" s="7">
        <f t="shared" si="2"/>
        <v>0</v>
      </c>
      <c r="O312" s="7"/>
    </row>
    <row r="313">
      <c r="A313" s="26" t="s">
        <v>1253</v>
      </c>
      <c r="B313" s="31" t="s">
        <v>1254</v>
      </c>
      <c r="C313" s="26" t="s">
        <v>589</v>
      </c>
      <c r="D313" s="26" t="s">
        <v>635</v>
      </c>
      <c r="E313" s="28" t="s">
        <v>1255</v>
      </c>
      <c r="F313" s="29"/>
      <c r="G313" s="13"/>
      <c r="H313" s="10"/>
      <c r="I313" s="29"/>
      <c r="J313" s="7"/>
      <c r="K313" s="7"/>
      <c r="L313" s="7"/>
      <c r="M313" s="7"/>
      <c r="N313" s="7">
        <f t="shared" si="2"/>
        <v>0</v>
      </c>
      <c r="O313" s="7"/>
    </row>
    <row r="314">
      <c r="A314" s="26" t="s">
        <v>1256</v>
      </c>
      <c r="B314" s="26" t="s">
        <v>1257</v>
      </c>
      <c r="C314" s="26" t="s">
        <v>589</v>
      </c>
      <c r="D314" s="26" t="s">
        <v>635</v>
      </c>
      <c r="E314" s="28" t="s">
        <v>1258</v>
      </c>
      <c r="F314" s="30" t="s">
        <v>1259</v>
      </c>
      <c r="G314" s="13"/>
      <c r="H314" s="10"/>
      <c r="I314" s="29"/>
      <c r="J314" s="7"/>
      <c r="K314" s="7"/>
      <c r="L314" s="7"/>
      <c r="M314" s="7"/>
      <c r="N314" s="7">
        <f t="shared" si="2"/>
        <v>1</v>
      </c>
      <c r="O314" s="7"/>
    </row>
    <row r="315">
      <c r="A315" s="26" t="s">
        <v>1260</v>
      </c>
      <c r="B315" s="26" t="s">
        <v>1261</v>
      </c>
      <c r="C315" s="26" t="s">
        <v>589</v>
      </c>
      <c r="D315" s="27"/>
      <c r="E315" s="28" t="s">
        <v>1262</v>
      </c>
      <c r="F315" s="29"/>
      <c r="G315" s="13"/>
      <c r="H315" s="10"/>
      <c r="I315" s="29"/>
      <c r="J315" s="7"/>
      <c r="K315" s="7"/>
      <c r="L315" s="7"/>
      <c r="M315" s="7"/>
      <c r="N315" s="7">
        <f t="shared" si="2"/>
        <v>0</v>
      </c>
      <c r="O315" s="7"/>
    </row>
    <row r="316">
      <c r="A316" s="26" t="s">
        <v>1264</v>
      </c>
      <c r="B316" s="26" t="s">
        <v>1265</v>
      </c>
      <c r="C316" s="26" t="s">
        <v>589</v>
      </c>
      <c r="D316" s="27"/>
      <c r="E316" s="28" t="s">
        <v>1266</v>
      </c>
      <c r="F316" s="30" t="s">
        <v>1267</v>
      </c>
      <c r="G316" s="13"/>
      <c r="H316" s="10"/>
      <c r="I316" s="29"/>
      <c r="J316" s="7"/>
      <c r="K316" s="7"/>
      <c r="L316" s="7"/>
      <c r="M316" s="7"/>
      <c r="N316" s="7">
        <f t="shared" si="2"/>
        <v>1</v>
      </c>
      <c r="O316" s="7"/>
    </row>
    <row r="317">
      <c r="A317" s="26" t="s">
        <v>1268</v>
      </c>
      <c r="B317" s="26" t="s">
        <v>1269</v>
      </c>
      <c r="C317" s="26" t="s">
        <v>589</v>
      </c>
      <c r="D317" s="26" t="s">
        <v>635</v>
      </c>
      <c r="E317" s="33" t="s">
        <v>1666</v>
      </c>
      <c r="F317" s="30" t="s">
        <v>1271</v>
      </c>
      <c r="G317" s="13"/>
      <c r="H317" s="10"/>
      <c r="I317" s="30" t="s">
        <v>356</v>
      </c>
      <c r="J317" s="7"/>
      <c r="K317" s="7"/>
      <c r="L317" s="7"/>
      <c r="M317" s="7"/>
      <c r="N317" s="7">
        <f t="shared" si="2"/>
        <v>1</v>
      </c>
      <c r="O317" s="7"/>
    </row>
    <row r="318">
      <c r="A318" s="26" t="s">
        <v>1272</v>
      </c>
      <c r="B318" s="31" t="s">
        <v>1273</v>
      </c>
      <c r="C318" s="26" t="s">
        <v>589</v>
      </c>
      <c r="D318" s="27"/>
      <c r="E318" s="28" t="s">
        <v>1274</v>
      </c>
      <c r="F318" s="29"/>
      <c r="G318" s="13"/>
      <c r="H318" s="10"/>
      <c r="I318" s="29"/>
      <c r="J318" s="7"/>
      <c r="K318" s="7"/>
      <c r="L318" s="7"/>
      <c r="M318" s="7"/>
      <c r="N318" s="7">
        <f t="shared" si="2"/>
        <v>0</v>
      </c>
      <c r="O318" s="7"/>
    </row>
    <row r="319">
      <c r="A319" s="26" t="s">
        <v>1275</v>
      </c>
      <c r="B319" s="26" t="s">
        <v>1276</v>
      </c>
      <c r="C319" s="26" t="s">
        <v>589</v>
      </c>
      <c r="D319" s="27"/>
      <c r="E319" s="28" t="s">
        <v>1277</v>
      </c>
      <c r="F319" s="30" t="s">
        <v>1279</v>
      </c>
      <c r="G319" s="13"/>
      <c r="H319" s="10"/>
      <c r="I319" s="29"/>
      <c r="J319" s="7"/>
      <c r="K319" s="7"/>
      <c r="L319" s="7"/>
      <c r="M319" s="7"/>
      <c r="N319" s="7">
        <f t="shared" si="2"/>
        <v>1</v>
      </c>
      <c r="O319" s="7"/>
    </row>
    <row r="320">
      <c r="A320" s="26" t="s">
        <v>1280</v>
      </c>
      <c r="B320" s="26" t="s">
        <v>1281</v>
      </c>
      <c r="C320" s="26" t="s">
        <v>584</v>
      </c>
      <c r="D320" s="26" t="s">
        <v>635</v>
      </c>
      <c r="E320" s="28" t="s">
        <v>1282</v>
      </c>
      <c r="F320" s="29"/>
      <c r="G320" s="13"/>
      <c r="H320" s="10"/>
      <c r="I320" s="29"/>
      <c r="J320" s="7"/>
      <c r="K320" s="7"/>
      <c r="L320" s="7"/>
      <c r="M320" s="7"/>
      <c r="N320" s="7">
        <f t="shared" si="2"/>
        <v>0</v>
      </c>
      <c r="O320" s="7"/>
    </row>
    <row r="321">
      <c r="A321" s="26" t="s">
        <v>1283</v>
      </c>
      <c r="B321" s="26" t="s">
        <v>1284</v>
      </c>
      <c r="C321" s="26" t="s">
        <v>589</v>
      </c>
      <c r="D321" s="27"/>
      <c r="E321" s="28" t="s">
        <v>1285</v>
      </c>
      <c r="F321" s="29"/>
      <c r="G321" s="13"/>
      <c r="H321" s="10"/>
      <c r="I321" s="29"/>
      <c r="J321" s="7"/>
      <c r="K321" s="7"/>
      <c r="L321" s="7"/>
      <c r="M321" s="7"/>
      <c r="N321" s="7">
        <f t="shared" si="2"/>
        <v>0</v>
      </c>
      <c r="O321" s="7"/>
    </row>
    <row r="322">
      <c r="A322" s="26" t="s">
        <v>1286</v>
      </c>
      <c r="B322" s="26" t="s">
        <v>1287</v>
      </c>
      <c r="C322" s="26" t="s">
        <v>584</v>
      </c>
      <c r="D322" s="27"/>
      <c r="E322" s="33" t="s">
        <v>1691</v>
      </c>
      <c r="F322" s="29"/>
      <c r="G322" s="13"/>
      <c r="H322" s="10"/>
      <c r="I322" s="29"/>
      <c r="J322" s="7"/>
      <c r="K322" s="7"/>
      <c r="L322" s="7"/>
      <c r="M322" s="7"/>
      <c r="N322" s="7">
        <f t="shared" si="2"/>
        <v>0</v>
      </c>
      <c r="O322" s="7"/>
    </row>
    <row r="323">
      <c r="A323" s="26" t="s">
        <v>1289</v>
      </c>
      <c r="B323" s="26" t="s">
        <v>1290</v>
      </c>
      <c r="C323" s="26" t="s">
        <v>589</v>
      </c>
      <c r="D323" s="26" t="s">
        <v>1026</v>
      </c>
      <c r="E323" s="27"/>
      <c r="F323" s="30" t="s">
        <v>1291</v>
      </c>
      <c r="G323" s="13"/>
      <c r="H323" s="10"/>
      <c r="I323" s="29"/>
      <c r="J323" s="7"/>
      <c r="K323" s="7"/>
      <c r="L323" s="7"/>
      <c r="M323" s="7"/>
      <c r="N323" s="7">
        <f t="shared" si="2"/>
        <v>1</v>
      </c>
      <c r="O323" s="7"/>
    </row>
    <row r="324">
      <c r="A324" s="26" t="s">
        <v>1292</v>
      </c>
      <c r="B324" s="26" t="s">
        <v>1293</v>
      </c>
      <c r="C324" s="26" t="s">
        <v>589</v>
      </c>
      <c r="D324" s="27"/>
      <c r="E324" s="28" t="s">
        <v>1294</v>
      </c>
      <c r="F324" s="29"/>
      <c r="G324" s="13"/>
      <c r="H324" s="10"/>
      <c r="I324" s="29"/>
      <c r="J324" s="7"/>
      <c r="K324" s="7"/>
      <c r="L324" s="7"/>
      <c r="M324" s="7"/>
      <c r="N324" s="7">
        <f t="shared" si="2"/>
        <v>0</v>
      </c>
      <c r="O324" s="7"/>
    </row>
    <row r="325">
      <c r="A325" s="26" t="s">
        <v>1295</v>
      </c>
      <c r="B325" s="26" t="s">
        <v>1296</v>
      </c>
      <c r="C325" s="26" t="s">
        <v>589</v>
      </c>
      <c r="D325" s="27"/>
      <c r="E325" s="28" t="s">
        <v>1297</v>
      </c>
      <c r="F325" s="30" t="s">
        <v>1298</v>
      </c>
      <c r="G325" s="13"/>
      <c r="H325" s="10"/>
      <c r="I325" s="29"/>
      <c r="J325" s="7"/>
      <c r="K325" s="7"/>
      <c r="L325" s="7"/>
      <c r="M325" s="7"/>
      <c r="N325" s="7">
        <f t="shared" si="2"/>
        <v>1</v>
      </c>
      <c r="O325" s="7"/>
    </row>
    <row r="326">
      <c r="A326" s="26" t="s">
        <v>1299</v>
      </c>
      <c r="B326" s="26" t="s">
        <v>1300</v>
      </c>
      <c r="C326" s="26" t="s">
        <v>589</v>
      </c>
      <c r="D326" s="27"/>
      <c r="E326" s="28" t="s">
        <v>1301</v>
      </c>
      <c r="F326" s="29"/>
      <c r="G326" s="13"/>
      <c r="H326" s="10"/>
      <c r="I326" s="29"/>
      <c r="J326" s="7"/>
      <c r="K326" s="7"/>
      <c r="L326" s="7"/>
      <c r="M326" s="7"/>
      <c r="N326" s="7">
        <f t="shared" si="2"/>
        <v>0</v>
      </c>
      <c r="O326" s="7"/>
    </row>
    <row r="327">
      <c r="A327" s="26" t="s">
        <v>1302</v>
      </c>
      <c r="B327" s="26" t="s">
        <v>1303</v>
      </c>
      <c r="C327" s="26" t="s">
        <v>584</v>
      </c>
      <c r="D327" s="27"/>
      <c r="E327" s="28" t="s">
        <v>1304</v>
      </c>
      <c r="F327" s="29"/>
      <c r="G327" s="13"/>
      <c r="H327" s="10"/>
      <c r="I327" s="29"/>
      <c r="J327" s="7"/>
      <c r="K327" s="7"/>
      <c r="L327" s="7"/>
      <c r="M327" s="7"/>
      <c r="N327" s="7">
        <f t="shared" si="2"/>
        <v>0</v>
      </c>
      <c r="O327" s="7"/>
    </row>
    <row r="328">
      <c r="A328" s="31" t="s">
        <v>1305</v>
      </c>
      <c r="B328" s="26" t="s">
        <v>1058</v>
      </c>
      <c r="C328" s="26" t="s">
        <v>589</v>
      </c>
      <c r="D328" s="27"/>
      <c r="E328" s="28" t="s">
        <v>1306</v>
      </c>
      <c r="F328" s="30" t="s">
        <v>1307</v>
      </c>
      <c r="G328" s="13"/>
      <c r="H328" s="10"/>
      <c r="I328" s="29"/>
      <c r="J328" s="7"/>
      <c r="K328" s="7"/>
      <c r="L328" s="7"/>
      <c r="M328" s="7"/>
      <c r="N328" s="7">
        <f t="shared" si="2"/>
        <v>1</v>
      </c>
      <c r="O328" s="7"/>
    </row>
    <row r="329">
      <c r="A329" s="31" t="s">
        <v>1308</v>
      </c>
      <c r="B329" s="26" t="s">
        <v>1309</v>
      </c>
      <c r="C329" s="26" t="s">
        <v>589</v>
      </c>
      <c r="D329" s="27"/>
      <c r="E329" s="28" t="s">
        <v>1310</v>
      </c>
      <c r="F329" s="29"/>
      <c r="G329" s="13"/>
      <c r="H329" s="10"/>
      <c r="I329" s="29"/>
      <c r="J329" s="7"/>
      <c r="K329" s="7"/>
      <c r="L329" s="7"/>
      <c r="M329" s="7"/>
      <c r="N329" s="7">
        <f t="shared" si="2"/>
        <v>0</v>
      </c>
      <c r="O329" s="7"/>
    </row>
    <row r="330">
      <c r="A330" s="31" t="s">
        <v>1311</v>
      </c>
      <c r="B330" s="26" t="s">
        <v>1312</v>
      </c>
      <c r="C330" s="26" t="s">
        <v>589</v>
      </c>
      <c r="D330" s="31" t="s">
        <v>598</v>
      </c>
      <c r="E330" s="28" t="s">
        <v>1313</v>
      </c>
      <c r="F330" s="30" t="s">
        <v>1314</v>
      </c>
      <c r="G330" s="13"/>
      <c r="H330" s="10"/>
      <c r="I330" s="29"/>
      <c r="J330" s="7"/>
      <c r="K330" s="7"/>
      <c r="L330" s="7"/>
      <c r="M330" s="7"/>
      <c r="N330" s="7">
        <f t="shared" si="2"/>
        <v>1</v>
      </c>
      <c r="O330" s="7"/>
    </row>
    <row r="331">
      <c r="A331" s="26" t="s">
        <v>1315</v>
      </c>
      <c r="B331" s="26" t="s">
        <v>1316</v>
      </c>
      <c r="C331" s="26" t="s">
        <v>589</v>
      </c>
      <c r="D331" s="26" t="s">
        <v>598</v>
      </c>
      <c r="E331" s="28" t="s">
        <v>1317</v>
      </c>
      <c r="F331" s="29"/>
      <c r="G331" s="13"/>
      <c r="H331" s="10"/>
      <c r="I331" s="29"/>
      <c r="J331" s="7"/>
      <c r="K331" s="7"/>
      <c r="L331" s="7"/>
      <c r="M331" s="7"/>
      <c r="N331" s="7">
        <f t="shared" si="2"/>
        <v>0</v>
      </c>
      <c r="O331" s="7"/>
    </row>
    <row r="332">
      <c r="A332" s="26" t="s">
        <v>1319</v>
      </c>
      <c r="B332" s="26" t="s">
        <v>1320</v>
      </c>
      <c r="C332" s="26" t="s">
        <v>589</v>
      </c>
      <c r="D332" s="27"/>
      <c r="E332" s="34" t="s">
        <v>1321</v>
      </c>
      <c r="F332" s="30" t="s">
        <v>1322</v>
      </c>
      <c r="G332" s="13"/>
      <c r="H332" s="10"/>
      <c r="I332" s="29"/>
      <c r="J332" s="7"/>
      <c r="K332" s="7"/>
      <c r="L332" s="7"/>
      <c r="M332" s="7"/>
      <c r="N332" s="7">
        <f t="shared" si="2"/>
        <v>1</v>
      </c>
      <c r="O332" s="7"/>
    </row>
    <row r="333">
      <c r="A333" s="26" t="s">
        <v>1323</v>
      </c>
      <c r="B333" s="26" t="s">
        <v>1324</v>
      </c>
      <c r="C333" s="26" t="s">
        <v>589</v>
      </c>
      <c r="D333" s="26" t="s">
        <v>598</v>
      </c>
      <c r="E333" s="28" t="s">
        <v>1325</v>
      </c>
      <c r="F333" s="29"/>
      <c r="G333" s="13"/>
      <c r="H333" s="10"/>
      <c r="I333" s="29"/>
      <c r="J333" s="7"/>
      <c r="K333" s="7"/>
      <c r="L333" s="7"/>
      <c r="M333" s="7"/>
      <c r="N333" s="7">
        <f t="shared" si="2"/>
        <v>0</v>
      </c>
      <c r="O333" s="7"/>
    </row>
    <row r="334">
      <c r="A334" s="26" t="s">
        <v>1326</v>
      </c>
      <c r="B334" s="26" t="s">
        <v>1327</v>
      </c>
      <c r="C334" s="26" t="s">
        <v>589</v>
      </c>
      <c r="D334" s="27"/>
      <c r="E334" s="28" t="s">
        <v>1328</v>
      </c>
      <c r="F334" s="30" t="s">
        <v>1329</v>
      </c>
      <c r="G334" s="13"/>
      <c r="H334" s="10"/>
      <c r="I334" s="29"/>
      <c r="J334" s="7"/>
      <c r="K334" s="7"/>
      <c r="L334" s="7"/>
      <c r="M334" s="7"/>
      <c r="N334" s="7">
        <f t="shared" si="2"/>
        <v>1</v>
      </c>
      <c r="O334" s="7"/>
    </row>
    <row r="335">
      <c r="A335" s="26" t="s">
        <v>1330</v>
      </c>
      <c r="B335" s="26" t="s">
        <v>1331</v>
      </c>
      <c r="C335" s="26" t="s">
        <v>589</v>
      </c>
      <c r="D335" s="27"/>
      <c r="E335" s="32" t="s">
        <v>1332</v>
      </c>
      <c r="F335" s="30" t="s">
        <v>1333</v>
      </c>
      <c r="G335" s="13"/>
      <c r="H335" s="10"/>
      <c r="I335" s="30" t="s">
        <v>260</v>
      </c>
      <c r="J335" s="7"/>
      <c r="K335" s="7"/>
      <c r="L335" s="7"/>
      <c r="M335" s="7"/>
      <c r="N335" s="7">
        <f t="shared" si="2"/>
        <v>1</v>
      </c>
      <c r="O335" s="7"/>
    </row>
    <row r="336">
      <c r="A336" s="31" t="s">
        <v>1334</v>
      </c>
      <c r="B336" s="31" t="s">
        <v>568</v>
      </c>
      <c r="C336" s="31" t="s">
        <v>589</v>
      </c>
      <c r="D336" s="27"/>
      <c r="E336" s="32"/>
      <c r="F336" s="30" t="s">
        <v>1336</v>
      </c>
      <c r="G336" s="13"/>
      <c r="H336" s="10"/>
      <c r="I336" s="30"/>
      <c r="J336" s="7"/>
      <c r="K336" s="7"/>
      <c r="L336" s="7"/>
      <c r="M336" s="7"/>
      <c r="N336" s="7"/>
      <c r="O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f>SUM(N141:N335)</f>
        <v>115</v>
      </c>
      <c r="P338" s="7"/>
      <c r="Q338" s="7"/>
      <c r="R338" s="7"/>
      <c r="S338" s="7"/>
      <c r="T338" s="7"/>
      <c r="U338" s="7"/>
      <c r="V338" s="7"/>
      <c r="W338" s="7"/>
      <c r="X338" s="7"/>
      <c r="Y338" s="7"/>
      <c r="Z338" s="7"/>
    </row>
    <row r="339">
      <c r="A339" s="25" t="s">
        <v>1338</v>
      </c>
      <c r="B339" s="25" t="s">
        <v>577</v>
      </c>
      <c r="C339" s="25" t="s">
        <v>578</v>
      </c>
      <c r="D339" s="25" t="s">
        <v>1339</v>
      </c>
      <c r="E339" s="36" t="s">
        <v>1340</v>
      </c>
      <c r="F339" s="25" t="s">
        <v>1341</v>
      </c>
      <c r="G339" s="25" t="s">
        <v>581</v>
      </c>
      <c r="H339" s="25"/>
      <c r="I339" s="36" t="s">
        <v>4</v>
      </c>
      <c r="J339" s="7"/>
      <c r="K339" s="7"/>
      <c r="L339" s="7"/>
      <c r="M339" s="7"/>
      <c r="N339" s="7"/>
      <c r="O339" s="7"/>
    </row>
    <row r="340">
      <c r="A340" s="26" t="s">
        <v>1342</v>
      </c>
      <c r="B340" s="26" t="s">
        <v>1343</v>
      </c>
      <c r="C340" s="26" t="s">
        <v>584</v>
      </c>
      <c r="D340" s="33" t="s">
        <v>1724</v>
      </c>
      <c r="E340" s="37" t="s">
        <v>584</v>
      </c>
      <c r="F340" s="37">
        <v>1.0</v>
      </c>
      <c r="G340" s="30" t="s">
        <v>1345</v>
      </c>
      <c r="H340" s="10"/>
      <c r="I340" s="17" t="s">
        <v>445</v>
      </c>
      <c r="J340" s="7"/>
      <c r="K340" s="7"/>
      <c r="L340" s="7"/>
      <c r="M340" s="7"/>
      <c r="N340" s="7">
        <f t="shared" ref="N340:N356" si="3"> IF(ISBLANK(G340), 0, 1)</f>
        <v>1</v>
      </c>
      <c r="O340" s="7"/>
    </row>
    <row r="341">
      <c r="A341" s="26" t="s">
        <v>1346</v>
      </c>
      <c r="B341" s="26" t="s">
        <v>1347</v>
      </c>
      <c r="C341" s="26" t="s">
        <v>584</v>
      </c>
      <c r="D341" s="33" t="s">
        <v>1725</v>
      </c>
      <c r="E341" s="37" t="s">
        <v>584</v>
      </c>
      <c r="F341" s="37">
        <v>1.0</v>
      </c>
      <c r="G341" s="30" t="s">
        <v>1350</v>
      </c>
      <c r="H341" s="10"/>
      <c r="I341" s="37"/>
      <c r="J341" s="7"/>
      <c r="K341" s="7"/>
      <c r="L341" s="7"/>
      <c r="M341" s="7"/>
      <c r="N341" s="7">
        <f t="shared" si="3"/>
        <v>1</v>
      </c>
      <c r="O341" s="7"/>
    </row>
    <row r="342">
      <c r="A342" s="26" t="s">
        <v>1351</v>
      </c>
      <c r="B342" s="26" t="s">
        <v>1352</v>
      </c>
      <c r="C342" s="26" t="s">
        <v>584</v>
      </c>
      <c r="D342" s="33" t="s">
        <v>1726</v>
      </c>
      <c r="E342" s="37" t="s">
        <v>584</v>
      </c>
      <c r="F342" s="37">
        <v>1.0</v>
      </c>
      <c r="G342" s="30" t="s">
        <v>1354</v>
      </c>
      <c r="H342" s="10"/>
      <c r="I342" s="37"/>
      <c r="J342" s="7"/>
      <c r="K342" s="7"/>
      <c r="L342" s="7"/>
      <c r="M342" s="7"/>
      <c r="N342" s="7">
        <f t="shared" si="3"/>
        <v>1</v>
      </c>
      <c r="O342" s="7"/>
    </row>
    <row r="343">
      <c r="A343" s="26" t="s">
        <v>1355</v>
      </c>
      <c r="B343" s="26" t="s">
        <v>1356</v>
      </c>
      <c r="C343" s="26" t="s">
        <v>584</v>
      </c>
      <c r="D343" s="28" t="s">
        <v>1357</v>
      </c>
      <c r="E343" s="37" t="s">
        <v>584</v>
      </c>
      <c r="F343" s="37">
        <v>1.0</v>
      </c>
      <c r="G343" s="30" t="s">
        <v>1359</v>
      </c>
      <c r="H343" s="10"/>
      <c r="I343" s="37"/>
      <c r="J343" s="7"/>
      <c r="K343" s="7"/>
      <c r="L343" s="7"/>
      <c r="M343" s="7"/>
      <c r="N343" s="7">
        <f t="shared" si="3"/>
        <v>1</v>
      </c>
      <c r="O343" s="7"/>
    </row>
    <row r="344">
      <c r="A344" s="26" t="s">
        <v>1360</v>
      </c>
      <c r="B344" s="26" t="s">
        <v>1361</v>
      </c>
      <c r="C344" s="26" t="s">
        <v>584</v>
      </c>
      <c r="D344" s="33" t="s">
        <v>1728</v>
      </c>
      <c r="E344" s="37" t="s">
        <v>589</v>
      </c>
      <c r="F344" s="37">
        <v>2.0</v>
      </c>
      <c r="G344" s="30" t="s">
        <v>1363</v>
      </c>
      <c r="H344" s="10"/>
      <c r="I344" s="37" t="s">
        <v>344</v>
      </c>
      <c r="J344" s="7"/>
      <c r="K344" s="7"/>
      <c r="L344" s="7"/>
      <c r="M344" s="7"/>
      <c r="N344" s="7">
        <f t="shared" si="3"/>
        <v>1</v>
      </c>
      <c r="O344" s="7"/>
    </row>
    <row r="345">
      <c r="A345" s="26" t="s">
        <v>1364</v>
      </c>
      <c r="B345" s="26" t="s">
        <v>1365</v>
      </c>
      <c r="C345" s="26" t="s">
        <v>589</v>
      </c>
      <c r="D345" s="28" t="s">
        <v>1366</v>
      </c>
      <c r="E345" s="37" t="s">
        <v>589</v>
      </c>
      <c r="F345" s="37">
        <v>3.0</v>
      </c>
      <c r="G345" s="30" t="s">
        <v>1367</v>
      </c>
      <c r="H345" s="10"/>
      <c r="I345" s="37" t="s">
        <v>403</v>
      </c>
      <c r="J345" s="7"/>
      <c r="K345" s="7"/>
      <c r="L345" s="7"/>
      <c r="M345" s="7"/>
      <c r="N345" s="7">
        <f t="shared" si="3"/>
        <v>1</v>
      </c>
      <c r="O345" s="7"/>
    </row>
    <row r="346">
      <c r="A346" s="31" t="s">
        <v>1368</v>
      </c>
      <c r="B346" s="31" t="s">
        <v>1369</v>
      </c>
      <c r="C346" s="31" t="s">
        <v>589</v>
      </c>
      <c r="D346" s="31" t="s">
        <v>595</v>
      </c>
      <c r="E346" s="37" t="s">
        <v>589</v>
      </c>
      <c r="F346" s="37">
        <v>3.0</v>
      </c>
      <c r="G346" s="30" t="s">
        <v>1370</v>
      </c>
      <c r="H346" s="10"/>
      <c r="I346" s="37" t="s">
        <v>247</v>
      </c>
      <c r="J346" s="7"/>
      <c r="K346" s="7"/>
      <c r="L346" s="7"/>
      <c r="M346" s="7"/>
      <c r="N346" s="7">
        <f t="shared" si="3"/>
        <v>1</v>
      </c>
      <c r="O346" s="7"/>
    </row>
    <row r="347">
      <c r="A347" s="26" t="s">
        <v>1371</v>
      </c>
      <c r="B347" s="26" t="s">
        <v>1372</v>
      </c>
      <c r="C347" s="26" t="s">
        <v>589</v>
      </c>
      <c r="D347" s="28" t="s">
        <v>1373</v>
      </c>
      <c r="E347" s="37" t="s">
        <v>589</v>
      </c>
      <c r="F347" s="37">
        <v>2.0</v>
      </c>
      <c r="G347" s="30" t="s">
        <v>1374</v>
      </c>
      <c r="H347" s="10"/>
      <c r="I347" s="37" t="s">
        <v>461</v>
      </c>
      <c r="J347" s="7"/>
      <c r="K347" s="7"/>
      <c r="L347" s="7"/>
      <c r="M347" s="7"/>
      <c r="N347" s="7">
        <f t="shared" si="3"/>
        <v>1</v>
      </c>
      <c r="O347" s="7"/>
    </row>
    <row r="348">
      <c r="A348" s="26" t="s">
        <v>1375</v>
      </c>
      <c r="B348" s="26" t="s">
        <v>1376</v>
      </c>
      <c r="C348" s="26" t="s">
        <v>584</v>
      </c>
      <c r="D348" s="33" t="s">
        <v>1731</v>
      </c>
      <c r="E348" s="37" t="s">
        <v>589</v>
      </c>
      <c r="F348" s="37">
        <v>3.0</v>
      </c>
      <c r="G348" s="30" t="s">
        <v>1379</v>
      </c>
      <c r="H348" s="10"/>
      <c r="I348" s="37" t="s">
        <v>520</v>
      </c>
      <c r="J348" s="7"/>
      <c r="K348" s="7"/>
      <c r="L348" s="7"/>
      <c r="M348" s="7"/>
      <c r="N348" s="7">
        <f t="shared" si="3"/>
        <v>1</v>
      </c>
      <c r="O348" s="7"/>
    </row>
    <row r="349">
      <c r="A349" s="26" t="s">
        <v>1380</v>
      </c>
      <c r="B349" s="26" t="s">
        <v>1381</v>
      </c>
      <c r="C349" s="26" t="s">
        <v>584</v>
      </c>
      <c r="D349" s="28" t="s">
        <v>1382</v>
      </c>
      <c r="E349" s="37" t="s">
        <v>589</v>
      </c>
      <c r="F349" s="37">
        <v>3.0</v>
      </c>
      <c r="G349" s="30" t="s">
        <v>1383</v>
      </c>
      <c r="H349" s="10"/>
      <c r="I349" s="37" t="s">
        <v>290</v>
      </c>
      <c r="J349" s="7"/>
      <c r="K349" s="7"/>
      <c r="L349" s="7"/>
      <c r="M349" s="7"/>
      <c r="N349" s="7">
        <f t="shared" si="3"/>
        <v>1</v>
      </c>
      <c r="O349" s="7"/>
    </row>
    <row r="350">
      <c r="A350" s="26" t="s">
        <v>1384</v>
      </c>
      <c r="B350" s="26" t="s">
        <v>1385</v>
      </c>
      <c r="C350" s="26" t="s">
        <v>584</v>
      </c>
      <c r="D350" s="28" t="s">
        <v>1386</v>
      </c>
      <c r="E350" s="37" t="s">
        <v>589</v>
      </c>
      <c r="F350" s="37">
        <v>2.0</v>
      </c>
      <c r="G350" s="30" t="s">
        <v>1387</v>
      </c>
      <c r="H350" s="10"/>
      <c r="I350" s="37"/>
      <c r="J350" s="7"/>
      <c r="K350" s="7"/>
      <c r="L350" s="7"/>
      <c r="M350" s="7"/>
      <c r="N350" s="7">
        <f t="shared" si="3"/>
        <v>1</v>
      </c>
      <c r="O350" s="7"/>
    </row>
    <row r="351">
      <c r="A351" s="26" t="s">
        <v>1388</v>
      </c>
      <c r="B351" s="26" t="s">
        <v>1389</v>
      </c>
      <c r="C351" s="26" t="s">
        <v>584</v>
      </c>
      <c r="D351" s="33" t="s">
        <v>1734</v>
      </c>
      <c r="E351" s="37" t="s">
        <v>589</v>
      </c>
      <c r="F351" s="37">
        <v>2.0</v>
      </c>
      <c r="G351" s="30" t="s">
        <v>1391</v>
      </c>
      <c r="H351" s="10"/>
      <c r="I351" s="37" t="s">
        <v>374</v>
      </c>
      <c r="J351" s="7"/>
      <c r="K351" s="7"/>
      <c r="L351" s="7"/>
      <c r="M351" s="7"/>
      <c r="N351" s="7">
        <f t="shared" si="3"/>
        <v>1</v>
      </c>
      <c r="O351" s="7"/>
    </row>
    <row r="352">
      <c r="A352" s="26" t="s">
        <v>1392</v>
      </c>
      <c r="B352" s="26" t="s">
        <v>1393</v>
      </c>
      <c r="C352" s="26" t="s">
        <v>584</v>
      </c>
      <c r="D352" s="33" t="s">
        <v>1735</v>
      </c>
      <c r="E352" s="37" t="s">
        <v>589</v>
      </c>
      <c r="F352" s="37">
        <v>2.0</v>
      </c>
      <c r="G352" s="30" t="s">
        <v>1395</v>
      </c>
      <c r="H352" s="10"/>
      <c r="I352" s="37"/>
      <c r="J352" s="7"/>
      <c r="K352" s="7"/>
      <c r="L352" s="7"/>
      <c r="M352" s="7"/>
      <c r="N352" s="7">
        <f t="shared" si="3"/>
        <v>1</v>
      </c>
      <c r="O352" s="7"/>
    </row>
    <row r="353">
      <c r="A353" s="26" t="s">
        <v>1396</v>
      </c>
      <c r="B353" s="26" t="s">
        <v>1397</v>
      </c>
      <c r="C353" s="26" t="s">
        <v>589</v>
      </c>
      <c r="D353" s="28" t="s">
        <v>1088</v>
      </c>
      <c r="E353" s="37" t="s">
        <v>589</v>
      </c>
      <c r="F353" s="37">
        <v>3.0</v>
      </c>
      <c r="G353" s="30" t="s">
        <v>1398</v>
      </c>
      <c r="H353" s="10"/>
      <c r="I353" s="37"/>
      <c r="J353" s="7"/>
      <c r="K353" s="7"/>
      <c r="L353" s="7"/>
      <c r="M353" s="7"/>
      <c r="N353" s="7">
        <f t="shared" si="3"/>
        <v>1</v>
      </c>
      <c r="O353" s="7"/>
    </row>
    <row r="354">
      <c r="A354" s="26" t="s">
        <v>1399</v>
      </c>
      <c r="B354" s="26" t="s">
        <v>1397</v>
      </c>
      <c r="C354" s="26" t="s">
        <v>589</v>
      </c>
      <c r="D354" s="28" t="s">
        <v>1088</v>
      </c>
      <c r="E354" s="37" t="s">
        <v>589</v>
      </c>
      <c r="F354" s="37">
        <v>3.0</v>
      </c>
      <c r="G354" s="30" t="s">
        <v>1400</v>
      </c>
      <c r="H354" s="10"/>
      <c r="I354" s="37" t="s">
        <v>391</v>
      </c>
      <c r="J354" s="7"/>
      <c r="K354" s="7"/>
      <c r="L354" s="7"/>
      <c r="M354" s="7"/>
      <c r="N354" s="7">
        <f t="shared" si="3"/>
        <v>1</v>
      </c>
      <c r="O354" s="7"/>
    </row>
    <row r="355">
      <c r="A355" s="37" t="s">
        <v>1401</v>
      </c>
      <c r="B355" s="37" t="s">
        <v>1402</v>
      </c>
      <c r="C355" s="37" t="s">
        <v>584</v>
      </c>
      <c r="D355" s="37" t="s">
        <v>595</v>
      </c>
      <c r="E355" s="37" t="s">
        <v>589</v>
      </c>
      <c r="F355" s="37">
        <v>4.0</v>
      </c>
      <c r="G355" s="30" t="s">
        <v>1403</v>
      </c>
      <c r="H355" s="10"/>
      <c r="I355" s="37" t="s">
        <v>1404</v>
      </c>
      <c r="J355" s="7"/>
      <c r="K355" s="7"/>
      <c r="L355" s="7"/>
      <c r="M355" s="7"/>
      <c r="N355" s="7">
        <f t="shared" si="3"/>
        <v>1</v>
      </c>
      <c r="O355" s="7"/>
    </row>
    <row r="356">
      <c r="A356" s="37" t="s">
        <v>1405</v>
      </c>
      <c r="B356" s="37" t="s">
        <v>1406</v>
      </c>
      <c r="C356" s="37" t="s">
        <v>589</v>
      </c>
      <c r="D356" s="37" t="s">
        <v>1407</v>
      </c>
      <c r="E356" s="37" t="s">
        <v>589</v>
      </c>
      <c r="F356" s="37">
        <v>3.0</v>
      </c>
      <c r="G356" s="30" t="s">
        <v>1408</v>
      </c>
      <c r="H356" s="10"/>
      <c r="I356" s="37" t="s">
        <v>280</v>
      </c>
      <c r="J356" s="7"/>
      <c r="K356" s="7"/>
      <c r="L356" s="7"/>
      <c r="M356" s="7"/>
      <c r="N356" s="7">
        <f t="shared" si="3"/>
        <v>1</v>
      </c>
      <c r="O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22"/>
      <c r="B358" s="7"/>
      <c r="C358" s="7"/>
      <c r="D358" s="7"/>
      <c r="E358" s="7"/>
      <c r="F358" s="7"/>
      <c r="G358" s="7"/>
      <c r="H358" s="7"/>
      <c r="I358" s="7"/>
      <c r="J358" s="7"/>
      <c r="K358" s="7"/>
      <c r="L358" s="7"/>
      <c r="M358" s="7"/>
      <c r="N358" s="7"/>
      <c r="O358" s="7">
        <f>SUM(N340:N357)</f>
        <v>17</v>
      </c>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f>SUM(O358,O338,O139)</f>
        <v>233</v>
      </c>
      <c r="O361" s="7"/>
      <c r="P361" s="7"/>
      <c r="Q361" s="7"/>
      <c r="R361" s="7"/>
      <c r="S361" s="7"/>
      <c r="T361" s="7"/>
      <c r="U361" s="7"/>
      <c r="V361" s="7"/>
      <c r="W361" s="7"/>
      <c r="X361" s="7"/>
      <c r="Y361" s="7"/>
      <c r="Z361" s="7"/>
    </row>
    <row r="362">
      <c r="A362" s="39" t="s">
        <v>1440</v>
      </c>
      <c r="B362" s="40"/>
      <c r="C362" s="41" t="s">
        <v>1441</v>
      </c>
      <c r="D362" s="42"/>
      <c r="E362" s="43" t="s">
        <v>1442</v>
      </c>
      <c r="F362" s="43" t="s">
        <v>1443</v>
      </c>
      <c r="G362" s="44" t="s">
        <v>1444</v>
      </c>
      <c r="H362" s="45"/>
      <c r="I362" s="46"/>
      <c r="J362" s="47" t="s">
        <v>1445</v>
      </c>
      <c r="K362" s="7"/>
      <c r="L362" s="7"/>
      <c r="M362" s="7"/>
      <c r="N362" s="7">
        <f>COUNT(N2:N356)</f>
        <v>343</v>
      </c>
      <c r="O362" s="22"/>
    </row>
    <row r="363">
      <c r="A363" s="48" t="s">
        <v>1446</v>
      </c>
      <c r="B363" s="10"/>
      <c r="C363" s="49" t="s">
        <v>1447</v>
      </c>
      <c r="D363" s="50"/>
      <c r="E363" s="51" t="s">
        <v>1448</v>
      </c>
      <c r="F363" s="51">
        <v>0.3</v>
      </c>
      <c r="G363" s="52" t="s">
        <v>1449</v>
      </c>
      <c r="H363" s="13"/>
      <c r="I363" s="10"/>
      <c r="J363" s="6" t="s">
        <v>1450</v>
      </c>
      <c r="K363" s="7"/>
      <c r="L363" s="7"/>
      <c r="M363" s="7"/>
      <c r="N363" s="7">
        <f>N361/N362</f>
        <v>0.6793002915</v>
      </c>
      <c r="O363" s="7"/>
    </row>
    <row r="364">
      <c r="A364" s="53" t="s">
        <v>1452</v>
      </c>
      <c r="B364" s="54"/>
      <c r="C364" s="55" t="s">
        <v>1447</v>
      </c>
      <c r="D364" s="50"/>
      <c r="E364" s="56" t="s">
        <v>1448</v>
      </c>
      <c r="F364" s="56">
        <v>2.0</v>
      </c>
      <c r="G364" s="57"/>
      <c r="H364" s="58"/>
      <c r="I364" s="54"/>
      <c r="J364" s="6" t="s">
        <v>589</v>
      </c>
      <c r="K364" s="7"/>
      <c r="L364" s="7"/>
      <c r="M364" s="7"/>
      <c r="N364" s="7"/>
      <c r="O364" s="7"/>
    </row>
    <row r="365">
      <c r="A365" s="48" t="s">
        <v>1453</v>
      </c>
      <c r="B365" s="10"/>
      <c r="C365" s="49" t="s">
        <v>1454</v>
      </c>
      <c r="D365" s="50"/>
      <c r="E365" s="51" t="s">
        <v>1448</v>
      </c>
      <c r="F365" s="51">
        <v>10.0</v>
      </c>
      <c r="G365" s="52"/>
      <c r="H365" s="13"/>
      <c r="I365" s="10"/>
      <c r="J365" s="6" t="s">
        <v>584</v>
      </c>
      <c r="K365" s="7"/>
      <c r="L365" s="7"/>
      <c r="M365" s="7"/>
      <c r="N365" s="7"/>
      <c r="O365" s="7"/>
    </row>
    <row r="366">
      <c r="A366" s="48" t="s">
        <v>1455</v>
      </c>
      <c r="B366" s="10"/>
      <c r="C366" s="49" t="s">
        <v>1456</v>
      </c>
      <c r="D366" s="50"/>
      <c r="E366" s="51" t="s">
        <v>1448</v>
      </c>
      <c r="F366" s="51">
        <v>20.0</v>
      </c>
      <c r="G366" s="52"/>
      <c r="H366" s="13"/>
      <c r="I366" s="10"/>
      <c r="J366" s="6" t="s">
        <v>584</v>
      </c>
      <c r="K366" s="7"/>
      <c r="L366" s="7"/>
      <c r="M366" s="7"/>
      <c r="N366" s="7"/>
      <c r="O366" s="7"/>
    </row>
    <row r="367">
      <c r="A367" s="48" t="s">
        <v>1457</v>
      </c>
      <c r="B367" s="10"/>
      <c r="C367" s="49" t="s">
        <v>1456</v>
      </c>
      <c r="D367" s="50"/>
      <c r="E367" s="51" t="s">
        <v>1448</v>
      </c>
      <c r="F367" s="51">
        <v>30.0</v>
      </c>
      <c r="G367" s="52"/>
      <c r="H367" s="13"/>
      <c r="I367" s="10"/>
      <c r="J367" s="6" t="s">
        <v>584</v>
      </c>
      <c r="K367" s="7"/>
      <c r="L367" s="7"/>
      <c r="M367" s="7"/>
      <c r="N367" s="7"/>
      <c r="O367" s="7"/>
    </row>
    <row r="368">
      <c r="A368" s="48" t="s">
        <v>1458</v>
      </c>
      <c r="B368" s="10"/>
      <c r="C368" s="49" t="s">
        <v>1447</v>
      </c>
      <c r="D368" s="50"/>
      <c r="E368" s="51" t="s">
        <v>1448</v>
      </c>
      <c r="F368" s="51">
        <v>1.0</v>
      </c>
      <c r="G368" s="52"/>
      <c r="H368" s="13"/>
      <c r="I368" s="10"/>
      <c r="J368" s="6" t="s">
        <v>589</v>
      </c>
      <c r="K368" s="7"/>
      <c r="L368" s="7"/>
      <c r="M368" s="7"/>
      <c r="N368" s="7"/>
      <c r="O368" s="7"/>
    </row>
    <row r="369">
      <c r="A369" s="48" t="s">
        <v>1459</v>
      </c>
      <c r="B369" s="10"/>
      <c r="C369" s="49" t="s">
        <v>1447</v>
      </c>
      <c r="D369" s="50"/>
      <c r="E369" s="51" t="s">
        <v>1448</v>
      </c>
      <c r="F369" s="51">
        <v>4.0</v>
      </c>
      <c r="G369" s="52"/>
      <c r="H369" s="13"/>
      <c r="I369" s="10"/>
      <c r="J369" s="6" t="s">
        <v>589</v>
      </c>
      <c r="K369" s="7"/>
      <c r="L369" s="7"/>
      <c r="M369" s="7"/>
      <c r="N369" s="7"/>
      <c r="O369" s="7"/>
    </row>
    <row r="370">
      <c r="A370" s="48" t="s">
        <v>1460</v>
      </c>
      <c r="B370" s="10"/>
      <c r="C370" s="49" t="s">
        <v>1463</v>
      </c>
      <c r="D370" s="50"/>
      <c r="E370" s="51" t="s">
        <v>1448</v>
      </c>
      <c r="F370" s="51">
        <v>50.0</v>
      </c>
      <c r="G370" s="52"/>
      <c r="H370" s="13"/>
      <c r="I370" s="10"/>
      <c r="J370" s="6" t="s">
        <v>584</v>
      </c>
      <c r="K370" s="7"/>
      <c r="L370" s="7"/>
      <c r="M370" s="7"/>
      <c r="N370" s="7"/>
      <c r="O370" s="7"/>
    </row>
    <row r="371">
      <c r="A371" s="48" t="s">
        <v>1464</v>
      </c>
      <c r="B371" s="10"/>
      <c r="C371" s="49" t="s">
        <v>1447</v>
      </c>
      <c r="D371" s="50"/>
      <c r="E371" s="51" t="s">
        <v>1448</v>
      </c>
      <c r="F371" s="51">
        <v>2.0</v>
      </c>
      <c r="G371" s="52"/>
      <c r="H371" s="13"/>
      <c r="I371" s="10"/>
      <c r="J371" s="6" t="s">
        <v>589</v>
      </c>
      <c r="K371" s="7"/>
      <c r="L371" s="7"/>
      <c r="M371" s="7"/>
      <c r="N371" s="7"/>
      <c r="O371" s="7"/>
    </row>
    <row r="372">
      <c r="A372" s="48" t="s">
        <v>1180</v>
      </c>
      <c r="B372" s="10"/>
      <c r="C372" s="49"/>
      <c r="D372" s="50"/>
      <c r="E372" s="51" t="s">
        <v>1448</v>
      </c>
      <c r="F372" s="51">
        <v>50.0</v>
      </c>
      <c r="G372" s="52" t="s">
        <v>1465</v>
      </c>
      <c r="H372" s="13"/>
      <c r="I372" s="10"/>
      <c r="J372" s="6" t="s">
        <v>584</v>
      </c>
      <c r="K372" s="7"/>
      <c r="L372" s="7"/>
      <c r="M372" s="7"/>
      <c r="N372" s="7"/>
      <c r="O372" s="7"/>
    </row>
    <row r="373">
      <c r="A373" s="48" t="s">
        <v>1466</v>
      </c>
      <c r="B373" s="10"/>
      <c r="C373" s="49" t="s">
        <v>1463</v>
      </c>
      <c r="D373" s="50"/>
      <c r="E373" s="51" t="s">
        <v>1448</v>
      </c>
      <c r="F373" s="51">
        <v>30.0</v>
      </c>
      <c r="G373" s="52"/>
      <c r="H373" s="13"/>
      <c r="I373" s="10"/>
      <c r="J373" s="6" t="s">
        <v>584</v>
      </c>
      <c r="K373" s="7"/>
      <c r="L373" s="7"/>
      <c r="M373" s="7"/>
      <c r="N373" s="7"/>
      <c r="O373" s="7"/>
    </row>
    <row r="374">
      <c r="A374" s="48" t="s">
        <v>1467</v>
      </c>
      <c r="B374" s="10"/>
      <c r="C374" s="49" t="s">
        <v>1447</v>
      </c>
      <c r="D374" s="50"/>
      <c r="E374" s="51" t="s">
        <v>1448</v>
      </c>
      <c r="F374" s="51">
        <v>3.0</v>
      </c>
      <c r="G374" s="52"/>
      <c r="H374" s="13"/>
      <c r="I374" s="10"/>
      <c r="J374" s="6" t="s">
        <v>584</v>
      </c>
      <c r="K374" s="7"/>
      <c r="L374" s="7"/>
      <c r="M374" s="7"/>
      <c r="N374" s="7"/>
      <c r="O374" s="7"/>
    </row>
    <row r="375">
      <c r="A375" s="48" t="s">
        <v>1468</v>
      </c>
      <c r="B375" s="10"/>
      <c r="C375" s="59"/>
      <c r="D375" s="50"/>
      <c r="E375" s="51" t="s">
        <v>1469</v>
      </c>
      <c r="F375" s="51" t="s">
        <v>1470</v>
      </c>
      <c r="G375" s="52" t="s">
        <v>1471</v>
      </c>
      <c r="H375" s="13"/>
      <c r="I375" s="10"/>
      <c r="J375" s="6" t="s">
        <v>589</v>
      </c>
      <c r="K375" s="7"/>
      <c r="L375" s="7"/>
      <c r="M375" s="7"/>
      <c r="N375" s="7"/>
      <c r="O375" s="7"/>
    </row>
    <row r="376">
      <c r="A376" s="48" t="s">
        <v>1472</v>
      </c>
      <c r="B376" s="10"/>
      <c r="C376" s="59"/>
      <c r="D376" s="50"/>
      <c r="E376" s="51" t="s">
        <v>1473</v>
      </c>
      <c r="F376" s="51" t="s">
        <v>1474</v>
      </c>
      <c r="G376" s="52" t="s">
        <v>1475</v>
      </c>
      <c r="H376" s="13"/>
      <c r="I376" s="10"/>
      <c r="J376" s="6" t="s">
        <v>1450</v>
      </c>
      <c r="K376" s="7"/>
      <c r="L376" s="7"/>
      <c r="M376" s="7"/>
      <c r="N376" s="7"/>
      <c r="O376" s="7"/>
    </row>
    <row r="377">
      <c r="A377" s="48" t="s">
        <v>1476</v>
      </c>
      <c r="B377" s="10"/>
      <c r="C377" s="59"/>
      <c r="D377" s="50"/>
      <c r="E377" s="51" t="s">
        <v>1477</v>
      </c>
      <c r="F377" s="51" t="s">
        <v>710</v>
      </c>
      <c r="G377" s="52" t="s">
        <v>1478</v>
      </c>
      <c r="H377" s="13"/>
      <c r="I377" s="10"/>
      <c r="J377" s="6" t="s">
        <v>584</v>
      </c>
      <c r="K377" s="7"/>
      <c r="L377" s="7"/>
      <c r="M377" s="7"/>
      <c r="N377" s="7"/>
      <c r="O377" s="7"/>
    </row>
    <row r="378">
      <c r="A378" s="48" t="s">
        <v>1479</v>
      </c>
      <c r="B378" s="10"/>
      <c r="C378" s="49" t="s">
        <v>1480</v>
      </c>
      <c r="D378" s="50"/>
      <c r="E378" s="51" t="s">
        <v>1482</v>
      </c>
      <c r="F378" s="51">
        <v>0.03</v>
      </c>
      <c r="G378" s="52" t="s">
        <v>1483</v>
      </c>
      <c r="H378" s="13"/>
      <c r="I378" s="10"/>
      <c r="J378" s="6" t="s">
        <v>589</v>
      </c>
      <c r="K378" s="7"/>
      <c r="L378" s="7"/>
      <c r="M378" s="7"/>
      <c r="N378" s="7"/>
      <c r="O378" s="7"/>
    </row>
    <row r="379">
      <c r="A379" s="48" t="s">
        <v>1484</v>
      </c>
      <c r="B379" s="10"/>
      <c r="C379" s="49" t="s">
        <v>1485</v>
      </c>
      <c r="D379" s="60"/>
      <c r="E379" s="51" t="s">
        <v>1486</v>
      </c>
      <c r="F379" s="51">
        <v>20.0</v>
      </c>
      <c r="G379" s="52" t="s">
        <v>1487</v>
      </c>
      <c r="H379" s="13"/>
      <c r="I379" s="10"/>
      <c r="J379" s="6" t="s">
        <v>584</v>
      </c>
      <c r="K379" s="7"/>
      <c r="L379" s="7"/>
      <c r="M379" s="7"/>
      <c r="N379" s="7"/>
      <c r="O379" s="7"/>
    </row>
    <row r="380">
      <c r="A380" s="48" t="s">
        <v>1488</v>
      </c>
      <c r="B380" s="10"/>
      <c r="C380" s="49" t="s">
        <v>1447</v>
      </c>
      <c r="D380" s="60"/>
      <c r="E380" s="51" t="s">
        <v>1489</v>
      </c>
      <c r="F380" s="51">
        <v>20.0</v>
      </c>
      <c r="G380" s="52" t="s">
        <v>1490</v>
      </c>
      <c r="H380" s="13"/>
      <c r="I380" s="10"/>
      <c r="J380" s="6" t="s">
        <v>1450</v>
      </c>
      <c r="K380" s="7"/>
      <c r="L380" s="7"/>
      <c r="M380" s="7"/>
      <c r="N380" s="7"/>
      <c r="O380" s="7"/>
    </row>
    <row r="381">
      <c r="A381" s="48" t="s">
        <v>1491</v>
      </c>
      <c r="B381" s="10"/>
      <c r="C381" s="49" t="s">
        <v>1447</v>
      </c>
      <c r="D381" s="60"/>
      <c r="E381" s="51" t="s">
        <v>1492</v>
      </c>
      <c r="F381" s="51">
        <v>30.0</v>
      </c>
      <c r="G381" s="52" t="s">
        <v>1493</v>
      </c>
      <c r="H381" s="13"/>
      <c r="I381" s="10"/>
      <c r="J381" s="6" t="s">
        <v>1450</v>
      </c>
      <c r="K381" s="7"/>
      <c r="L381" s="7"/>
      <c r="M381" s="7"/>
      <c r="N381" s="7"/>
      <c r="O381" s="7"/>
    </row>
    <row r="382">
      <c r="A382" s="48" t="s">
        <v>1494</v>
      </c>
      <c r="B382" s="10"/>
      <c r="C382" s="59"/>
      <c r="D382" s="60"/>
      <c r="E382" s="51" t="s">
        <v>1495</v>
      </c>
      <c r="F382" s="51" t="s">
        <v>1496</v>
      </c>
      <c r="G382" s="52" t="s">
        <v>1497</v>
      </c>
      <c r="H382" s="13"/>
      <c r="I382" s="10"/>
      <c r="J382" s="6" t="s">
        <v>1450</v>
      </c>
      <c r="K382" s="7"/>
      <c r="L382" s="7"/>
      <c r="M382" s="7"/>
      <c r="N382" s="7"/>
      <c r="O382" s="7"/>
    </row>
    <row r="383">
      <c r="A383" s="48" t="s">
        <v>188</v>
      </c>
      <c r="B383" s="10"/>
      <c r="C383" s="49" t="s">
        <v>1463</v>
      </c>
      <c r="D383" s="60"/>
      <c r="E383" s="51" t="s">
        <v>1498</v>
      </c>
      <c r="F383" s="51" t="s">
        <v>1470</v>
      </c>
      <c r="G383" s="52" t="s">
        <v>1499</v>
      </c>
      <c r="H383" s="13"/>
      <c r="I383" s="10"/>
      <c r="J383" s="6" t="s">
        <v>1450</v>
      </c>
      <c r="K383" s="7"/>
      <c r="L383" s="7"/>
      <c r="M383" s="7"/>
      <c r="N383" s="7"/>
      <c r="O383" s="7"/>
    </row>
    <row r="384">
      <c r="A384" s="48" t="s">
        <v>1500</v>
      </c>
      <c r="B384" s="10"/>
      <c r="C384" s="59"/>
      <c r="D384" s="60"/>
      <c r="E384" s="51" t="s">
        <v>1501</v>
      </c>
      <c r="F384" s="51" t="s">
        <v>1470</v>
      </c>
      <c r="G384" s="52" t="s">
        <v>1502</v>
      </c>
      <c r="H384" s="13"/>
      <c r="I384" s="10"/>
      <c r="J384" s="6" t="s">
        <v>589</v>
      </c>
      <c r="K384" s="7"/>
      <c r="L384" s="7"/>
      <c r="M384" s="7"/>
      <c r="N384" s="7"/>
      <c r="O384" s="7"/>
    </row>
    <row r="385">
      <c r="A385" s="48" t="s">
        <v>1144</v>
      </c>
      <c r="B385" s="10"/>
      <c r="C385" s="59"/>
      <c r="D385" s="60"/>
      <c r="E385" s="51" t="s">
        <v>1501</v>
      </c>
      <c r="F385" s="51" t="s">
        <v>1503</v>
      </c>
      <c r="G385" s="61"/>
      <c r="H385" s="58"/>
      <c r="I385" s="54"/>
      <c r="J385" s="6" t="s">
        <v>589</v>
      </c>
      <c r="K385" s="7"/>
      <c r="L385" s="7"/>
      <c r="M385" s="7"/>
      <c r="N385" s="7"/>
      <c r="O385" s="7"/>
    </row>
    <row r="386">
      <c r="A386" s="48" t="s">
        <v>1504</v>
      </c>
      <c r="B386" s="10"/>
      <c r="C386" s="49" t="s">
        <v>1505</v>
      </c>
      <c r="D386" s="60"/>
      <c r="E386" s="51" t="s">
        <v>1506</v>
      </c>
      <c r="F386" s="51">
        <v>1.2</v>
      </c>
      <c r="G386" s="52" t="s">
        <v>1507</v>
      </c>
      <c r="H386" s="13"/>
      <c r="I386" s="10"/>
      <c r="J386" s="6" t="s">
        <v>589</v>
      </c>
      <c r="K386" s="7"/>
      <c r="L386" s="7"/>
      <c r="M386" s="7"/>
      <c r="N386" s="7"/>
      <c r="O386" s="7"/>
    </row>
    <row r="387">
      <c r="A387" s="48" t="s">
        <v>1419</v>
      </c>
      <c r="B387" s="10"/>
      <c r="C387" s="59"/>
      <c r="D387" s="60"/>
      <c r="E387" s="51" t="s">
        <v>1501</v>
      </c>
      <c r="F387" s="51" t="s">
        <v>1496</v>
      </c>
      <c r="G387" s="52" t="s">
        <v>1508</v>
      </c>
      <c r="H387" s="13"/>
      <c r="I387" s="10"/>
      <c r="J387" s="6" t="s">
        <v>584</v>
      </c>
      <c r="K387" s="7"/>
      <c r="L387" s="7"/>
      <c r="M387" s="7"/>
      <c r="N387" s="7"/>
      <c r="O387" s="7"/>
    </row>
    <row r="388">
      <c r="A388" s="48" t="s">
        <v>1509</v>
      </c>
      <c r="B388" s="10"/>
      <c r="C388" s="49"/>
      <c r="D388" s="60"/>
      <c r="E388" s="51" t="s">
        <v>1501</v>
      </c>
      <c r="F388" s="51"/>
      <c r="G388" s="52" t="s">
        <v>1510</v>
      </c>
      <c r="H388" s="13"/>
      <c r="I388" s="10"/>
      <c r="J388" s="6" t="s">
        <v>1450</v>
      </c>
      <c r="K388" s="7"/>
      <c r="L388" s="7"/>
      <c r="M388" s="7"/>
      <c r="N388" s="7"/>
      <c r="O388" s="7"/>
    </row>
    <row r="389">
      <c r="A389" s="48" t="s">
        <v>1511</v>
      </c>
      <c r="B389" s="10"/>
      <c r="C389" s="49" t="s">
        <v>1512</v>
      </c>
      <c r="D389" s="60"/>
      <c r="E389" s="51" t="s">
        <v>1513</v>
      </c>
      <c r="F389" s="51">
        <v>10.0</v>
      </c>
      <c r="G389" s="52" t="s">
        <v>1514</v>
      </c>
      <c r="H389" s="13"/>
      <c r="I389" s="10"/>
      <c r="J389" s="6" t="s">
        <v>584</v>
      </c>
      <c r="K389" s="7"/>
      <c r="L389" s="7"/>
      <c r="M389" s="7"/>
      <c r="N389" s="7"/>
      <c r="O389" s="7"/>
    </row>
    <row r="390">
      <c r="A390" s="48" t="s">
        <v>1515</v>
      </c>
      <c r="B390" s="10"/>
      <c r="C390" s="49" t="s">
        <v>1516</v>
      </c>
      <c r="D390" s="50" t="s">
        <v>1517</v>
      </c>
      <c r="E390" s="51" t="s">
        <v>1482</v>
      </c>
      <c r="F390" s="51" t="s">
        <v>1519</v>
      </c>
      <c r="G390" s="52" t="s">
        <v>1520</v>
      </c>
      <c r="H390" s="13"/>
      <c r="I390" s="10"/>
      <c r="J390" s="6" t="s">
        <v>589</v>
      </c>
      <c r="K390" s="7"/>
      <c r="L390" s="7"/>
      <c r="M390" s="7"/>
      <c r="N390" s="7"/>
      <c r="O390" s="7"/>
    </row>
    <row r="391">
      <c r="A391" s="48" t="s">
        <v>1521</v>
      </c>
      <c r="B391" s="10"/>
      <c r="C391" s="49" t="s">
        <v>1522</v>
      </c>
      <c r="D391" s="62" t="s">
        <v>1523</v>
      </c>
      <c r="E391" s="51" t="s">
        <v>1501</v>
      </c>
      <c r="F391" s="51" t="s">
        <v>1524</v>
      </c>
      <c r="G391" s="52"/>
      <c r="H391" s="13"/>
      <c r="I391" s="10"/>
      <c r="J391" s="6" t="s">
        <v>584</v>
      </c>
      <c r="K391" s="7"/>
      <c r="L391" s="7"/>
      <c r="M391" s="7"/>
      <c r="N391" s="7"/>
      <c r="O391" s="7"/>
    </row>
    <row r="392">
      <c r="A392" s="48" t="s">
        <v>1525</v>
      </c>
      <c r="B392" s="10"/>
      <c r="C392" s="49" t="s">
        <v>1526</v>
      </c>
      <c r="D392" s="60"/>
      <c r="E392" s="51" t="s">
        <v>1527</v>
      </c>
      <c r="F392" s="51" t="s">
        <v>1528</v>
      </c>
      <c r="G392" s="52" t="s">
        <v>1529</v>
      </c>
      <c r="H392" s="13"/>
      <c r="I392" s="10"/>
      <c r="J392" s="6" t="s">
        <v>1450</v>
      </c>
      <c r="K392" s="7"/>
      <c r="L392" s="7"/>
      <c r="M392" s="7"/>
      <c r="N392" s="7"/>
      <c r="O392" s="7"/>
    </row>
    <row r="393">
      <c r="A393" s="48" t="s">
        <v>1530</v>
      </c>
      <c r="B393" s="10"/>
      <c r="C393" s="49" t="s">
        <v>1526</v>
      </c>
      <c r="D393" s="60"/>
      <c r="E393" s="51" t="s">
        <v>1527</v>
      </c>
      <c r="F393" s="51" t="s">
        <v>1531</v>
      </c>
      <c r="G393" s="52" t="s">
        <v>1532</v>
      </c>
      <c r="H393" s="13"/>
      <c r="I393" s="10"/>
      <c r="J393" s="6" t="s">
        <v>1450</v>
      </c>
      <c r="K393" s="7"/>
      <c r="L393" s="7"/>
      <c r="M393" s="7"/>
      <c r="N393" s="7"/>
      <c r="O393" s="7"/>
    </row>
    <row r="394">
      <c r="A394" s="48" t="s">
        <v>1533</v>
      </c>
      <c r="B394" s="10"/>
      <c r="C394" s="49" t="s">
        <v>1534</v>
      </c>
      <c r="D394" s="60"/>
      <c r="E394" s="51" t="s">
        <v>1535</v>
      </c>
      <c r="F394" s="51">
        <v>3.0</v>
      </c>
      <c r="G394" s="52" t="s">
        <v>1536</v>
      </c>
      <c r="H394" s="13"/>
      <c r="I394" s="10"/>
      <c r="J394" s="6" t="s">
        <v>584</v>
      </c>
      <c r="K394" s="7"/>
      <c r="L394" s="7"/>
      <c r="M394" s="7"/>
      <c r="N394" s="7"/>
      <c r="O394" s="7"/>
    </row>
    <row r="395">
      <c r="A395" s="48" t="s">
        <v>1537</v>
      </c>
      <c r="B395" s="10"/>
      <c r="C395" s="49" t="s">
        <v>1538</v>
      </c>
      <c r="D395" s="60"/>
      <c r="E395" s="51" t="s">
        <v>1539</v>
      </c>
      <c r="F395" s="51">
        <v>8.0</v>
      </c>
      <c r="G395" s="52" t="s">
        <v>1540</v>
      </c>
      <c r="H395" s="13"/>
      <c r="I395" s="10"/>
      <c r="J395" s="6" t="s">
        <v>584</v>
      </c>
      <c r="K395" s="7"/>
      <c r="L395" s="7"/>
      <c r="M395" s="7"/>
      <c r="N395" s="7"/>
      <c r="O395" s="7"/>
    </row>
    <row r="396">
      <c r="A396" s="48" t="s">
        <v>1541</v>
      </c>
      <c r="B396" s="10"/>
      <c r="C396" s="49" t="s">
        <v>1542</v>
      </c>
      <c r="D396" s="60"/>
      <c r="E396" s="51" t="s">
        <v>1543</v>
      </c>
      <c r="F396" s="51">
        <v>2.0</v>
      </c>
      <c r="G396" s="52" t="s">
        <v>1544</v>
      </c>
      <c r="H396" s="13"/>
      <c r="I396" s="10"/>
      <c r="J396" s="6" t="s">
        <v>584</v>
      </c>
      <c r="K396" s="7"/>
      <c r="L396" s="7"/>
      <c r="M396" s="7"/>
      <c r="N396" s="7"/>
      <c r="O396" s="7"/>
    </row>
    <row r="397">
      <c r="A397" s="48" t="s">
        <v>1545</v>
      </c>
      <c r="B397" s="10"/>
      <c r="C397" s="49" t="s">
        <v>1546</v>
      </c>
      <c r="D397" s="60"/>
      <c r="E397" s="51" t="s">
        <v>1547</v>
      </c>
      <c r="F397" s="51">
        <v>5.0</v>
      </c>
      <c r="G397" s="52" t="s">
        <v>1548</v>
      </c>
      <c r="H397" s="13"/>
      <c r="I397" s="10"/>
      <c r="J397" s="6" t="s">
        <v>584</v>
      </c>
      <c r="K397" s="7"/>
      <c r="L397" s="7"/>
      <c r="M397" s="7"/>
      <c r="N397" s="7"/>
      <c r="O397" s="7"/>
    </row>
    <row r="398">
      <c r="A398" s="48" t="s">
        <v>1549</v>
      </c>
      <c r="B398" s="10"/>
      <c r="C398" s="49" t="s">
        <v>1550</v>
      </c>
      <c r="D398" s="60"/>
      <c r="E398" s="51" t="s">
        <v>1551</v>
      </c>
      <c r="F398" s="51">
        <v>14.0</v>
      </c>
      <c r="G398" s="52" t="s">
        <v>1552</v>
      </c>
      <c r="H398" s="13"/>
      <c r="I398" s="10"/>
      <c r="J398" s="6" t="s">
        <v>584</v>
      </c>
      <c r="K398" s="7"/>
      <c r="L398" s="7"/>
      <c r="M398" s="7"/>
      <c r="N398" s="7"/>
      <c r="O398" s="7"/>
    </row>
    <row r="399">
      <c r="A399" s="48" t="s">
        <v>1140</v>
      </c>
      <c r="B399" s="10"/>
      <c r="C399" s="59"/>
      <c r="D399" s="50" t="s">
        <v>166</v>
      </c>
      <c r="E399" s="51" t="s">
        <v>1553</v>
      </c>
      <c r="F399" s="51" t="s">
        <v>1554</v>
      </c>
      <c r="G399" s="52" t="s">
        <v>1555</v>
      </c>
      <c r="H399" s="13"/>
      <c r="I399" s="10"/>
      <c r="J399" s="6" t="s">
        <v>584</v>
      </c>
      <c r="K399" s="7"/>
      <c r="L399" s="7"/>
      <c r="M399" s="7"/>
      <c r="N399" s="7"/>
      <c r="O399" s="7"/>
    </row>
    <row r="400">
      <c r="A400" s="48" t="s">
        <v>1556</v>
      </c>
      <c r="B400" s="10"/>
      <c r="C400" s="49" t="s">
        <v>1485</v>
      </c>
      <c r="D400" s="60"/>
      <c r="E400" s="51" t="s">
        <v>1557</v>
      </c>
      <c r="F400" s="51">
        <v>5.0</v>
      </c>
      <c r="G400" s="52" t="s">
        <v>1558</v>
      </c>
      <c r="H400" s="13"/>
      <c r="I400" s="10"/>
      <c r="J400" s="6" t="s">
        <v>584</v>
      </c>
      <c r="K400" s="7"/>
      <c r="L400" s="7"/>
      <c r="M400" s="7"/>
      <c r="N400" s="7"/>
      <c r="O400" s="7"/>
    </row>
    <row r="401">
      <c r="A401" s="48" t="s">
        <v>912</v>
      </c>
      <c r="B401" s="10"/>
      <c r="C401" s="59"/>
      <c r="D401" s="60"/>
      <c r="E401" s="51" t="s">
        <v>1559</v>
      </c>
      <c r="F401" s="51" t="s">
        <v>1554</v>
      </c>
      <c r="G401" s="52" t="s">
        <v>1560</v>
      </c>
      <c r="H401" s="13"/>
      <c r="I401" s="10"/>
      <c r="J401" s="6" t="s">
        <v>584</v>
      </c>
      <c r="K401" s="7"/>
      <c r="L401" s="7"/>
      <c r="M401" s="7"/>
      <c r="N401" s="7"/>
      <c r="O401" s="7"/>
    </row>
    <row r="402">
      <c r="A402" s="48" t="s">
        <v>154</v>
      </c>
      <c r="B402" s="10"/>
      <c r="C402" s="59"/>
      <c r="D402" s="60"/>
      <c r="E402" s="51" t="s">
        <v>1561</v>
      </c>
      <c r="F402" s="51" t="s">
        <v>710</v>
      </c>
      <c r="G402" s="52" t="s">
        <v>1562</v>
      </c>
      <c r="H402" s="13"/>
      <c r="I402" s="10"/>
      <c r="J402" s="6" t="s">
        <v>584</v>
      </c>
      <c r="K402" s="7"/>
      <c r="L402" s="7"/>
      <c r="M402" s="7"/>
      <c r="N402" s="7"/>
      <c r="O402" s="7"/>
    </row>
    <row r="403">
      <c r="A403" s="48" t="s">
        <v>1563</v>
      </c>
      <c r="B403" s="10"/>
      <c r="C403" s="59"/>
      <c r="D403" s="60"/>
      <c r="E403" s="51" t="s">
        <v>1561</v>
      </c>
      <c r="F403" s="51" t="s">
        <v>710</v>
      </c>
      <c r="G403" s="52" t="s">
        <v>1564</v>
      </c>
      <c r="H403" s="13"/>
      <c r="I403" s="10"/>
      <c r="J403" s="6" t="s">
        <v>584</v>
      </c>
      <c r="K403" s="7"/>
      <c r="L403" s="7"/>
      <c r="M403" s="7"/>
      <c r="N403" s="7"/>
      <c r="O403" s="7"/>
    </row>
    <row r="404">
      <c r="A404" s="48" t="s">
        <v>1565</v>
      </c>
      <c r="B404" s="10"/>
      <c r="C404" s="59"/>
      <c r="D404" s="60"/>
      <c r="E404" s="51" t="s">
        <v>1561</v>
      </c>
      <c r="F404" s="51" t="s">
        <v>710</v>
      </c>
      <c r="G404" s="52" t="s">
        <v>1566</v>
      </c>
      <c r="H404" s="13"/>
      <c r="I404" s="10"/>
      <c r="J404" s="6" t="s">
        <v>584</v>
      </c>
      <c r="K404" s="7"/>
      <c r="L404" s="7"/>
      <c r="M404" s="7"/>
      <c r="N404" s="7"/>
      <c r="O404" s="7"/>
    </row>
    <row r="405">
      <c r="A405" s="48" t="s">
        <v>1567</v>
      </c>
      <c r="B405" s="10"/>
      <c r="C405" s="59"/>
      <c r="D405" s="60"/>
      <c r="E405" s="51" t="s">
        <v>1568</v>
      </c>
      <c r="F405" s="51" t="s">
        <v>1554</v>
      </c>
      <c r="G405" s="52" t="s">
        <v>1569</v>
      </c>
      <c r="H405" s="13"/>
      <c r="I405" s="10"/>
      <c r="J405" s="6" t="s">
        <v>584</v>
      </c>
      <c r="K405" s="7"/>
      <c r="L405" s="7"/>
      <c r="M405" s="7"/>
      <c r="N405" s="7"/>
      <c r="O405" s="7"/>
    </row>
    <row r="406">
      <c r="A406" s="48" t="s">
        <v>31</v>
      </c>
      <c r="B406" s="10"/>
      <c r="C406" s="59"/>
      <c r="D406" s="60"/>
      <c r="E406" s="51" t="s">
        <v>1570</v>
      </c>
      <c r="F406" s="51"/>
      <c r="G406" s="52" t="s">
        <v>1571</v>
      </c>
      <c r="H406" s="13"/>
      <c r="I406" s="10"/>
      <c r="J406" s="6" t="s">
        <v>584</v>
      </c>
      <c r="K406" s="7"/>
      <c r="L406" s="7"/>
      <c r="M406" s="7"/>
      <c r="N406" s="7"/>
      <c r="O406" s="7"/>
    </row>
    <row r="407">
      <c r="A407" s="48" t="s">
        <v>722</v>
      </c>
      <c r="B407" s="10"/>
      <c r="C407" s="59"/>
      <c r="D407" s="60"/>
      <c r="E407" s="51" t="s">
        <v>1572</v>
      </c>
      <c r="F407" s="51" t="s">
        <v>1573</v>
      </c>
      <c r="G407" s="52" t="s">
        <v>1574</v>
      </c>
      <c r="H407" s="13"/>
      <c r="I407" s="10"/>
      <c r="J407" s="6" t="s">
        <v>584</v>
      </c>
      <c r="K407" s="7"/>
      <c r="L407" s="7"/>
      <c r="M407" s="7"/>
      <c r="N407" s="7"/>
      <c r="O407" s="7"/>
    </row>
    <row r="408">
      <c r="A408" s="48" t="s">
        <v>1575</v>
      </c>
      <c r="B408" s="10"/>
      <c r="C408" s="49" t="s">
        <v>1576</v>
      </c>
      <c r="D408" s="60"/>
      <c r="E408" s="51" t="s">
        <v>1501</v>
      </c>
      <c r="F408" s="51"/>
      <c r="G408" s="52" t="s">
        <v>1577</v>
      </c>
      <c r="H408" s="13"/>
      <c r="I408" s="10"/>
      <c r="J408" s="6" t="s">
        <v>1450</v>
      </c>
      <c r="K408" s="7"/>
      <c r="L408" s="7"/>
      <c r="M408" s="7"/>
      <c r="N408" s="7"/>
      <c r="O408" s="7"/>
    </row>
    <row r="409">
      <c r="A409" s="63" t="s">
        <v>1578</v>
      </c>
      <c r="B409" s="10"/>
      <c r="C409" s="49" t="s">
        <v>1580</v>
      </c>
      <c r="D409" s="60"/>
      <c r="E409" s="51" t="s">
        <v>1581</v>
      </c>
      <c r="F409" s="51"/>
      <c r="G409" s="52" t="s">
        <v>1582</v>
      </c>
      <c r="H409" s="13"/>
      <c r="I409" s="10"/>
      <c r="J409" s="6" t="s">
        <v>584</v>
      </c>
      <c r="K409" s="7"/>
      <c r="L409" s="7"/>
      <c r="M409" s="7"/>
      <c r="N409" s="7"/>
      <c r="O409" s="7"/>
    </row>
    <row r="410">
      <c r="A410" s="63" t="s">
        <v>1583</v>
      </c>
      <c r="B410" s="10"/>
      <c r="C410" s="49"/>
      <c r="D410" s="60"/>
      <c r="E410" s="51" t="s">
        <v>1501</v>
      </c>
      <c r="F410" s="51"/>
      <c r="G410" s="52" t="s">
        <v>1584</v>
      </c>
      <c r="H410" s="13"/>
      <c r="I410" s="10"/>
      <c r="J410" s="6" t="s">
        <v>584</v>
      </c>
      <c r="K410" s="7"/>
      <c r="L410" s="7"/>
      <c r="M410" s="7"/>
      <c r="N410" s="7"/>
      <c r="O410" s="7"/>
    </row>
    <row r="411">
      <c r="A411" s="63" t="s">
        <v>1585</v>
      </c>
      <c r="B411" s="10"/>
      <c r="C411" s="49"/>
      <c r="D411" s="60"/>
      <c r="E411" s="51" t="s">
        <v>1501</v>
      </c>
      <c r="F411" s="51"/>
      <c r="G411" s="52" t="s">
        <v>1586</v>
      </c>
      <c r="H411" s="13"/>
      <c r="I411" s="10"/>
      <c r="J411" s="6" t="s">
        <v>584</v>
      </c>
      <c r="K411" s="7"/>
      <c r="L411" s="7"/>
      <c r="M411" s="7"/>
      <c r="N411" s="7"/>
      <c r="O411" s="7"/>
    </row>
    <row r="412">
      <c r="A412" s="63" t="s">
        <v>111</v>
      </c>
      <c r="B412" s="10"/>
      <c r="C412" s="49"/>
      <c r="D412" s="60"/>
      <c r="E412" s="51" t="s">
        <v>1501</v>
      </c>
      <c r="F412" s="51"/>
      <c r="G412" s="52" t="s">
        <v>1587</v>
      </c>
      <c r="H412" s="13"/>
      <c r="I412" s="10"/>
      <c r="J412" s="6" t="s">
        <v>584</v>
      </c>
      <c r="K412" s="7"/>
      <c r="L412" s="7"/>
      <c r="M412" s="7"/>
      <c r="N412" s="7"/>
      <c r="O412" s="7"/>
    </row>
    <row r="413">
      <c r="A413" s="63" t="s">
        <v>1588</v>
      </c>
      <c r="B413" s="10"/>
      <c r="C413" s="49"/>
      <c r="D413" s="60"/>
      <c r="E413" s="51" t="s">
        <v>1501</v>
      </c>
      <c r="F413" s="51"/>
      <c r="G413" s="52" t="s">
        <v>1590</v>
      </c>
      <c r="H413" s="13"/>
      <c r="I413" s="10"/>
      <c r="J413" s="6" t="s">
        <v>584</v>
      </c>
      <c r="K413" s="7"/>
      <c r="L413" s="7"/>
      <c r="M413" s="7"/>
      <c r="N413" s="7"/>
      <c r="O413" s="7"/>
    </row>
    <row r="414">
      <c r="A414" s="63" t="s">
        <v>1591</v>
      </c>
      <c r="B414" s="10"/>
      <c r="C414" s="49"/>
      <c r="D414" s="60"/>
      <c r="E414" s="51" t="s">
        <v>1501</v>
      </c>
      <c r="F414" s="51"/>
      <c r="G414" s="52" t="s">
        <v>1592</v>
      </c>
      <c r="H414" s="13"/>
      <c r="I414" s="10"/>
      <c r="J414" s="6" t="s">
        <v>584</v>
      </c>
      <c r="K414" s="7"/>
      <c r="L414" s="7"/>
      <c r="M414" s="7"/>
      <c r="N414" s="7"/>
      <c r="O414" s="7"/>
    </row>
    <row r="415">
      <c r="A415" s="63" t="s">
        <v>1594</v>
      </c>
      <c r="B415" s="10"/>
      <c r="C415" s="49"/>
      <c r="D415" s="60"/>
      <c r="E415" s="51" t="s">
        <v>1501</v>
      </c>
      <c r="F415" s="51"/>
      <c r="G415" s="52" t="s">
        <v>1595</v>
      </c>
      <c r="H415" s="13"/>
      <c r="I415" s="10"/>
      <c r="J415" s="6" t="s">
        <v>584</v>
      </c>
      <c r="K415" s="7"/>
      <c r="L415" s="7"/>
      <c r="M415" s="7"/>
      <c r="N415" s="7"/>
      <c r="O415" s="7"/>
    </row>
    <row r="416">
      <c r="A416" s="63" t="s">
        <v>1597</v>
      </c>
      <c r="B416" s="10"/>
      <c r="C416" s="49"/>
      <c r="D416" s="60"/>
      <c r="E416" s="51" t="s">
        <v>1501</v>
      </c>
      <c r="F416" s="51"/>
      <c r="G416" s="52" t="s">
        <v>1598</v>
      </c>
      <c r="H416" s="13"/>
      <c r="I416" s="10"/>
      <c r="J416" s="6" t="s">
        <v>584</v>
      </c>
      <c r="K416" s="7"/>
      <c r="L416" s="7"/>
      <c r="M416" s="7"/>
      <c r="N416" s="7"/>
      <c r="O416" s="7"/>
    </row>
    <row r="417">
      <c r="A417" s="63" t="s">
        <v>1600</v>
      </c>
      <c r="B417" s="10"/>
      <c r="C417" s="49"/>
      <c r="D417" s="60"/>
      <c r="E417" s="51" t="s">
        <v>1501</v>
      </c>
      <c r="F417" s="51"/>
      <c r="G417" s="52" t="s">
        <v>1601</v>
      </c>
      <c r="H417" s="13"/>
      <c r="I417" s="10"/>
      <c r="J417" s="6" t="s">
        <v>584</v>
      </c>
      <c r="K417" s="7"/>
      <c r="L417" s="7"/>
      <c r="M417" s="7"/>
      <c r="N417" s="7"/>
      <c r="O417" s="7"/>
    </row>
    <row r="418">
      <c r="A418" s="63" t="s">
        <v>1603</v>
      </c>
      <c r="B418" s="10"/>
      <c r="C418" s="49" t="s">
        <v>1604</v>
      </c>
      <c r="D418" s="60"/>
      <c r="E418" s="51" t="s">
        <v>1605</v>
      </c>
      <c r="F418" s="51"/>
      <c r="G418" s="52" t="s">
        <v>1606</v>
      </c>
      <c r="H418" s="13"/>
      <c r="I418" s="10"/>
      <c r="J418" s="6" t="s">
        <v>584</v>
      </c>
      <c r="K418" s="7"/>
      <c r="L418" s="7"/>
      <c r="M418" s="7"/>
      <c r="N418" s="7"/>
      <c r="O418" s="7"/>
    </row>
    <row r="419">
      <c r="A419" s="63" t="s">
        <v>1608</v>
      </c>
      <c r="B419" s="10"/>
      <c r="C419" s="49" t="s">
        <v>1609</v>
      </c>
      <c r="D419" s="60"/>
      <c r="E419" s="51" t="s">
        <v>1501</v>
      </c>
      <c r="F419" s="51"/>
      <c r="G419" s="52" t="s">
        <v>1610</v>
      </c>
      <c r="H419" s="13"/>
      <c r="I419" s="10"/>
      <c r="J419" s="6" t="s">
        <v>584</v>
      </c>
      <c r="K419" s="7"/>
      <c r="L419" s="7"/>
      <c r="M419" s="7"/>
      <c r="N419" s="7"/>
      <c r="O419" s="7"/>
    </row>
    <row r="420">
      <c r="A420" s="63" t="s">
        <v>1612</v>
      </c>
      <c r="B420" s="10"/>
      <c r="C420" s="49"/>
      <c r="D420" s="60"/>
      <c r="E420" s="51" t="s">
        <v>1501</v>
      </c>
      <c r="F420" s="51"/>
      <c r="G420" s="52" t="s">
        <v>1613</v>
      </c>
      <c r="H420" s="13"/>
      <c r="I420" s="10"/>
      <c r="J420" s="6" t="s">
        <v>584</v>
      </c>
      <c r="K420" s="7"/>
      <c r="L420" s="7"/>
      <c r="M420" s="7"/>
      <c r="N420" s="7"/>
      <c r="O420" s="7"/>
    </row>
    <row r="421">
      <c r="A421" s="68" t="s">
        <v>1619</v>
      </c>
      <c r="B421" s="10"/>
      <c r="C421" s="69"/>
      <c r="D421" s="70"/>
      <c r="E421" s="47" t="s">
        <v>1620</v>
      </c>
      <c r="F421" s="47"/>
      <c r="G421" s="71"/>
      <c r="H421" s="13"/>
      <c r="I421" s="10"/>
      <c r="J421" s="72"/>
      <c r="K421" s="7"/>
      <c r="L421" s="7"/>
      <c r="M421" s="7"/>
      <c r="N421" s="7"/>
      <c r="O421" s="7"/>
    </row>
    <row r="422">
      <c r="A422" s="48" t="s">
        <v>1621</v>
      </c>
      <c r="B422" s="10"/>
      <c r="C422" s="59"/>
      <c r="D422" s="60"/>
      <c r="E422" s="51"/>
      <c r="F422" s="51"/>
      <c r="G422" s="52" t="s">
        <v>1622</v>
      </c>
      <c r="H422" s="13"/>
      <c r="I422" s="10"/>
      <c r="J422" s="6" t="s">
        <v>584</v>
      </c>
      <c r="K422" s="7"/>
      <c r="L422" s="7"/>
      <c r="M422" s="7"/>
      <c r="N422" s="7"/>
      <c r="O422" s="7"/>
    </row>
    <row r="423">
      <c r="A423" s="48" t="s">
        <v>1623</v>
      </c>
      <c r="B423" s="10"/>
      <c r="C423" s="59"/>
      <c r="D423" s="60"/>
      <c r="E423" s="51"/>
      <c r="F423" s="51"/>
      <c r="G423" s="52" t="s">
        <v>1624</v>
      </c>
      <c r="H423" s="13"/>
      <c r="I423" s="10"/>
      <c r="J423" s="6" t="s">
        <v>1450</v>
      </c>
      <c r="K423" s="7"/>
      <c r="L423" s="7"/>
      <c r="M423" s="7"/>
      <c r="N423" s="7"/>
      <c r="O423" s="7"/>
    </row>
    <row r="424">
      <c r="A424" s="48" t="s">
        <v>1625</v>
      </c>
      <c r="B424" s="10"/>
      <c r="C424" s="59"/>
      <c r="D424" s="60"/>
      <c r="E424" s="51"/>
      <c r="F424" s="51"/>
      <c r="G424" s="52" t="s">
        <v>1626</v>
      </c>
      <c r="H424" s="13"/>
      <c r="I424" s="10"/>
      <c r="J424" s="6" t="s">
        <v>1450</v>
      </c>
      <c r="K424" s="7"/>
      <c r="L424" s="7"/>
      <c r="M424" s="7"/>
      <c r="N424" s="7"/>
      <c r="O424" s="7"/>
    </row>
    <row r="425">
      <c r="A425" s="48" t="s">
        <v>1627</v>
      </c>
      <c r="B425" s="10"/>
      <c r="C425" s="59"/>
      <c r="D425" s="60"/>
      <c r="E425" s="51"/>
      <c r="F425" s="51"/>
      <c r="G425" s="52" t="s">
        <v>1628</v>
      </c>
      <c r="H425" s="13"/>
      <c r="I425" s="10"/>
      <c r="J425" s="6" t="s">
        <v>584</v>
      </c>
      <c r="K425" s="7"/>
      <c r="L425" s="7"/>
      <c r="M425" s="7"/>
      <c r="N425" s="7"/>
      <c r="O425" s="7"/>
    </row>
    <row r="426">
      <c r="A426" s="48" t="s">
        <v>1629</v>
      </c>
      <c r="B426" s="10"/>
      <c r="C426" s="59"/>
      <c r="D426" s="60"/>
      <c r="E426" s="51"/>
      <c r="F426" s="51"/>
      <c r="G426" s="52" t="s">
        <v>1630</v>
      </c>
      <c r="H426" s="13"/>
      <c r="I426" s="10"/>
      <c r="J426" s="6" t="s">
        <v>584</v>
      </c>
      <c r="K426" s="7"/>
      <c r="L426" s="7"/>
      <c r="M426" s="7"/>
      <c r="N426" s="7"/>
      <c r="O426" s="7"/>
    </row>
    <row r="427">
      <c r="A427" s="48" t="s">
        <v>1631</v>
      </c>
      <c r="B427" s="10"/>
      <c r="C427" s="59"/>
      <c r="D427" s="60"/>
      <c r="E427" s="51"/>
      <c r="F427" s="51"/>
      <c r="G427" s="52" t="s">
        <v>1632</v>
      </c>
      <c r="H427" s="13"/>
      <c r="I427" s="10"/>
      <c r="J427" s="6" t="s">
        <v>584</v>
      </c>
      <c r="K427" s="7"/>
      <c r="L427" s="7"/>
      <c r="M427" s="7"/>
      <c r="N427" s="7"/>
      <c r="O427" s="7"/>
    </row>
    <row r="428">
      <c r="A428" s="48" t="s">
        <v>1633</v>
      </c>
      <c r="B428" s="10"/>
      <c r="C428" s="59"/>
      <c r="D428" s="60"/>
      <c r="E428" s="51"/>
      <c r="F428" s="51"/>
      <c r="G428" s="52" t="s">
        <v>1634</v>
      </c>
      <c r="H428" s="13"/>
      <c r="I428" s="10"/>
      <c r="J428" s="6" t="s">
        <v>584</v>
      </c>
      <c r="K428" s="7"/>
      <c r="L428" s="7"/>
      <c r="M428" s="7"/>
      <c r="N428" s="7"/>
      <c r="O428" s="7"/>
    </row>
    <row r="429">
      <c r="A429" s="73"/>
      <c r="B429" s="74"/>
      <c r="C429" s="74"/>
      <c r="D429" s="73"/>
      <c r="E429" s="22"/>
      <c r="F429" s="22"/>
      <c r="G429" s="22"/>
      <c r="H429" s="7"/>
      <c r="I429" s="7"/>
      <c r="J429" s="7">
        <f>COUNTIFS(J363:J428,"Yes")</f>
        <v>43</v>
      </c>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f>COUNTIF(J363:J428,"Changes")</f>
        <v>12</v>
      </c>
      <c r="K430" s="7"/>
      <c r="L430" s="7"/>
      <c r="M430" s="7"/>
      <c r="N430" s="7"/>
      <c r="O430" s="7"/>
      <c r="P430" s="7"/>
      <c r="Q430" s="7"/>
      <c r="R430" s="7"/>
      <c r="S430" s="7"/>
      <c r="T430" s="7"/>
      <c r="U430" s="7"/>
      <c r="V430" s="7"/>
      <c r="W430" s="7"/>
      <c r="X430" s="7"/>
      <c r="Y430" s="7"/>
      <c r="Z430" s="7"/>
    </row>
    <row r="431">
      <c r="A431" s="36" t="s">
        <v>1635</v>
      </c>
      <c r="B431" s="75" t="s">
        <v>1636</v>
      </c>
      <c r="C431" s="5"/>
      <c r="D431" s="5"/>
      <c r="E431" s="5"/>
      <c r="F431" s="5"/>
      <c r="G431" s="5"/>
      <c r="H431" s="5"/>
      <c r="I431" s="3"/>
      <c r="J431" s="7">
        <f>COUNTIF(J363:J428, "No")</f>
        <v>10</v>
      </c>
      <c r="K431" s="7"/>
      <c r="L431" s="7"/>
      <c r="M431" s="7"/>
      <c r="N431" s="7"/>
      <c r="O431" s="7"/>
    </row>
    <row r="432">
      <c r="A432" s="76" t="s">
        <v>1637</v>
      </c>
      <c r="B432" s="13"/>
      <c r="C432" s="13"/>
      <c r="D432" s="13"/>
      <c r="E432" s="13"/>
      <c r="F432" s="13"/>
      <c r="G432" s="13"/>
      <c r="H432" s="13"/>
      <c r="I432" s="10"/>
      <c r="J432" s="7">
        <f>J429+J430+J431</f>
        <v>65</v>
      </c>
      <c r="K432" s="7"/>
      <c r="L432" s="7"/>
      <c r="M432" s="7"/>
      <c r="N432" s="7"/>
      <c r="O432" s="7"/>
    </row>
    <row r="433">
      <c r="A433" s="36" t="s">
        <v>1639</v>
      </c>
      <c r="B433" s="36" t="s">
        <v>1640</v>
      </c>
      <c r="C433" s="36" t="s">
        <v>1641</v>
      </c>
      <c r="D433" s="36" t="s">
        <v>1642</v>
      </c>
      <c r="E433" s="36" t="s">
        <v>581</v>
      </c>
      <c r="F433" s="36"/>
      <c r="G433" s="36"/>
      <c r="H433" s="36"/>
      <c r="I433" s="36" t="s">
        <v>1643</v>
      </c>
      <c r="J433" s="7"/>
      <c r="K433" s="7"/>
      <c r="L433" s="7"/>
      <c r="M433" s="7"/>
      <c r="N433" s="7"/>
      <c r="O433" s="7"/>
    </row>
    <row r="434">
      <c r="A434" s="31" t="s">
        <v>20</v>
      </c>
      <c r="B434" s="31" t="s">
        <v>17</v>
      </c>
      <c r="C434" s="77" t="s">
        <v>960</v>
      </c>
      <c r="D434" s="37" t="s">
        <v>595</v>
      </c>
      <c r="E434" s="30" t="s">
        <v>1644</v>
      </c>
      <c r="F434" s="13"/>
      <c r="G434" s="13"/>
      <c r="H434" s="10"/>
      <c r="I434" s="37"/>
      <c r="J434" s="7"/>
      <c r="K434" s="7"/>
      <c r="L434" s="7"/>
      <c r="M434" s="7"/>
      <c r="N434" s="7">
        <f t="shared" ref="N434:N457" si="4"> IF(ISBLANK(E434), 0, 1)</f>
        <v>1</v>
      </c>
      <c r="O434" s="7"/>
    </row>
    <row r="435">
      <c r="A435" s="31" t="s">
        <v>403</v>
      </c>
      <c r="B435" s="31" t="s">
        <v>400</v>
      </c>
      <c r="C435" s="31" t="s">
        <v>1645</v>
      </c>
      <c r="D435" s="37" t="s">
        <v>1364</v>
      </c>
      <c r="E435" s="30" t="s">
        <v>1646</v>
      </c>
      <c r="F435" s="13"/>
      <c r="G435" s="13"/>
      <c r="H435" s="10"/>
      <c r="I435" s="37"/>
      <c r="J435" s="7"/>
      <c r="K435" s="7"/>
      <c r="L435" s="7"/>
      <c r="M435" s="7"/>
      <c r="N435" s="7">
        <f t="shared" si="4"/>
        <v>1</v>
      </c>
      <c r="O435" s="7"/>
    </row>
    <row r="436">
      <c r="A436" s="31" t="s">
        <v>290</v>
      </c>
      <c r="B436" s="31" t="s">
        <v>285</v>
      </c>
      <c r="C436" s="77" t="s">
        <v>945</v>
      </c>
      <c r="D436" s="37" t="s">
        <v>1380</v>
      </c>
      <c r="E436" s="30" t="s">
        <v>1647</v>
      </c>
      <c r="F436" s="13"/>
      <c r="G436" s="13"/>
      <c r="H436" s="10"/>
      <c r="I436" s="37"/>
      <c r="J436" s="7"/>
      <c r="K436" s="7"/>
      <c r="L436" s="7"/>
      <c r="M436" s="7"/>
      <c r="N436" s="7">
        <f t="shared" si="4"/>
        <v>1</v>
      </c>
      <c r="O436" s="7"/>
    </row>
    <row r="437">
      <c r="A437" s="31" t="s">
        <v>324</v>
      </c>
      <c r="B437" s="31" t="s">
        <v>319</v>
      </c>
      <c r="C437" s="31" t="s">
        <v>1127</v>
      </c>
      <c r="D437" s="37" t="s">
        <v>595</v>
      </c>
      <c r="E437" s="30" t="s">
        <v>1648</v>
      </c>
      <c r="F437" s="13"/>
      <c r="G437" s="13"/>
      <c r="H437" s="10"/>
      <c r="I437" s="37"/>
      <c r="J437" s="7"/>
      <c r="K437" s="7"/>
      <c r="L437" s="7"/>
      <c r="M437" s="7"/>
      <c r="N437" s="7">
        <f t="shared" si="4"/>
        <v>1</v>
      </c>
      <c r="O437" s="7"/>
    </row>
    <row r="438">
      <c r="A438" s="31" t="s">
        <v>122</v>
      </c>
      <c r="B438" s="31" t="s">
        <v>115</v>
      </c>
      <c r="C438" s="31" t="s">
        <v>1649</v>
      </c>
      <c r="D438" s="37" t="s">
        <v>595</v>
      </c>
      <c r="E438" s="30" t="s">
        <v>1650</v>
      </c>
      <c r="F438" s="13"/>
      <c r="G438" s="13"/>
      <c r="H438" s="10"/>
      <c r="I438" s="37"/>
      <c r="J438" s="7"/>
      <c r="K438" s="7"/>
      <c r="L438" s="7"/>
      <c r="M438" s="7"/>
      <c r="N438" s="7">
        <f t="shared" si="4"/>
        <v>1</v>
      </c>
      <c r="O438" s="7"/>
    </row>
    <row r="439">
      <c r="A439" s="31" t="s">
        <v>391</v>
      </c>
      <c r="B439" s="31" t="s">
        <v>1651</v>
      </c>
      <c r="C439" s="31" t="s">
        <v>387</v>
      </c>
      <c r="D439" s="37" t="s">
        <v>1399</v>
      </c>
      <c r="E439" s="30" t="s">
        <v>1652</v>
      </c>
      <c r="F439" s="13"/>
      <c r="G439" s="13"/>
      <c r="H439" s="10"/>
      <c r="I439" s="37"/>
      <c r="J439" s="7"/>
      <c r="K439" s="7"/>
      <c r="L439" s="7"/>
      <c r="M439" s="7"/>
      <c r="N439" s="7">
        <f t="shared" si="4"/>
        <v>1</v>
      </c>
      <c r="O439" s="7"/>
    </row>
    <row r="440">
      <c r="A440" s="31" t="s">
        <v>82</v>
      </c>
      <c r="B440" s="31" t="s">
        <v>78</v>
      </c>
      <c r="C440" s="77" t="s">
        <v>1653</v>
      </c>
      <c r="D440" s="37" t="s">
        <v>595</v>
      </c>
      <c r="E440" s="30" t="s">
        <v>1654</v>
      </c>
      <c r="F440" s="13"/>
      <c r="G440" s="13"/>
      <c r="H440" s="10"/>
      <c r="I440" s="37"/>
      <c r="J440" s="7"/>
      <c r="K440" s="7"/>
      <c r="L440" s="7"/>
      <c r="M440" s="7"/>
      <c r="N440" s="7">
        <f t="shared" si="4"/>
        <v>1</v>
      </c>
      <c r="O440" s="7"/>
    </row>
    <row r="441">
      <c r="A441" s="31" t="s">
        <v>356</v>
      </c>
      <c r="B441" s="31" t="s">
        <v>352</v>
      </c>
      <c r="C441" s="31" t="s">
        <v>1268</v>
      </c>
      <c r="D441" s="37" t="s">
        <v>595</v>
      </c>
      <c r="E441" s="30" t="s">
        <v>1655</v>
      </c>
      <c r="F441" s="13"/>
      <c r="G441" s="13"/>
      <c r="H441" s="10"/>
      <c r="I441" s="37"/>
      <c r="J441" s="7"/>
      <c r="K441" s="7"/>
      <c r="L441" s="7"/>
      <c r="M441" s="7"/>
      <c r="N441" s="7">
        <f t="shared" si="4"/>
        <v>1</v>
      </c>
      <c r="O441" s="7"/>
    </row>
    <row r="442">
      <c r="A442" s="31" t="s">
        <v>1404</v>
      </c>
      <c r="B442" s="31" t="s">
        <v>423</v>
      </c>
      <c r="C442" s="31" t="s">
        <v>1019</v>
      </c>
      <c r="D442" s="37" t="s">
        <v>1656</v>
      </c>
      <c r="E442" s="30" t="s">
        <v>1657</v>
      </c>
      <c r="F442" s="13"/>
      <c r="G442" s="13"/>
      <c r="H442" s="10"/>
      <c r="I442" s="37"/>
      <c r="J442" s="7"/>
      <c r="K442" s="7"/>
      <c r="L442" s="7"/>
      <c r="M442" s="7"/>
      <c r="N442" s="7">
        <f t="shared" si="4"/>
        <v>1</v>
      </c>
      <c r="O442" s="7"/>
    </row>
    <row r="443">
      <c r="A443" s="31" t="s">
        <v>351</v>
      </c>
      <c r="B443" s="31" t="s">
        <v>345</v>
      </c>
      <c r="C443" s="77" t="s">
        <v>1120</v>
      </c>
      <c r="D443" s="37" t="s">
        <v>595</v>
      </c>
      <c r="E443" s="30" t="s">
        <v>1658</v>
      </c>
      <c r="F443" s="13"/>
      <c r="G443" s="13"/>
      <c r="H443" s="10"/>
      <c r="I443" s="37"/>
      <c r="J443" s="7"/>
      <c r="K443" s="7"/>
      <c r="L443" s="7"/>
      <c r="M443" s="7"/>
      <c r="N443" s="7">
        <f t="shared" si="4"/>
        <v>1</v>
      </c>
      <c r="O443" s="7"/>
    </row>
    <row r="444">
      <c r="A444" s="31" t="s">
        <v>260</v>
      </c>
      <c r="B444" s="31" t="s">
        <v>1659</v>
      </c>
      <c r="C444" s="77" t="s">
        <v>1123</v>
      </c>
      <c r="D444" s="37" t="s">
        <v>595</v>
      </c>
      <c r="E444" s="30" t="s">
        <v>1660</v>
      </c>
      <c r="F444" s="13"/>
      <c r="G444" s="13"/>
      <c r="H444" s="10"/>
      <c r="I444" s="37"/>
      <c r="J444" s="7"/>
      <c r="K444" s="7"/>
      <c r="L444" s="7"/>
      <c r="M444" s="7"/>
      <c r="N444" s="7">
        <f t="shared" si="4"/>
        <v>1</v>
      </c>
      <c r="O444" s="7"/>
    </row>
    <row r="445">
      <c r="A445" s="31" t="s">
        <v>420</v>
      </c>
      <c r="B445" s="31" t="s">
        <v>415</v>
      </c>
      <c r="C445" s="31" t="s">
        <v>775</v>
      </c>
      <c r="D445" s="37" t="s">
        <v>595</v>
      </c>
      <c r="E445" s="30" t="s">
        <v>1661</v>
      </c>
      <c r="F445" s="13"/>
      <c r="G445" s="13"/>
      <c r="H445" s="10"/>
      <c r="I445" s="37"/>
      <c r="J445" s="7"/>
      <c r="K445" s="7"/>
      <c r="L445" s="7"/>
      <c r="M445" s="7"/>
      <c r="N445" s="7">
        <f t="shared" si="4"/>
        <v>1</v>
      </c>
      <c r="O445" s="7"/>
      <c r="P445" s="7"/>
      <c r="Q445" s="7"/>
      <c r="R445" s="7"/>
      <c r="S445" s="7"/>
      <c r="T445" s="7"/>
      <c r="U445" s="7"/>
      <c r="V445" s="7"/>
      <c r="W445" s="7"/>
      <c r="X445" s="7"/>
      <c r="Y445" s="7"/>
      <c r="Z445" s="7"/>
    </row>
    <row r="446">
      <c r="A446" s="31" t="s">
        <v>127</v>
      </c>
      <c r="B446" s="31" t="s">
        <v>123</v>
      </c>
      <c r="C446" s="31" t="s">
        <v>937</v>
      </c>
      <c r="D446" s="37" t="s">
        <v>595</v>
      </c>
      <c r="E446" s="30" t="s">
        <v>1662</v>
      </c>
      <c r="F446" s="13"/>
      <c r="G446" s="13"/>
      <c r="H446" s="10"/>
      <c r="I446" s="37"/>
      <c r="J446" s="7"/>
      <c r="K446" s="7"/>
      <c r="L446" s="7"/>
      <c r="M446" s="7"/>
      <c r="N446" s="7">
        <f t="shared" si="4"/>
        <v>1</v>
      </c>
      <c r="O446" s="7"/>
      <c r="P446" s="7"/>
      <c r="Q446" s="7"/>
      <c r="R446" s="7"/>
      <c r="S446" s="7"/>
      <c r="T446" s="7"/>
      <c r="U446" s="7"/>
      <c r="V446" s="7"/>
      <c r="W446" s="7"/>
      <c r="X446" s="7"/>
      <c r="Y446" s="7"/>
      <c r="Z446" s="7"/>
    </row>
    <row r="447">
      <c r="A447" s="37" t="s">
        <v>374</v>
      </c>
      <c r="B447" s="37" t="s">
        <v>371</v>
      </c>
      <c r="C447" s="37" t="s">
        <v>813</v>
      </c>
      <c r="D447" s="37" t="s">
        <v>1388</v>
      </c>
      <c r="E447" s="30" t="s">
        <v>1663</v>
      </c>
      <c r="F447" s="13"/>
      <c r="G447" s="13"/>
      <c r="H447" s="10"/>
      <c r="I447" s="37"/>
      <c r="J447" s="7"/>
      <c r="K447" s="7"/>
      <c r="L447" s="7"/>
      <c r="M447" s="7"/>
      <c r="N447" s="7">
        <f t="shared" si="4"/>
        <v>1</v>
      </c>
      <c r="O447" s="7"/>
      <c r="P447" s="7"/>
      <c r="Q447" s="7"/>
      <c r="R447" s="7"/>
      <c r="S447" s="7"/>
      <c r="T447" s="7"/>
      <c r="U447" s="7"/>
      <c r="V447" s="7"/>
      <c r="W447" s="7"/>
      <c r="X447" s="7"/>
      <c r="Y447" s="7"/>
      <c r="Z447" s="7"/>
    </row>
    <row r="448">
      <c r="A448" s="37" t="s">
        <v>39</v>
      </c>
      <c r="B448" s="37" t="s">
        <v>35</v>
      </c>
      <c r="C448" s="37" t="s">
        <v>1153</v>
      </c>
      <c r="D448" s="37" t="s">
        <v>595</v>
      </c>
      <c r="E448" s="30" t="s">
        <v>1665</v>
      </c>
      <c r="F448" s="13"/>
      <c r="G448" s="13"/>
      <c r="H448" s="10"/>
      <c r="I448" s="37"/>
      <c r="J448" s="7"/>
      <c r="K448" s="7"/>
      <c r="L448" s="7"/>
      <c r="M448" s="7"/>
      <c r="N448" s="7">
        <f t="shared" si="4"/>
        <v>1</v>
      </c>
      <c r="O448" s="7"/>
      <c r="P448" s="7"/>
      <c r="Q448" s="7"/>
      <c r="R448" s="7"/>
      <c r="S448" s="7"/>
      <c r="T448" s="7"/>
      <c r="U448" s="7"/>
      <c r="V448" s="7"/>
      <c r="W448" s="7"/>
      <c r="X448" s="7"/>
      <c r="Y448" s="7"/>
      <c r="Z448" s="7"/>
    </row>
    <row r="449">
      <c r="A449" s="37" t="s">
        <v>466</v>
      </c>
      <c r="B449" s="37" t="s">
        <v>1667</v>
      </c>
      <c r="C449" s="37" t="s">
        <v>1668</v>
      </c>
      <c r="D449" s="37" t="s">
        <v>595</v>
      </c>
      <c r="E449" s="30" t="s">
        <v>1669</v>
      </c>
      <c r="F449" s="13"/>
      <c r="G449" s="13"/>
      <c r="H449" s="10"/>
      <c r="I449" s="37"/>
      <c r="J449" s="7"/>
      <c r="K449" s="7"/>
      <c r="L449" s="7"/>
      <c r="M449" s="7"/>
      <c r="N449" s="7">
        <f t="shared" si="4"/>
        <v>1</v>
      </c>
      <c r="O449" s="7"/>
      <c r="P449" s="7"/>
      <c r="Q449" s="7"/>
      <c r="R449" s="7"/>
      <c r="S449" s="7"/>
      <c r="T449" s="7"/>
      <c r="U449" s="7"/>
      <c r="V449" s="7"/>
      <c r="W449" s="7"/>
      <c r="X449" s="7"/>
      <c r="Y449" s="7"/>
      <c r="Z449" s="7"/>
    </row>
    <row r="450">
      <c r="A450" s="37" t="s">
        <v>254</v>
      </c>
      <c r="B450" s="37" t="s">
        <v>248</v>
      </c>
      <c r="C450" s="37" t="s">
        <v>880</v>
      </c>
      <c r="D450" s="37" t="s">
        <v>595</v>
      </c>
      <c r="E450" s="30" t="s">
        <v>1670</v>
      </c>
      <c r="F450" s="13"/>
      <c r="G450" s="13"/>
      <c r="H450" s="10"/>
      <c r="I450" s="37"/>
      <c r="J450" s="7"/>
      <c r="K450" s="7"/>
      <c r="L450" s="7"/>
      <c r="M450" s="7"/>
      <c r="N450" s="7">
        <f t="shared" si="4"/>
        <v>1</v>
      </c>
      <c r="O450" s="7"/>
      <c r="P450" s="7"/>
      <c r="Q450" s="7"/>
      <c r="R450" s="7"/>
      <c r="S450" s="7"/>
      <c r="T450" s="7"/>
      <c r="U450" s="7"/>
      <c r="V450" s="7"/>
      <c r="W450" s="7"/>
      <c r="X450" s="7"/>
      <c r="Y450" s="7"/>
      <c r="Z450" s="7"/>
    </row>
    <row r="451">
      <c r="A451" s="37" t="s">
        <v>445</v>
      </c>
      <c r="B451" s="37" t="s">
        <v>440</v>
      </c>
      <c r="C451" s="37" t="s">
        <v>734</v>
      </c>
      <c r="D451" s="37" t="s">
        <v>1342</v>
      </c>
      <c r="E451" s="30" t="s">
        <v>1671</v>
      </c>
      <c r="F451" s="13"/>
      <c r="G451" s="13"/>
      <c r="H451" s="10"/>
      <c r="I451" s="37"/>
      <c r="J451" s="7"/>
      <c r="K451" s="7"/>
      <c r="L451" s="7"/>
      <c r="M451" s="7"/>
      <c r="N451" s="7">
        <f t="shared" si="4"/>
        <v>1</v>
      </c>
      <c r="O451" s="7"/>
      <c r="P451" s="7"/>
      <c r="Q451" s="7"/>
      <c r="R451" s="7"/>
      <c r="S451" s="7"/>
      <c r="T451" s="7"/>
      <c r="U451" s="7"/>
      <c r="V451" s="7"/>
      <c r="W451" s="7"/>
      <c r="X451" s="7"/>
      <c r="Y451" s="7"/>
      <c r="Z451" s="7"/>
    </row>
    <row r="452">
      <c r="A452" s="37" t="s">
        <v>520</v>
      </c>
      <c r="B452" s="37" t="s">
        <v>516</v>
      </c>
      <c r="C452" s="37" t="s">
        <v>602</v>
      </c>
      <c r="D452" s="37" t="s">
        <v>1375</v>
      </c>
      <c r="E452" s="30" t="s">
        <v>1673</v>
      </c>
      <c r="F452" s="13"/>
      <c r="G452" s="13"/>
      <c r="H452" s="10"/>
      <c r="I452" s="37"/>
      <c r="J452" s="7"/>
      <c r="K452" s="7"/>
      <c r="L452" s="7"/>
      <c r="M452" s="7"/>
      <c r="N452" s="7">
        <f t="shared" si="4"/>
        <v>1</v>
      </c>
      <c r="O452" s="7"/>
      <c r="P452" s="7"/>
      <c r="Q452" s="7"/>
      <c r="R452" s="7"/>
      <c r="S452" s="7"/>
      <c r="T452" s="7"/>
      <c r="U452" s="7"/>
      <c r="V452" s="7"/>
      <c r="W452" s="7"/>
      <c r="X452" s="7"/>
      <c r="Y452" s="7"/>
      <c r="Z452" s="7"/>
    </row>
    <row r="453">
      <c r="A453" s="37" t="s">
        <v>344</v>
      </c>
      <c r="B453" s="37" t="s">
        <v>1675</v>
      </c>
      <c r="C453" s="37" t="s">
        <v>1676</v>
      </c>
      <c r="D453" s="37" t="s">
        <v>1360</v>
      </c>
      <c r="E453" s="30" t="s">
        <v>1677</v>
      </c>
      <c r="F453" s="13"/>
      <c r="G453" s="13"/>
      <c r="H453" s="10"/>
      <c r="I453" s="37"/>
      <c r="J453" s="7"/>
      <c r="K453" s="7"/>
      <c r="L453" s="7"/>
      <c r="M453" s="7"/>
      <c r="N453" s="7">
        <f t="shared" si="4"/>
        <v>1</v>
      </c>
      <c r="O453" s="7"/>
      <c r="P453" s="7"/>
      <c r="Q453" s="7"/>
      <c r="R453" s="7"/>
      <c r="S453" s="7"/>
      <c r="T453" s="7"/>
      <c r="U453" s="7"/>
      <c r="V453" s="7"/>
      <c r="W453" s="7"/>
      <c r="X453" s="7"/>
      <c r="Y453" s="7"/>
      <c r="Z453" s="7"/>
    </row>
    <row r="454">
      <c r="A454" s="37" t="s">
        <v>280</v>
      </c>
      <c r="B454" s="37" t="s">
        <v>276</v>
      </c>
      <c r="C454" s="37" t="s">
        <v>958</v>
      </c>
      <c r="D454" s="37" t="s">
        <v>1405</v>
      </c>
      <c r="E454" s="30" t="s">
        <v>1679</v>
      </c>
      <c r="F454" s="13"/>
      <c r="G454" s="13"/>
      <c r="H454" s="10"/>
      <c r="I454" s="37"/>
      <c r="J454" s="7"/>
      <c r="K454" s="7"/>
      <c r="L454" s="7"/>
      <c r="M454" s="7"/>
      <c r="N454" s="7">
        <f t="shared" si="4"/>
        <v>1</v>
      </c>
      <c r="O454" s="7"/>
      <c r="P454" s="7"/>
      <c r="Q454" s="7"/>
      <c r="R454" s="7"/>
      <c r="S454" s="7"/>
      <c r="T454" s="7"/>
      <c r="U454" s="7"/>
      <c r="V454" s="7"/>
      <c r="W454" s="7"/>
      <c r="X454" s="7"/>
      <c r="Y454" s="7"/>
      <c r="Z454" s="7"/>
    </row>
    <row r="455">
      <c r="A455" s="37" t="s">
        <v>52</v>
      </c>
      <c r="B455" s="37" t="s">
        <v>48</v>
      </c>
      <c r="C455" s="37" t="s">
        <v>1187</v>
      </c>
      <c r="D455" s="37" t="s">
        <v>595</v>
      </c>
      <c r="E455" s="30" t="s">
        <v>1680</v>
      </c>
      <c r="F455" s="13"/>
      <c r="G455" s="13"/>
      <c r="H455" s="10"/>
      <c r="I455" s="37"/>
      <c r="J455" s="7"/>
      <c r="K455" s="7"/>
      <c r="L455" s="7"/>
      <c r="M455" s="7"/>
      <c r="N455" s="7">
        <f t="shared" si="4"/>
        <v>1</v>
      </c>
      <c r="O455" s="7"/>
      <c r="P455" s="7"/>
      <c r="Q455" s="7"/>
      <c r="R455" s="7"/>
      <c r="S455" s="7"/>
      <c r="T455" s="7"/>
      <c r="U455" s="7"/>
      <c r="V455" s="7"/>
      <c r="W455" s="7"/>
      <c r="X455" s="7"/>
      <c r="Y455" s="7"/>
      <c r="Z455" s="7"/>
    </row>
    <row r="456">
      <c r="A456" s="37" t="s">
        <v>1682</v>
      </c>
      <c r="B456" s="37" t="s">
        <v>242</v>
      </c>
      <c r="C456" s="37" t="s">
        <v>1683</v>
      </c>
      <c r="D456" s="37" t="s">
        <v>1368</v>
      </c>
      <c r="E456" s="30" t="s">
        <v>1684</v>
      </c>
      <c r="F456" s="13"/>
      <c r="G456" s="13"/>
      <c r="H456" s="10"/>
      <c r="I456" s="37"/>
      <c r="J456" s="7"/>
      <c r="K456" s="7"/>
      <c r="L456" s="7"/>
      <c r="M456" s="7"/>
      <c r="N456" s="7">
        <f t="shared" si="4"/>
        <v>1</v>
      </c>
      <c r="O456" s="7"/>
      <c r="P456" s="7"/>
      <c r="Q456" s="7"/>
      <c r="R456" s="7"/>
      <c r="S456" s="7"/>
      <c r="T456" s="7"/>
      <c r="U456" s="7"/>
      <c r="V456" s="7"/>
      <c r="W456" s="7"/>
      <c r="X456" s="7"/>
      <c r="Y456" s="7"/>
      <c r="Z456" s="7"/>
    </row>
    <row r="457">
      <c r="A457" s="37" t="s">
        <v>461</v>
      </c>
      <c r="B457" s="37" t="s">
        <v>457</v>
      </c>
      <c r="C457" s="37" t="s">
        <v>824</v>
      </c>
      <c r="D457" s="37" t="s">
        <v>1371</v>
      </c>
      <c r="E457" s="30" t="s">
        <v>1689</v>
      </c>
      <c r="F457" s="13"/>
      <c r="G457" s="13"/>
      <c r="H457" s="10"/>
      <c r="I457" s="37"/>
      <c r="J457" s="7"/>
      <c r="K457" s="7"/>
      <c r="L457" s="7"/>
      <c r="M457" s="7"/>
      <c r="N457" s="7">
        <f t="shared" si="4"/>
        <v>1</v>
      </c>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f>SUM(N434:N457)</f>
        <v>24</v>
      </c>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8" t="s">
        <v>1692</v>
      </c>
      <c r="B468" s="79"/>
      <c r="C468" s="79"/>
      <c r="D468" s="79"/>
      <c r="E468" s="79"/>
      <c r="F468" s="79"/>
      <c r="G468" s="79"/>
      <c r="H468" s="80"/>
      <c r="I468" s="7"/>
      <c r="J468" s="7"/>
      <c r="K468" s="7"/>
      <c r="L468" s="7"/>
      <c r="M468" s="7"/>
      <c r="N468" s="7"/>
      <c r="O468" s="7"/>
      <c r="P468" s="7"/>
      <c r="Q468" s="7"/>
      <c r="R468" s="7"/>
      <c r="S468" s="7"/>
      <c r="T468" s="7"/>
      <c r="U468" s="7"/>
      <c r="V468" s="7"/>
      <c r="W468" s="7"/>
      <c r="X468" s="7"/>
      <c r="Y468" s="7"/>
      <c r="Z468" s="7"/>
    </row>
    <row r="469">
      <c r="A469" s="81" t="s">
        <v>1693</v>
      </c>
      <c r="B469" s="82" t="s">
        <v>1694</v>
      </c>
      <c r="C469" s="82" t="s">
        <v>1695</v>
      </c>
      <c r="D469" s="83"/>
      <c r="E469" s="83"/>
      <c r="F469" s="83"/>
      <c r="G469" s="83"/>
      <c r="H469" s="83"/>
      <c r="I469" s="7"/>
      <c r="J469" s="7"/>
      <c r="K469" s="7"/>
      <c r="L469" s="7"/>
      <c r="M469" s="7"/>
      <c r="N469" s="7"/>
      <c r="O469" s="7"/>
      <c r="P469" s="7"/>
      <c r="Q469" s="7"/>
      <c r="R469" s="7"/>
      <c r="S469" s="7"/>
      <c r="T469" s="7"/>
      <c r="U469" s="7"/>
      <c r="V469" s="7"/>
      <c r="W469" s="7"/>
      <c r="X469" s="7"/>
      <c r="Y469" s="7"/>
      <c r="Z469" s="7"/>
    </row>
    <row r="470">
      <c r="A470" s="81" t="s">
        <v>1696</v>
      </c>
      <c r="B470" s="84" t="s">
        <v>1697</v>
      </c>
      <c r="C470" s="79"/>
      <c r="D470" s="79"/>
      <c r="E470" s="79"/>
      <c r="F470" s="79"/>
      <c r="G470" s="79"/>
      <c r="H470" s="80"/>
      <c r="I470" s="7"/>
      <c r="J470" s="7"/>
      <c r="K470" s="7"/>
      <c r="L470" s="7"/>
      <c r="M470" s="7"/>
      <c r="N470" s="7"/>
      <c r="O470" s="7"/>
      <c r="P470" s="7"/>
      <c r="Q470" s="7"/>
      <c r="R470" s="7"/>
      <c r="S470" s="7"/>
      <c r="T470" s="7"/>
      <c r="U470" s="7"/>
      <c r="V470" s="7"/>
      <c r="W470" s="7"/>
      <c r="X470" s="7"/>
      <c r="Y470" s="7"/>
      <c r="Z470" s="7"/>
    </row>
    <row r="471">
      <c r="A471" s="81" t="s">
        <v>1698</v>
      </c>
      <c r="B471" s="84" t="s">
        <v>1699</v>
      </c>
      <c r="C471" s="79"/>
      <c r="D471" s="79"/>
      <c r="E471" s="79"/>
      <c r="F471" s="79"/>
      <c r="G471" s="79"/>
      <c r="H471" s="80"/>
      <c r="I471" s="7"/>
      <c r="J471" s="7"/>
      <c r="K471" s="7"/>
      <c r="L471" s="7"/>
      <c r="M471" s="7"/>
      <c r="N471" s="7"/>
      <c r="O471" s="7"/>
      <c r="P471" s="7"/>
      <c r="Q471" s="7"/>
      <c r="R471" s="7"/>
      <c r="S471" s="7"/>
      <c r="T471" s="7"/>
      <c r="U471" s="7"/>
      <c r="V471" s="7"/>
      <c r="W471" s="7"/>
      <c r="X471" s="7"/>
      <c r="Y471" s="7"/>
      <c r="Z471" s="7"/>
    </row>
    <row r="472">
      <c r="A472" s="81" t="s">
        <v>1700</v>
      </c>
      <c r="B472" s="84" t="s">
        <v>1702</v>
      </c>
      <c r="C472" s="79"/>
      <c r="D472" s="79"/>
      <c r="E472" s="79"/>
      <c r="F472" s="79"/>
      <c r="G472" s="79"/>
      <c r="H472" s="80"/>
      <c r="I472" s="7"/>
      <c r="J472" s="7"/>
      <c r="K472" s="7"/>
      <c r="L472" s="7"/>
      <c r="M472" s="7"/>
      <c r="N472" s="7"/>
      <c r="O472" s="7"/>
      <c r="P472" s="7"/>
      <c r="Q472" s="7"/>
      <c r="R472" s="7"/>
      <c r="S472" s="7"/>
      <c r="T472" s="7"/>
      <c r="U472" s="7"/>
      <c r="V472" s="7"/>
      <c r="W472" s="7"/>
      <c r="X472" s="7"/>
      <c r="Y472" s="7"/>
      <c r="Z472" s="7"/>
    </row>
    <row r="473">
      <c r="A473" s="81" t="s">
        <v>1703</v>
      </c>
      <c r="B473" s="84" t="s">
        <v>1704</v>
      </c>
      <c r="C473" s="79"/>
      <c r="D473" s="79"/>
      <c r="E473" s="79"/>
      <c r="F473" s="79"/>
      <c r="G473" s="79"/>
      <c r="H473" s="80"/>
      <c r="I473" s="7"/>
      <c r="J473" s="7"/>
      <c r="K473" s="7"/>
      <c r="L473" s="7"/>
      <c r="M473" s="7"/>
      <c r="N473" s="7"/>
      <c r="O473" s="7"/>
      <c r="P473" s="7"/>
      <c r="Q473" s="7"/>
      <c r="R473" s="7"/>
      <c r="S473" s="7"/>
      <c r="T473" s="7"/>
      <c r="U473" s="7"/>
      <c r="V473" s="7"/>
      <c r="W473" s="7"/>
      <c r="X473" s="7"/>
      <c r="Y473" s="7"/>
      <c r="Z473" s="7"/>
    </row>
    <row r="474">
      <c r="A474" s="81" t="s">
        <v>1705</v>
      </c>
      <c r="B474" s="84" t="s">
        <v>1706</v>
      </c>
      <c r="C474" s="79"/>
      <c r="D474" s="79"/>
      <c r="E474" s="79"/>
      <c r="F474" s="79"/>
      <c r="G474" s="79"/>
      <c r="H474" s="80"/>
      <c r="I474" s="7"/>
      <c r="J474" s="7"/>
      <c r="K474" s="7"/>
      <c r="L474" s="7"/>
      <c r="M474" s="7"/>
      <c r="N474" s="7"/>
      <c r="O474" s="7"/>
      <c r="P474" s="7"/>
      <c r="Q474" s="7"/>
      <c r="R474" s="7"/>
      <c r="S474" s="7"/>
      <c r="T474" s="7"/>
      <c r="U474" s="7"/>
      <c r="V474" s="7"/>
      <c r="W474" s="7"/>
      <c r="X474" s="7"/>
      <c r="Y474" s="7"/>
      <c r="Z474" s="7"/>
    </row>
    <row r="475">
      <c r="A475" s="81" t="s">
        <v>1707</v>
      </c>
      <c r="B475" s="84" t="s">
        <v>1708</v>
      </c>
      <c r="C475" s="79"/>
      <c r="D475" s="79"/>
      <c r="E475" s="79"/>
      <c r="F475" s="79"/>
      <c r="G475" s="79"/>
      <c r="H475" s="80"/>
      <c r="I475" s="7"/>
      <c r="J475" s="7"/>
      <c r="K475" s="7"/>
      <c r="L475" s="7"/>
      <c r="M475" s="7"/>
      <c r="N475" s="7"/>
      <c r="O475" s="7"/>
      <c r="P475" s="7"/>
      <c r="Q475" s="7"/>
      <c r="R475" s="7"/>
      <c r="S475" s="7"/>
      <c r="T475" s="7"/>
      <c r="U475" s="7"/>
      <c r="V475" s="7"/>
      <c r="W475" s="7"/>
      <c r="X475" s="7"/>
      <c r="Y475" s="7"/>
      <c r="Z475" s="7"/>
    </row>
    <row r="476">
      <c r="A476" s="81" t="s">
        <v>1709</v>
      </c>
      <c r="B476" s="84" t="s">
        <v>1710</v>
      </c>
      <c r="C476" s="79"/>
      <c r="D476" s="79"/>
      <c r="E476" s="79"/>
      <c r="F476" s="79"/>
      <c r="G476" s="79"/>
      <c r="H476" s="80"/>
      <c r="I476" s="7"/>
      <c r="J476" s="7"/>
      <c r="K476" s="7"/>
      <c r="L476" s="7"/>
      <c r="M476" s="7"/>
      <c r="N476" s="7"/>
      <c r="O476" s="7"/>
      <c r="P476" s="7"/>
      <c r="Q476" s="7"/>
      <c r="R476" s="7"/>
      <c r="S476" s="7"/>
      <c r="T476" s="7"/>
      <c r="U476" s="7"/>
      <c r="V476" s="7"/>
      <c r="W476" s="7"/>
      <c r="X476" s="7"/>
      <c r="Y476" s="7"/>
      <c r="Z476" s="7"/>
    </row>
    <row r="477">
      <c r="A477" s="81" t="s">
        <v>1711</v>
      </c>
      <c r="B477" s="84" t="s">
        <v>1712</v>
      </c>
      <c r="C477" s="79"/>
      <c r="D477" s="79"/>
      <c r="E477" s="79"/>
      <c r="F477" s="79"/>
      <c r="G477" s="79"/>
      <c r="H477" s="80"/>
      <c r="I477" s="7"/>
      <c r="J477" s="7"/>
      <c r="K477" s="7"/>
      <c r="L477" s="7"/>
      <c r="M477" s="7"/>
      <c r="N477" s="7"/>
      <c r="O477" s="7"/>
      <c r="P477" s="7"/>
      <c r="Q477" s="7"/>
      <c r="R477" s="7"/>
      <c r="S477" s="7"/>
      <c r="T477" s="7"/>
      <c r="U477" s="7"/>
      <c r="V477" s="7"/>
      <c r="W477" s="7"/>
      <c r="X477" s="7"/>
      <c r="Y477" s="7"/>
      <c r="Z477" s="7"/>
    </row>
    <row r="478">
      <c r="A478" s="81" t="s">
        <v>1713</v>
      </c>
      <c r="B478" s="84" t="s">
        <v>1714</v>
      </c>
      <c r="C478" s="79"/>
      <c r="D478" s="79"/>
      <c r="E478" s="79"/>
      <c r="F478" s="79"/>
      <c r="G478" s="79"/>
      <c r="H478" s="80"/>
      <c r="I478" s="7"/>
      <c r="J478" s="7"/>
      <c r="K478" s="7"/>
      <c r="L478" s="7"/>
      <c r="M478" s="7"/>
      <c r="N478" s="7"/>
      <c r="O478" s="7"/>
      <c r="P478" s="7"/>
      <c r="Q478" s="7"/>
      <c r="R478" s="7"/>
      <c r="S478" s="7"/>
      <c r="T478" s="7"/>
      <c r="U478" s="7"/>
      <c r="V478" s="7"/>
      <c r="W478" s="7"/>
      <c r="X478" s="7"/>
      <c r="Y478" s="7"/>
      <c r="Z478" s="7"/>
    </row>
    <row r="479">
      <c r="A479" s="78" t="s">
        <v>1715</v>
      </c>
      <c r="B479" s="79"/>
      <c r="C479" s="79"/>
      <c r="D479" s="79"/>
      <c r="E479" s="79"/>
      <c r="F479" s="79"/>
      <c r="G479" s="79"/>
      <c r="H479" s="80"/>
      <c r="I479" s="7"/>
      <c r="J479" s="7"/>
      <c r="K479" s="7"/>
      <c r="L479" s="7"/>
      <c r="M479" s="7"/>
      <c r="N479" s="7"/>
      <c r="O479" s="7"/>
      <c r="P479" s="7"/>
      <c r="Q479" s="7"/>
      <c r="R479" s="7"/>
      <c r="S479" s="7"/>
      <c r="T479" s="7"/>
      <c r="U479" s="7"/>
      <c r="V479" s="7"/>
      <c r="W479" s="7"/>
      <c r="X479" s="7"/>
      <c r="Y479" s="7"/>
      <c r="Z479" s="7"/>
    </row>
    <row r="480">
      <c r="A480" s="85" t="s">
        <v>1716</v>
      </c>
      <c r="B480" s="79"/>
      <c r="C480" s="79"/>
      <c r="D480" s="79"/>
      <c r="E480" s="79"/>
      <c r="F480" s="79"/>
      <c r="G480" s="79"/>
      <c r="H480" s="80"/>
      <c r="I480" s="7"/>
      <c r="J480" s="7"/>
      <c r="K480" s="7"/>
      <c r="L480" s="7"/>
      <c r="M480" s="7"/>
      <c r="N480" s="7"/>
      <c r="O480" s="7"/>
      <c r="P480" s="7"/>
      <c r="Q480" s="7"/>
      <c r="R480" s="7"/>
      <c r="S480" s="7"/>
      <c r="T480" s="7"/>
      <c r="U480" s="7"/>
      <c r="V480" s="7"/>
      <c r="W480" s="7"/>
      <c r="X480" s="7"/>
      <c r="Y480" s="7"/>
      <c r="Z480" s="7"/>
    </row>
    <row r="481">
      <c r="A481" s="78" t="s">
        <v>1717</v>
      </c>
      <c r="B481" s="79"/>
      <c r="C481" s="79"/>
      <c r="D481" s="79"/>
      <c r="E481" s="79"/>
      <c r="F481" s="79"/>
      <c r="G481" s="79"/>
      <c r="H481" s="80"/>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I483" s="7"/>
      <c r="J483" s="7"/>
      <c r="K483" s="7"/>
      <c r="L483" s="7"/>
      <c r="M483" s="7"/>
      <c r="N483" s="7"/>
      <c r="O483" s="7"/>
    </row>
    <row r="484">
      <c r="I484" s="7"/>
      <c r="J484" s="7"/>
      <c r="K484" s="7"/>
      <c r="L484" s="7"/>
      <c r="M484" s="7"/>
      <c r="N484" s="7"/>
      <c r="O484" s="7"/>
    </row>
    <row r="485">
      <c r="I485" s="7"/>
      <c r="J485" s="7"/>
      <c r="K485" s="7"/>
      <c r="L485" s="7"/>
      <c r="M485" s="7"/>
      <c r="N485" s="7"/>
      <c r="O485" s="7"/>
    </row>
    <row r="486">
      <c r="I486" s="7"/>
      <c r="J486" s="7"/>
      <c r="K486" s="7"/>
      <c r="L486" s="7"/>
      <c r="M486" s="7"/>
      <c r="N486" s="7"/>
      <c r="O486" s="7"/>
    </row>
    <row r="487">
      <c r="I487" s="7"/>
      <c r="J487" s="7"/>
      <c r="K487" s="7"/>
      <c r="L487" s="7"/>
      <c r="M487" s="7"/>
      <c r="N487" s="7"/>
      <c r="O487" s="7"/>
    </row>
    <row r="488">
      <c r="I488" s="7"/>
      <c r="J488" s="7"/>
      <c r="K488" s="7"/>
      <c r="L488" s="7"/>
      <c r="M488" s="7"/>
      <c r="N488" s="7"/>
      <c r="O488" s="7"/>
    </row>
    <row r="489">
      <c r="I489" s="7"/>
      <c r="J489" s="7"/>
      <c r="K489" s="7"/>
      <c r="L489" s="7"/>
      <c r="M489" s="7"/>
      <c r="N489" s="7"/>
      <c r="O489" s="7"/>
    </row>
    <row r="490">
      <c r="I490" s="7"/>
      <c r="J490" s="7"/>
      <c r="K490" s="7"/>
      <c r="L490" s="7"/>
      <c r="M490" s="7"/>
      <c r="N490" s="7"/>
      <c r="O490" s="7"/>
    </row>
    <row r="491">
      <c r="I491" s="7"/>
      <c r="J491" s="7"/>
      <c r="K491" s="7"/>
      <c r="L491" s="7"/>
      <c r="M491" s="7"/>
      <c r="N491" s="7"/>
      <c r="O491" s="7"/>
    </row>
    <row r="492">
      <c r="I492" s="7"/>
      <c r="J492" s="7"/>
      <c r="K492" s="7"/>
      <c r="L492" s="7"/>
      <c r="M492" s="7"/>
      <c r="N492" s="7"/>
      <c r="O492" s="7"/>
    </row>
    <row r="493">
      <c r="I493" s="7"/>
      <c r="J493" s="7"/>
      <c r="K493" s="7"/>
      <c r="L493" s="7"/>
      <c r="M493" s="7"/>
      <c r="N493" s="7"/>
      <c r="O493" s="7"/>
    </row>
    <row r="494">
      <c r="I494" s="7"/>
      <c r="J494" s="7"/>
      <c r="K494" s="7"/>
      <c r="L494" s="7"/>
      <c r="M494" s="7"/>
      <c r="N494" s="7"/>
      <c r="O494" s="7"/>
    </row>
    <row r="495">
      <c r="I495" s="7"/>
      <c r="J495" s="7"/>
      <c r="K495" s="7"/>
      <c r="L495" s="7"/>
      <c r="M495" s="7"/>
      <c r="N495" s="7"/>
      <c r="O495" s="7"/>
    </row>
    <row r="496">
      <c r="I496" s="7"/>
      <c r="J496" s="7"/>
      <c r="K496" s="7"/>
      <c r="L496" s="7"/>
      <c r="M496" s="7"/>
      <c r="N496" s="7"/>
      <c r="O496" s="7"/>
    </row>
    <row r="497">
      <c r="I497" s="7"/>
      <c r="J497" s="7"/>
      <c r="K497" s="7"/>
      <c r="L497" s="7"/>
      <c r="M497" s="7"/>
      <c r="N497" s="7"/>
      <c r="O497" s="7"/>
    </row>
    <row r="498">
      <c r="I498" s="7"/>
      <c r="J498" s="7"/>
      <c r="K498" s="7"/>
      <c r="L498" s="7"/>
      <c r="M498" s="7"/>
      <c r="N498" s="7"/>
      <c r="O498" s="7"/>
    </row>
    <row r="499">
      <c r="I499" s="7"/>
      <c r="J499" s="7"/>
      <c r="K499" s="7"/>
      <c r="L499" s="7"/>
      <c r="M499" s="7"/>
      <c r="N499" s="7"/>
      <c r="O499" s="7"/>
    </row>
    <row r="500">
      <c r="I500" s="7"/>
      <c r="J500" s="7"/>
      <c r="K500" s="7"/>
      <c r="L500" s="7"/>
      <c r="M500" s="7"/>
      <c r="N500" s="7"/>
      <c r="O500" s="7"/>
    </row>
    <row r="501">
      <c r="I501" s="7"/>
      <c r="J501" s="7"/>
      <c r="K501" s="7"/>
      <c r="L501" s="7"/>
      <c r="M501" s="7"/>
      <c r="N501" s="7"/>
      <c r="O501" s="7"/>
    </row>
    <row r="502">
      <c r="I502" s="7"/>
      <c r="J502" s="7"/>
      <c r="K502" s="7"/>
      <c r="L502" s="7"/>
      <c r="M502" s="7"/>
      <c r="N502" s="7"/>
      <c r="O502" s="7"/>
    </row>
    <row r="503">
      <c r="I503" s="7"/>
      <c r="J503" s="7"/>
      <c r="K503" s="7"/>
      <c r="L503" s="7"/>
      <c r="M503" s="7"/>
      <c r="N503" s="7"/>
      <c r="O503" s="7"/>
    </row>
    <row r="504">
      <c r="I504" s="7"/>
      <c r="J504" s="7"/>
      <c r="K504" s="7"/>
      <c r="L504" s="7"/>
      <c r="M504" s="7"/>
      <c r="N504" s="7"/>
      <c r="O504" s="7"/>
    </row>
    <row r="505">
      <c r="I505" s="7"/>
      <c r="J505" s="7"/>
      <c r="K505" s="7"/>
      <c r="L505" s="7"/>
      <c r="M505" s="7"/>
      <c r="N505" s="7"/>
      <c r="O505" s="7"/>
    </row>
    <row r="506">
      <c r="I506" s="7"/>
      <c r="J506" s="7"/>
      <c r="K506" s="7"/>
      <c r="L506" s="7"/>
      <c r="M506" s="7"/>
      <c r="N506" s="7"/>
      <c r="O506" s="7"/>
    </row>
    <row r="507">
      <c r="I507" s="7"/>
      <c r="J507" s="7"/>
      <c r="K507" s="7"/>
      <c r="L507" s="7"/>
      <c r="M507" s="7"/>
      <c r="N507" s="7"/>
      <c r="O507" s="7"/>
    </row>
    <row r="508">
      <c r="I508" s="7"/>
      <c r="J508" s="7"/>
      <c r="K508" s="7"/>
      <c r="L508" s="7"/>
      <c r="M508" s="7"/>
      <c r="N508" s="7"/>
      <c r="O508" s="7"/>
    </row>
    <row r="509">
      <c r="I509" s="7"/>
      <c r="J509" s="7"/>
      <c r="K509" s="7"/>
      <c r="L509" s="7"/>
      <c r="M509" s="7"/>
      <c r="N509" s="7"/>
      <c r="O509" s="7"/>
    </row>
    <row r="510">
      <c r="I510" s="7"/>
      <c r="J510" s="7"/>
      <c r="K510" s="7"/>
      <c r="L510" s="7"/>
      <c r="M510" s="7"/>
      <c r="N510" s="7"/>
      <c r="O510" s="7"/>
    </row>
    <row r="511">
      <c r="I511" s="7"/>
      <c r="J511" s="7"/>
      <c r="K511" s="7"/>
      <c r="L511" s="7"/>
      <c r="M511" s="7"/>
      <c r="N511" s="7"/>
      <c r="O511" s="7"/>
    </row>
    <row r="512">
      <c r="I512" s="7"/>
      <c r="J512" s="7"/>
      <c r="K512" s="7"/>
      <c r="L512" s="7"/>
      <c r="M512" s="7"/>
      <c r="N512" s="7"/>
      <c r="O512" s="7"/>
    </row>
    <row r="513">
      <c r="I513" s="7"/>
      <c r="J513" s="7"/>
      <c r="K513" s="7"/>
      <c r="L513" s="7"/>
      <c r="M513" s="7"/>
      <c r="N513" s="7"/>
      <c r="O513" s="7"/>
    </row>
    <row r="514">
      <c r="I514" s="7"/>
      <c r="J514" s="7"/>
      <c r="K514" s="7"/>
      <c r="L514" s="7"/>
      <c r="M514" s="7"/>
      <c r="N514" s="7"/>
      <c r="O514" s="7"/>
    </row>
    <row r="515">
      <c r="I515" s="7"/>
      <c r="J515" s="7"/>
      <c r="K515" s="7"/>
      <c r="L515" s="7"/>
      <c r="M515" s="7"/>
      <c r="N515" s="7"/>
      <c r="O515" s="7"/>
    </row>
    <row r="516">
      <c r="I516" s="7"/>
      <c r="J516" s="7"/>
      <c r="K516" s="7"/>
      <c r="L516" s="7"/>
      <c r="M516" s="7"/>
      <c r="N516" s="7"/>
      <c r="O516" s="7"/>
    </row>
    <row r="517">
      <c r="I517" s="7"/>
      <c r="J517" s="7"/>
      <c r="K517" s="7"/>
      <c r="L517" s="7"/>
      <c r="M517" s="7"/>
      <c r="N517" s="7"/>
      <c r="O517" s="7"/>
    </row>
    <row r="518">
      <c r="I518" s="7"/>
      <c r="J518" s="7"/>
      <c r="K518" s="7"/>
      <c r="L518" s="7"/>
      <c r="M518" s="7"/>
      <c r="N518" s="7"/>
      <c r="O518" s="7"/>
    </row>
    <row r="519">
      <c r="I519" s="7"/>
      <c r="J519" s="7"/>
      <c r="K519" s="7"/>
      <c r="L519" s="7"/>
      <c r="M519" s="7"/>
      <c r="N519" s="7"/>
      <c r="O519" s="7"/>
    </row>
    <row r="520">
      <c r="I520" s="7"/>
      <c r="J520" s="7"/>
      <c r="K520" s="7"/>
      <c r="L520" s="7"/>
      <c r="M520" s="7"/>
      <c r="N520" s="7"/>
      <c r="O520" s="7"/>
    </row>
    <row r="521">
      <c r="I521" s="7"/>
      <c r="J521" s="7"/>
      <c r="K521" s="7"/>
      <c r="L521" s="7"/>
      <c r="M521" s="7"/>
      <c r="N521" s="7"/>
      <c r="O521" s="7"/>
    </row>
    <row r="522">
      <c r="I522" s="7"/>
      <c r="J522" s="7"/>
      <c r="K522" s="7"/>
      <c r="L522" s="7"/>
      <c r="M522" s="7"/>
      <c r="N522" s="7"/>
      <c r="O522" s="7"/>
    </row>
    <row r="523">
      <c r="I523" s="7"/>
      <c r="J523" s="7"/>
      <c r="K523" s="7"/>
      <c r="L523" s="7"/>
      <c r="M523" s="7"/>
      <c r="N523" s="7"/>
      <c r="O523" s="7"/>
    </row>
    <row r="524">
      <c r="I524" s="7"/>
      <c r="J524" s="7"/>
      <c r="K524" s="7"/>
      <c r="L524" s="7"/>
      <c r="M524" s="7"/>
      <c r="N524" s="7"/>
      <c r="O524" s="7"/>
    </row>
    <row r="525">
      <c r="I525" s="7"/>
      <c r="J525" s="7"/>
      <c r="K525" s="7"/>
      <c r="L525" s="7"/>
      <c r="M525" s="7"/>
      <c r="N525" s="7"/>
      <c r="O525" s="7"/>
    </row>
    <row r="526">
      <c r="I526" s="7"/>
      <c r="J526" s="7"/>
      <c r="K526" s="7"/>
      <c r="L526" s="7"/>
      <c r="M526" s="7"/>
      <c r="N526" s="7"/>
      <c r="O526" s="7"/>
    </row>
    <row r="527">
      <c r="I527" s="7"/>
      <c r="J527" s="7"/>
      <c r="K527" s="7"/>
      <c r="L527" s="7"/>
      <c r="M527" s="7"/>
      <c r="N527" s="7"/>
      <c r="O527" s="7"/>
    </row>
    <row r="528">
      <c r="I528" s="7"/>
      <c r="J528" s="7"/>
      <c r="K528" s="7"/>
      <c r="L528" s="7"/>
      <c r="M528" s="7"/>
      <c r="N528" s="7"/>
      <c r="O528" s="7"/>
    </row>
    <row r="529">
      <c r="I529" s="7"/>
      <c r="J529" s="7"/>
      <c r="K529" s="7"/>
      <c r="L529" s="7"/>
      <c r="M529" s="7"/>
      <c r="N529" s="7"/>
      <c r="O529" s="7"/>
    </row>
    <row r="530">
      <c r="I530" s="7"/>
      <c r="J530" s="7"/>
      <c r="K530" s="7"/>
      <c r="L530" s="7"/>
      <c r="M530" s="7"/>
      <c r="N530" s="7"/>
      <c r="O530" s="7"/>
    </row>
    <row r="531">
      <c r="I531" s="7"/>
      <c r="J531" s="7"/>
      <c r="K531" s="7"/>
      <c r="L531" s="7"/>
      <c r="M531" s="7"/>
      <c r="N531" s="7"/>
      <c r="O531" s="7"/>
    </row>
    <row r="532">
      <c r="I532" s="7"/>
      <c r="J532" s="7"/>
      <c r="K532" s="7"/>
      <c r="L532" s="7"/>
      <c r="M532" s="7"/>
      <c r="N532" s="7"/>
      <c r="O532" s="7"/>
    </row>
    <row r="533">
      <c r="I533" s="7"/>
      <c r="J533" s="7"/>
      <c r="K533" s="7"/>
      <c r="L533" s="7"/>
      <c r="M533" s="7"/>
      <c r="N533" s="7"/>
      <c r="O533" s="7"/>
    </row>
    <row r="534">
      <c r="I534" s="7"/>
      <c r="J534" s="7"/>
      <c r="K534" s="7"/>
      <c r="L534" s="7"/>
      <c r="M534" s="7"/>
      <c r="N534" s="7"/>
      <c r="O534" s="7"/>
    </row>
    <row r="535">
      <c r="I535" s="7"/>
      <c r="J535" s="7"/>
      <c r="K535" s="7"/>
      <c r="L535" s="7"/>
      <c r="M535" s="7"/>
      <c r="N535" s="7"/>
      <c r="O535" s="7"/>
    </row>
    <row r="536">
      <c r="I536" s="7"/>
      <c r="J536" s="7"/>
      <c r="K536" s="7"/>
      <c r="L536" s="7"/>
      <c r="M536" s="7"/>
      <c r="N536" s="7"/>
      <c r="O536" s="7"/>
    </row>
    <row r="537">
      <c r="I537" s="7"/>
      <c r="J537" s="7"/>
      <c r="K537" s="7"/>
      <c r="L537" s="7"/>
      <c r="M537" s="7"/>
      <c r="N537" s="7"/>
      <c r="O537" s="7"/>
    </row>
    <row r="538">
      <c r="I538" s="7"/>
      <c r="J538" s="7"/>
      <c r="K538" s="7"/>
      <c r="L538" s="7"/>
      <c r="M538" s="7"/>
      <c r="N538" s="7"/>
      <c r="O538" s="7"/>
    </row>
    <row r="539">
      <c r="I539" s="7"/>
      <c r="J539" s="7"/>
      <c r="K539" s="7"/>
      <c r="L539" s="7"/>
      <c r="M539" s="7"/>
      <c r="N539" s="7"/>
      <c r="O539" s="7"/>
    </row>
    <row r="540">
      <c r="I540" s="7"/>
      <c r="J540" s="7"/>
      <c r="K540" s="7"/>
      <c r="L540" s="7"/>
      <c r="M540" s="7"/>
      <c r="N540" s="7"/>
      <c r="O540" s="7"/>
    </row>
    <row r="541">
      <c r="I541" s="7"/>
      <c r="J541" s="7"/>
      <c r="K541" s="7"/>
      <c r="L541" s="7"/>
      <c r="M541" s="7"/>
      <c r="N541" s="7"/>
      <c r="O541" s="7"/>
    </row>
    <row r="542">
      <c r="I542" s="7"/>
      <c r="J542" s="7"/>
      <c r="K542" s="7"/>
      <c r="L542" s="7"/>
      <c r="M542" s="7"/>
      <c r="N542" s="7"/>
      <c r="O542" s="7"/>
    </row>
    <row r="543">
      <c r="I543" s="7"/>
      <c r="J543" s="7"/>
      <c r="K543" s="7"/>
      <c r="L543" s="7"/>
      <c r="M543" s="7"/>
      <c r="N543" s="7"/>
      <c r="O543" s="7"/>
    </row>
    <row r="544">
      <c r="I544" s="7"/>
      <c r="J544" s="7"/>
      <c r="K544" s="7"/>
      <c r="L544" s="7"/>
      <c r="M544" s="7"/>
      <c r="N544" s="7"/>
      <c r="O544" s="7"/>
    </row>
    <row r="545">
      <c r="I545" s="7"/>
      <c r="J545" s="7"/>
      <c r="K545" s="7"/>
      <c r="L545" s="7"/>
      <c r="M545" s="7"/>
      <c r="N545" s="7"/>
      <c r="O545" s="7"/>
    </row>
    <row r="546">
      <c r="I546" s="7"/>
      <c r="J546" s="7"/>
      <c r="K546" s="7"/>
      <c r="L546" s="7"/>
      <c r="M546" s="7"/>
      <c r="N546" s="7"/>
      <c r="O546" s="7"/>
    </row>
    <row r="547">
      <c r="I547" s="7"/>
      <c r="J547" s="7"/>
      <c r="K547" s="7"/>
      <c r="L547" s="7"/>
      <c r="M547" s="7"/>
      <c r="N547" s="7"/>
      <c r="O547" s="7"/>
    </row>
    <row r="548">
      <c r="I548" s="7"/>
      <c r="J548" s="7"/>
      <c r="K548" s="7"/>
      <c r="L548" s="7"/>
      <c r="M548" s="7"/>
      <c r="N548" s="7"/>
      <c r="O548" s="7"/>
    </row>
    <row r="549">
      <c r="I549" s="7"/>
      <c r="J549" s="7"/>
      <c r="K549" s="7"/>
      <c r="L549" s="7"/>
      <c r="M549" s="7"/>
      <c r="N549" s="7"/>
      <c r="O549" s="7"/>
    </row>
    <row r="550">
      <c r="I550" s="7"/>
      <c r="J550" s="7"/>
      <c r="K550" s="7"/>
      <c r="L550" s="7"/>
      <c r="M550" s="7"/>
      <c r="N550" s="7"/>
      <c r="O550" s="7"/>
    </row>
    <row r="551">
      <c r="I551" s="7"/>
      <c r="J551" s="7"/>
      <c r="K551" s="7"/>
      <c r="L551" s="7"/>
      <c r="M551" s="7"/>
      <c r="N551" s="7"/>
      <c r="O551" s="7"/>
    </row>
    <row r="552">
      <c r="I552" s="7"/>
      <c r="J552" s="7"/>
      <c r="K552" s="7"/>
      <c r="L552" s="7"/>
      <c r="M552" s="7"/>
      <c r="N552" s="7"/>
      <c r="O552" s="7"/>
    </row>
    <row r="553">
      <c r="I553" s="7"/>
      <c r="J553" s="7"/>
      <c r="K553" s="7"/>
      <c r="L553" s="7"/>
      <c r="M553" s="7"/>
      <c r="N553" s="7"/>
      <c r="O553" s="7"/>
    </row>
    <row r="554">
      <c r="I554" s="7"/>
      <c r="J554" s="7"/>
      <c r="K554" s="7"/>
      <c r="L554" s="7"/>
      <c r="M554" s="7"/>
      <c r="N554" s="7"/>
      <c r="O554" s="7"/>
    </row>
    <row r="555">
      <c r="I555" s="7"/>
      <c r="J555" s="7"/>
      <c r="K555" s="7"/>
      <c r="L555" s="7"/>
      <c r="M555" s="7"/>
      <c r="N555" s="7"/>
      <c r="O555" s="7"/>
    </row>
    <row r="556">
      <c r="I556" s="7"/>
      <c r="J556" s="7"/>
      <c r="K556" s="7"/>
      <c r="L556" s="7"/>
      <c r="M556" s="7"/>
      <c r="N556" s="7"/>
      <c r="O556" s="7"/>
    </row>
    <row r="557">
      <c r="I557" s="7"/>
      <c r="J557" s="7"/>
      <c r="K557" s="7"/>
      <c r="L557" s="7"/>
      <c r="M557" s="7"/>
      <c r="N557" s="7"/>
      <c r="O557" s="7"/>
    </row>
    <row r="558">
      <c r="I558" s="7"/>
      <c r="J558" s="7"/>
      <c r="K558" s="7"/>
      <c r="L558" s="7"/>
      <c r="M558" s="7"/>
      <c r="N558" s="7"/>
      <c r="O558" s="7"/>
    </row>
    <row r="559">
      <c r="I559" s="7"/>
      <c r="J559" s="7"/>
      <c r="K559" s="7"/>
      <c r="L559" s="7"/>
      <c r="M559" s="7"/>
      <c r="N559" s="7"/>
      <c r="O559" s="7"/>
    </row>
    <row r="560">
      <c r="I560" s="7"/>
      <c r="J560" s="7"/>
      <c r="K560" s="7"/>
      <c r="L560" s="7"/>
      <c r="M560" s="7"/>
      <c r="N560" s="7"/>
      <c r="O560" s="7"/>
    </row>
    <row r="561">
      <c r="I561" s="7"/>
      <c r="J561" s="7"/>
      <c r="K561" s="7"/>
      <c r="L561" s="7"/>
      <c r="M561" s="7"/>
      <c r="N561" s="7"/>
      <c r="O561" s="7"/>
    </row>
    <row r="562">
      <c r="I562" s="7"/>
      <c r="J562" s="7"/>
      <c r="K562" s="7"/>
      <c r="L562" s="7"/>
      <c r="M562" s="7"/>
      <c r="N562" s="7"/>
      <c r="O562" s="7"/>
    </row>
    <row r="563">
      <c r="I563" s="7"/>
      <c r="J563" s="7"/>
      <c r="K563" s="7"/>
      <c r="L563" s="7"/>
      <c r="M563" s="7"/>
      <c r="N563" s="7"/>
      <c r="O563" s="7"/>
    </row>
    <row r="564">
      <c r="I564" s="7"/>
      <c r="J564" s="7"/>
      <c r="K564" s="7"/>
      <c r="L564" s="7"/>
      <c r="M564" s="7"/>
      <c r="N564" s="7"/>
      <c r="O564" s="7"/>
    </row>
    <row r="565">
      <c r="I565" s="7"/>
      <c r="J565" s="7"/>
      <c r="K565" s="7"/>
      <c r="L565" s="7"/>
      <c r="M565" s="7"/>
      <c r="N565" s="7"/>
      <c r="O565" s="7"/>
    </row>
    <row r="566">
      <c r="I566" s="7"/>
      <c r="J566" s="7"/>
      <c r="K566" s="7"/>
      <c r="L566" s="7"/>
      <c r="M566" s="7"/>
      <c r="N566" s="7"/>
      <c r="O566" s="7"/>
    </row>
    <row r="567">
      <c r="I567" s="7"/>
      <c r="J567" s="7"/>
      <c r="K567" s="7"/>
      <c r="L567" s="7"/>
      <c r="M567" s="7"/>
      <c r="N567" s="7"/>
      <c r="O567" s="7"/>
    </row>
    <row r="568">
      <c r="I568" s="7"/>
      <c r="J568" s="7"/>
      <c r="K568" s="7"/>
      <c r="L568" s="7"/>
      <c r="M568" s="7"/>
      <c r="N568" s="7"/>
      <c r="O568" s="7"/>
    </row>
    <row r="569">
      <c r="I569" s="7"/>
      <c r="J569" s="7"/>
      <c r="K569" s="7"/>
      <c r="L569" s="7"/>
      <c r="M569" s="7"/>
      <c r="N569" s="7"/>
      <c r="O569" s="7"/>
    </row>
    <row r="570">
      <c r="I570" s="7"/>
      <c r="J570" s="7"/>
      <c r="K570" s="7"/>
      <c r="L570" s="7"/>
      <c r="M570" s="7"/>
      <c r="N570" s="7"/>
      <c r="O570" s="7"/>
    </row>
    <row r="571">
      <c r="I571" s="7"/>
      <c r="J571" s="7"/>
      <c r="K571" s="7"/>
      <c r="L571" s="7"/>
      <c r="M571" s="7"/>
      <c r="N571" s="7"/>
      <c r="O571" s="7"/>
    </row>
    <row r="572">
      <c r="I572" s="7"/>
      <c r="J572" s="7"/>
      <c r="K572" s="7"/>
      <c r="L572" s="7"/>
      <c r="M572" s="7"/>
      <c r="N572" s="7"/>
      <c r="O572" s="7"/>
    </row>
    <row r="573">
      <c r="I573" s="7"/>
      <c r="J573" s="7"/>
      <c r="K573" s="7"/>
      <c r="L573" s="7"/>
      <c r="M573" s="7"/>
      <c r="N573" s="7"/>
      <c r="O573" s="7"/>
    </row>
    <row r="574">
      <c r="I574" s="7"/>
      <c r="J574" s="7"/>
      <c r="K574" s="7"/>
      <c r="L574" s="7"/>
      <c r="M574" s="7"/>
      <c r="N574" s="7"/>
      <c r="O574" s="7"/>
    </row>
    <row r="575">
      <c r="I575" s="7"/>
      <c r="J575" s="7"/>
      <c r="K575" s="7"/>
      <c r="L575" s="7"/>
      <c r="M575" s="7"/>
      <c r="N575" s="7"/>
      <c r="O575" s="7"/>
    </row>
    <row r="576">
      <c r="I576" s="7"/>
      <c r="J576" s="7"/>
      <c r="K576" s="7"/>
      <c r="L576" s="7"/>
      <c r="M576" s="7"/>
      <c r="N576" s="7"/>
      <c r="O576" s="7"/>
    </row>
    <row r="577">
      <c r="I577" s="7"/>
      <c r="J577" s="7"/>
      <c r="K577" s="7"/>
      <c r="L577" s="7"/>
      <c r="M577" s="7"/>
      <c r="N577" s="7"/>
      <c r="O577" s="7"/>
    </row>
    <row r="578">
      <c r="I578" s="7"/>
      <c r="J578" s="7"/>
      <c r="K578" s="7"/>
      <c r="L578" s="7"/>
      <c r="M578" s="7"/>
      <c r="N578" s="7"/>
      <c r="O578" s="7"/>
    </row>
    <row r="579">
      <c r="I579" s="7"/>
      <c r="J579" s="7"/>
      <c r="K579" s="7"/>
      <c r="L579" s="7"/>
      <c r="M579" s="7"/>
      <c r="N579" s="7"/>
      <c r="O579" s="7"/>
    </row>
    <row r="580">
      <c r="I580" s="7"/>
      <c r="J580" s="7"/>
      <c r="K580" s="7"/>
      <c r="L580" s="7"/>
      <c r="M580" s="7"/>
      <c r="N580" s="7"/>
      <c r="O580" s="7"/>
    </row>
    <row r="581">
      <c r="I581" s="7"/>
      <c r="J581" s="7"/>
      <c r="K581" s="7"/>
      <c r="L581" s="7"/>
      <c r="M581" s="7"/>
      <c r="N581" s="7"/>
      <c r="O581" s="7"/>
    </row>
    <row r="582">
      <c r="I582" s="7"/>
      <c r="J582" s="7"/>
      <c r="K582" s="7"/>
      <c r="L582" s="7"/>
      <c r="M582" s="7"/>
      <c r="N582" s="7"/>
      <c r="O582" s="7"/>
    </row>
    <row r="583">
      <c r="I583" s="7"/>
      <c r="J583" s="7"/>
      <c r="K583" s="7"/>
      <c r="L583" s="7"/>
      <c r="M583" s="7"/>
      <c r="N583" s="7"/>
      <c r="O583" s="7"/>
    </row>
    <row r="584">
      <c r="I584" s="7"/>
      <c r="J584" s="7"/>
      <c r="K584" s="7"/>
      <c r="L584" s="7"/>
      <c r="M584" s="7"/>
      <c r="N584" s="7"/>
      <c r="O584" s="7"/>
    </row>
    <row r="585">
      <c r="I585" s="7"/>
      <c r="J585" s="7"/>
      <c r="K585" s="7"/>
      <c r="L585" s="7"/>
      <c r="M585" s="7"/>
      <c r="N585" s="7"/>
      <c r="O585" s="7"/>
    </row>
    <row r="586">
      <c r="I586" s="7"/>
      <c r="J586" s="7"/>
      <c r="K586" s="7"/>
      <c r="L586" s="7"/>
      <c r="M586" s="7"/>
      <c r="N586" s="7"/>
      <c r="O586" s="7"/>
    </row>
    <row r="587">
      <c r="I587" s="7"/>
      <c r="J587" s="7"/>
      <c r="K587" s="7"/>
      <c r="L587" s="7"/>
      <c r="M587" s="7"/>
      <c r="N587" s="7"/>
      <c r="O587" s="7"/>
    </row>
    <row r="588">
      <c r="I588" s="7"/>
      <c r="J588" s="7"/>
      <c r="K588" s="7"/>
      <c r="L588" s="7"/>
      <c r="M588" s="7"/>
      <c r="N588" s="7"/>
      <c r="O588" s="7"/>
    </row>
    <row r="589">
      <c r="I589" s="7"/>
      <c r="J589" s="7"/>
      <c r="K589" s="7"/>
      <c r="L589" s="7"/>
      <c r="M589" s="7"/>
      <c r="N589" s="7"/>
      <c r="O589" s="7"/>
    </row>
    <row r="590">
      <c r="I590" s="7"/>
      <c r="J590" s="7"/>
      <c r="K590" s="7"/>
      <c r="L590" s="7"/>
      <c r="M590" s="7"/>
      <c r="N590" s="7"/>
      <c r="O590" s="7"/>
    </row>
    <row r="591">
      <c r="I591" s="7"/>
      <c r="J591" s="7"/>
      <c r="K591" s="7"/>
      <c r="L591" s="7"/>
      <c r="M591" s="7"/>
      <c r="N591" s="7"/>
      <c r="O591" s="7"/>
    </row>
    <row r="592">
      <c r="I592" s="7"/>
      <c r="J592" s="7"/>
      <c r="K592" s="7"/>
      <c r="L592" s="7"/>
      <c r="M592" s="7"/>
      <c r="N592" s="7"/>
      <c r="O592" s="7"/>
    </row>
    <row r="593">
      <c r="I593" s="7"/>
      <c r="J593" s="7"/>
      <c r="K593" s="7"/>
      <c r="L593" s="7"/>
      <c r="M593" s="7"/>
      <c r="N593" s="7"/>
      <c r="O593" s="7"/>
    </row>
    <row r="594">
      <c r="I594" s="7"/>
      <c r="J594" s="7"/>
      <c r="K594" s="7"/>
      <c r="L594" s="7"/>
      <c r="M594" s="7"/>
      <c r="N594" s="7"/>
      <c r="O594" s="7"/>
    </row>
    <row r="595">
      <c r="I595" s="7"/>
      <c r="J595" s="7"/>
      <c r="K595" s="7"/>
      <c r="L595" s="7"/>
      <c r="M595" s="7"/>
      <c r="N595" s="7"/>
      <c r="O595" s="7"/>
    </row>
    <row r="596">
      <c r="I596" s="7"/>
      <c r="J596" s="7"/>
      <c r="K596" s="7"/>
      <c r="L596" s="7"/>
      <c r="M596" s="7"/>
      <c r="N596" s="7"/>
      <c r="O596" s="7"/>
    </row>
    <row r="597">
      <c r="I597" s="7"/>
      <c r="J597" s="7"/>
      <c r="K597" s="7"/>
      <c r="L597" s="7"/>
      <c r="M597" s="7"/>
      <c r="N597" s="7"/>
      <c r="O597" s="7"/>
    </row>
    <row r="598">
      <c r="I598" s="7"/>
      <c r="J598" s="7"/>
      <c r="K598" s="7"/>
      <c r="L598" s="7"/>
      <c r="M598" s="7"/>
      <c r="N598" s="7"/>
      <c r="O598" s="7"/>
    </row>
    <row r="599">
      <c r="I599" s="7"/>
      <c r="J599" s="7"/>
      <c r="K599" s="7"/>
      <c r="L599" s="7"/>
      <c r="M599" s="7"/>
      <c r="N599" s="7"/>
      <c r="O599" s="7"/>
    </row>
    <row r="600">
      <c r="I600" s="7"/>
      <c r="J600" s="7"/>
      <c r="K600" s="7"/>
      <c r="L600" s="7"/>
      <c r="M600" s="7"/>
      <c r="N600" s="7"/>
      <c r="O600" s="7"/>
    </row>
    <row r="601">
      <c r="I601" s="7"/>
      <c r="J601" s="7"/>
      <c r="K601" s="7"/>
      <c r="L601" s="7"/>
      <c r="M601" s="7"/>
      <c r="N601" s="7"/>
      <c r="O601" s="7"/>
    </row>
    <row r="602">
      <c r="I602" s="7"/>
      <c r="J602" s="7"/>
      <c r="K602" s="7"/>
      <c r="L602" s="7"/>
      <c r="M602" s="7"/>
      <c r="N602" s="7"/>
      <c r="O602" s="7"/>
    </row>
    <row r="603">
      <c r="I603" s="7"/>
      <c r="J603" s="7"/>
      <c r="K603" s="7"/>
      <c r="L603" s="7"/>
      <c r="M603" s="7"/>
      <c r="N603" s="7"/>
      <c r="O603" s="7"/>
    </row>
    <row r="604">
      <c r="I604" s="7"/>
      <c r="J604" s="7"/>
      <c r="K604" s="7"/>
      <c r="L604" s="7"/>
      <c r="M604" s="7"/>
      <c r="N604" s="7"/>
      <c r="O604" s="7"/>
    </row>
    <row r="605">
      <c r="I605" s="7"/>
      <c r="J605" s="7"/>
      <c r="K605" s="7"/>
      <c r="L605" s="7"/>
      <c r="M605" s="7"/>
      <c r="N605" s="7"/>
      <c r="O605" s="7"/>
    </row>
    <row r="606">
      <c r="I606" s="7"/>
      <c r="J606" s="7"/>
      <c r="K606" s="7"/>
      <c r="L606" s="7"/>
      <c r="M606" s="7"/>
      <c r="N606" s="7"/>
      <c r="O606" s="7"/>
    </row>
    <row r="607">
      <c r="I607" s="7"/>
      <c r="J607" s="7"/>
      <c r="K607" s="7"/>
      <c r="L607" s="7"/>
      <c r="M607" s="7"/>
      <c r="N607" s="7"/>
      <c r="O607" s="7"/>
    </row>
    <row r="608">
      <c r="I608" s="7"/>
      <c r="J608" s="7"/>
      <c r="K608" s="7"/>
      <c r="L608" s="7"/>
      <c r="M608" s="7"/>
      <c r="N608" s="7"/>
      <c r="O608" s="7"/>
    </row>
    <row r="609">
      <c r="I609" s="7"/>
      <c r="J609" s="7"/>
      <c r="K609" s="7"/>
      <c r="L609" s="7"/>
      <c r="M609" s="7"/>
      <c r="N609" s="7"/>
      <c r="O609" s="7"/>
    </row>
    <row r="610">
      <c r="I610" s="7"/>
      <c r="J610" s="7"/>
      <c r="K610" s="7"/>
      <c r="L610" s="7"/>
      <c r="M610" s="7"/>
      <c r="N610" s="7"/>
      <c r="O610" s="7"/>
    </row>
    <row r="611">
      <c r="I611" s="7"/>
      <c r="J611" s="7"/>
      <c r="K611" s="7"/>
      <c r="L611" s="7"/>
      <c r="M611" s="7"/>
      <c r="N611" s="7"/>
      <c r="O611" s="7"/>
    </row>
    <row r="612">
      <c r="I612" s="7"/>
      <c r="J612" s="7"/>
      <c r="K612" s="7"/>
      <c r="L612" s="7"/>
      <c r="M612" s="7"/>
      <c r="N612" s="7"/>
      <c r="O612" s="7"/>
    </row>
    <row r="613">
      <c r="I613" s="7"/>
      <c r="J613" s="7"/>
      <c r="K613" s="7"/>
      <c r="L613" s="7"/>
      <c r="M613" s="7"/>
      <c r="N613" s="7"/>
      <c r="O613" s="7"/>
    </row>
    <row r="614">
      <c r="I614" s="7"/>
      <c r="J614" s="7"/>
      <c r="K614" s="7"/>
      <c r="L614" s="7"/>
      <c r="M614" s="7"/>
      <c r="N614" s="7"/>
      <c r="O614" s="7"/>
    </row>
    <row r="615">
      <c r="I615" s="7"/>
      <c r="J615" s="7"/>
      <c r="K615" s="7"/>
      <c r="L615" s="7"/>
      <c r="M615" s="7"/>
      <c r="N615" s="7"/>
      <c r="O615" s="7"/>
    </row>
    <row r="616">
      <c r="I616" s="7"/>
      <c r="J616" s="7"/>
      <c r="K616" s="7"/>
      <c r="L616" s="7"/>
      <c r="M616" s="7"/>
      <c r="N616" s="7"/>
      <c r="O616" s="7"/>
    </row>
    <row r="617">
      <c r="I617" s="7"/>
      <c r="J617" s="7"/>
      <c r="K617" s="7"/>
      <c r="L617" s="7"/>
      <c r="M617" s="7"/>
      <c r="N617" s="7"/>
      <c r="O617" s="7"/>
    </row>
    <row r="618">
      <c r="I618" s="7"/>
      <c r="J618" s="7"/>
      <c r="K618" s="7"/>
      <c r="L618" s="7"/>
      <c r="M618" s="7"/>
      <c r="N618" s="7"/>
      <c r="O618" s="7"/>
    </row>
    <row r="619">
      <c r="I619" s="7"/>
      <c r="J619" s="7"/>
      <c r="K619" s="7"/>
      <c r="L619" s="7"/>
      <c r="M619" s="7"/>
      <c r="N619" s="7"/>
      <c r="O619" s="7"/>
    </row>
    <row r="620">
      <c r="I620" s="7"/>
      <c r="J620" s="7"/>
      <c r="K620" s="7"/>
      <c r="L620" s="7"/>
      <c r="M620" s="7"/>
      <c r="N620" s="7"/>
      <c r="O620" s="7"/>
    </row>
    <row r="621">
      <c r="I621" s="7"/>
      <c r="J621" s="7"/>
      <c r="K621" s="7"/>
      <c r="L621" s="7"/>
      <c r="M621" s="7"/>
      <c r="N621" s="7"/>
      <c r="O621" s="7"/>
    </row>
    <row r="622">
      <c r="I622" s="7"/>
      <c r="J622" s="7"/>
      <c r="K622" s="7"/>
      <c r="L622" s="7"/>
      <c r="M622" s="7"/>
      <c r="N622" s="7"/>
      <c r="O622" s="7"/>
    </row>
    <row r="623">
      <c r="I623" s="7"/>
      <c r="J623" s="7"/>
      <c r="K623" s="7"/>
      <c r="L623" s="7"/>
      <c r="M623" s="7"/>
      <c r="N623" s="7"/>
      <c r="O623" s="7"/>
    </row>
    <row r="624">
      <c r="I624" s="7"/>
      <c r="J624" s="7"/>
      <c r="K624" s="7"/>
      <c r="L624" s="7"/>
      <c r="M624" s="7"/>
      <c r="N624" s="7"/>
      <c r="O624" s="7"/>
    </row>
    <row r="625">
      <c r="I625" s="7"/>
      <c r="J625" s="7"/>
      <c r="K625" s="7"/>
      <c r="L625" s="7"/>
      <c r="M625" s="7"/>
      <c r="N625" s="7"/>
      <c r="O625" s="7"/>
    </row>
    <row r="626">
      <c r="I626" s="7"/>
      <c r="J626" s="7"/>
      <c r="K626" s="7"/>
      <c r="L626" s="7"/>
      <c r="M626" s="7"/>
      <c r="N626" s="7"/>
      <c r="O626" s="7"/>
    </row>
    <row r="627">
      <c r="I627" s="7"/>
      <c r="J627" s="7"/>
      <c r="K627" s="7"/>
      <c r="L627" s="7"/>
      <c r="M627" s="7"/>
      <c r="N627" s="7"/>
      <c r="O627" s="7"/>
    </row>
    <row r="628">
      <c r="I628" s="7"/>
      <c r="J628" s="7"/>
      <c r="K628" s="7"/>
      <c r="L628" s="7"/>
      <c r="M628" s="7"/>
      <c r="N628" s="7"/>
      <c r="O628" s="7"/>
    </row>
    <row r="629">
      <c r="I629" s="7"/>
      <c r="J629" s="7"/>
      <c r="K629" s="7"/>
      <c r="L629" s="7"/>
      <c r="M629" s="7"/>
      <c r="N629" s="7"/>
      <c r="O629" s="7"/>
    </row>
    <row r="630">
      <c r="I630" s="7"/>
      <c r="J630" s="7"/>
      <c r="K630" s="7"/>
      <c r="L630" s="7"/>
      <c r="M630" s="7"/>
      <c r="N630" s="7"/>
      <c r="O630" s="7"/>
    </row>
    <row r="631">
      <c r="I631" s="7"/>
      <c r="J631" s="7"/>
      <c r="K631" s="7"/>
      <c r="L631" s="7"/>
      <c r="M631" s="7"/>
      <c r="N631" s="7"/>
      <c r="O631" s="7"/>
    </row>
    <row r="632">
      <c r="I632" s="7"/>
      <c r="J632" s="7"/>
      <c r="K632" s="7"/>
      <c r="L632" s="7"/>
      <c r="M632" s="7"/>
      <c r="N632" s="7"/>
      <c r="O632" s="7"/>
    </row>
    <row r="633">
      <c r="I633" s="7"/>
      <c r="J633" s="7"/>
      <c r="K633" s="7"/>
      <c r="L633" s="7"/>
      <c r="M633" s="7"/>
      <c r="N633" s="7"/>
      <c r="O633" s="7"/>
    </row>
    <row r="634">
      <c r="I634" s="7"/>
      <c r="J634" s="7"/>
      <c r="K634" s="7"/>
      <c r="L634" s="7"/>
      <c r="M634" s="7"/>
      <c r="N634" s="7"/>
      <c r="O634" s="7"/>
    </row>
    <row r="635">
      <c r="I635" s="7"/>
      <c r="J635" s="7"/>
      <c r="K635" s="7"/>
      <c r="L635" s="7"/>
      <c r="M635" s="7"/>
      <c r="N635" s="7"/>
      <c r="O635" s="7"/>
    </row>
    <row r="636">
      <c r="I636" s="7"/>
      <c r="J636" s="7"/>
      <c r="K636" s="7"/>
      <c r="L636" s="7"/>
      <c r="M636" s="7"/>
      <c r="N636" s="7"/>
      <c r="O636" s="7"/>
    </row>
    <row r="637">
      <c r="I637" s="7"/>
      <c r="J637" s="7"/>
      <c r="K637" s="7"/>
      <c r="L637" s="7"/>
      <c r="M637" s="7"/>
      <c r="N637" s="7"/>
      <c r="O637" s="7"/>
    </row>
    <row r="638">
      <c r="I638" s="7"/>
      <c r="J638" s="7"/>
      <c r="K638" s="7"/>
      <c r="L638" s="7"/>
      <c r="M638" s="7"/>
      <c r="N638" s="7"/>
      <c r="O638" s="7"/>
    </row>
    <row r="639">
      <c r="I639" s="7"/>
      <c r="J639" s="7"/>
      <c r="K639" s="7"/>
      <c r="L639" s="7"/>
      <c r="M639" s="7"/>
      <c r="N639" s="7"/>
      <c r="O639" s="7"/>
    </row>
    <row r="640">
      <c r="I640" s="7"/>
      <c r="J640" s="7"/>
      <c r="K640" s="7"/>
      <c r="L640" s="7"/>
      <c r="M640" s="7"/>
      <c r="N640" s="7"/>
      <c r="O640" s="7"/>
    </row>
    <row r="641">
      <c r="I641" s="7"/>
      <c r="J641" s="7"/>
      <c r="K641" s="7"/>
      <c r="L641" s="7"/>
      <c r="M641" s="7"/>
      <c r="N641" s="7"/>
      <c r="O641" s="7"/>
    </row>
    <row r="642">
      <c r="I642" s="7"/>
      <c r="J642" s="7"/>
      <c r="K642" s="7"/>
      <c r="L642" s="7"/>
      <c r="M642" s="7"/>
      <c r="N642" s="7"/>
      <c r="O642" s="7"/>
    </row>
    <row r="643">
      <c r="I643" s="7"/>
      <c r="J643" s="7"/>
      <c r="K643" s="7"/>
      <c r="L643" s="7"/>
      <c r="M643" s="7"/>
      <c r="N643" s="7"/>
      <c r="O643" s="7"/>
    </row>
    <row r="644">
      <c r="I644" s="7"/>
      <c r="J644" s="7"/>
      <c r="K644" s="7"/>
      <c r="L644" s="7"/>
      <c r="M644" s="7"/>
      <c r="N644" s="7"/>
      <c r="O644" s="7"/>
    </row>
    <row r="645">
      <c r="I645" s="7"/>
      <c r="J645" s="7"/>
      <c r="K645" s="7"/>
      <c r="L645" s="7"/>
      <c r="M645" s="7"/>
      <c r="N645" s="7"/>
      <c r="O645" s="7"/>
    </row>
    <row r="646">
      <c r="I646" s="7"/>
      <c r="J646" s="7"/>
      <c r="K646" s="7"/>
      <c r="L646" s="7"/>
      <c r="M646" s="7"/>
      <c r="N646" s="7"/>
      <c r="O646" s="7"/>
    </row>
    <row r="647">
      <c r="I647" s="7"/>
      <c r="J647" s="7"/>
      <c r="K647" s="7"/>
      <c r="L647" s="7"/>
      <c r="M647" s="7"/>
      <c r="N647" s="7"/>
      <c r="O647" s="7"/>
    </row>
    <row r="648">
      <c r="I648" s="7"/>
      <c r="J648" s="7"/>
      <c r="K648" s="7"/>
      <c r="L648" s="7"/>
      <c r="M648" s="7"/>
      <c r="N648" s="7"/>
      <c r="O648" s="7"/>
    </row>
    <row r="649">
      <c r="I649" s="7"/>
      <c r="J649" s="7"/>
      <c r="K649" s="7"/>
      <c r="L649" s="7"/>
      <c r="M649" s="7"/>
      <c r="N649" s="7"/>
      <c r="O649" s="7"/>
    </row>
    <row r="650">
      <c r="I650" s="7"/>
      <c r="J650" s="7"/>
      <c r="K650" s="7"/>
      <c r="L650" s="7"/>
      <c r="M650" s="7"/>
      <c r="N650" s="7"/>
      <c r="O650" s="7"/>
    </row>
    <row r="651">
      <c r="I651" s="7"/>
      <c r="J651" s="7"/>
      <c r="K651" s="7"/>
      <c r="L651" s="7"/>
      <c r="M651" s="7"/>
      <c r="N651" s="7"/>
      <c r="O651" s="7"/>
    </row>
    <row r="652">
      <c r="I652" s="7"/>
      <c r="J652" s="7"/>
      <c r="K652" s="7"/>
      <c r="L652" s="7"/>
      <c r="M652" s="7"/>
      <c r="N652" s="7"/>
      <c r="O652" s="7"/>
    </row>
    <row r="653">
      <c r="I653" s="7"/>
      <c r="J653" s="7"/>
      <c r="K653" s="7"/>
      <c r="L653" s="7"/>
      <c r="M653" s="7"/>
      <c r="N653" s="7"/>
      <c r="O653" s="7"/>
    </row>
    <row r="654">
      <c r="I654" s="7"/>
      <c r="J654" s="7"/>
      <c r="K654" s="7"/>
      <c r="L654" s="7"/>
      <c r="M654" s="7"/>
      <c r="N654" s="7"/>
      <c r="O654" s="7"/>
    </row>
    <row r="655">
      <c r="I655" s="7"/>
      <c r="J655" s="7"/>
      <c r="K655" s="7"/>
      <c r="L655" s="7"/>
      <c r="M655" s="7"/>
      <c r="N655" s="7"/>
      <c r="O655" s="7"/>
    </row>
    <row r="656">
      <c r="I656" s="7"/>
      <c r="J656" s="7"/>
      <c r="K656" s="7"/>
      <c r="L656" s="7"/>
      <c r="M656" s="7"/>
      <c r="N656" s="7"/>
      <c r="O656" s="7"/>
    </row>
    <row r="657">
      <c r="I657" s="7"/>
      <c r="J657" s="7"/>
      <c r="K657" s="7"/>
      <c r="L657" s="7"/>
      <c r="M657" s="7"/>
      <c r="N657" s="7"/>
      <c r="O657" s="7"/>
    </row>
    <row r="658">
      <c r="I658" s="7"/>
      <c r="J658" s="7"/>
      <c r="K658" s="7"/>
      <c r="L658" s="7"/>
      <c r="M658" s="7"/>
      <c r="N658" s="7"/>
      <c r="O658" s="7"/>
    </row>
    <row r="659">
      <c r="I659" s="7"/>
      <c r="J659" s="7"/>
      <c r="K659" s="7"/>
      <c r="L659" s="7"/>
      <c r="M659" s="7"/>
      <c r="N659" s="7"/>
      <c r="O659" s="7"/>
    </row>
    <row r="660">
      <c r="I660" s="7"/>
      <c r="J660" s="7"/>
      <c r="K660" s="7"/>
      <c r="L660" s="7"/>
      <c r="M660" s="7"/>
      <c r="N660" s="7"/>
      <c r="O660" s="7"/>
    </row>
    <row r="661">
      <c r="I661" s="7"/>
      <c r="J661" s="7"/>
      <c r="K661" s="7"/>
      <c r="L661" s="7"/>
      <c r="M661" s="7"/>
      <c r="N661" s="7"/>
      <c r="O661" s="7"/>
    </row>
    <row r="662">
      <c r="I662" s="7"/>
      <c r="J662" s="7"/>
      <c r="K662" s="7"/>
      <c r="L662" s="7"/>
      <c r="M662" s="7"/>
      <c r="N662" s="7"/>
      <c r="O662" s="7"/>
    </row>
    <row r="663">
      <c r="I663" s="7"/>
      <c r="J663" s="7"/>
      <c r="K663" s="7"/>
      <c r="L663" s="7"/>
      <c r="M663" s="7"/>
      <c r="N663" s="7"/>
      <c r="O663" s="7"/>
    </row>
    <row r="664">
      <c r="I664" s="7"/>
      <c r="J664" s="7"/>
      <c r="K664" s="7"/>
      <c r="L664" s="7"/>
      <c r="M664" s="7"/>
      <c r="N664" s="7"/>
      <c r="O664" s="7"/>
    </row>
    <row r="665">
      <c r="I665" s="7"/>
      <c r="J665" s="7"/>
      <c r="K665" s="7"/>
      <c r="L665" s="7"/>
      <c r="M665" s="7"/>
      <c r="N665" s="7"/>
      <c r="O665" s="7"/>
    </row>
    <row r="666">
      <c r="I666" s="7"/>
      <c r="J666" s="7"/>
      <c r="K666" s="7"/>
      <c r="L666" s="7"/>
      <c r="M666" s="7"/>
      <c r="N666" s="7"/>
      <c r="O666" s="7"/>
    </row>
    <row r="667">
      <c r="I667" s="7"/>
      <c r="J667" s="7"/>
      <c r="K667" s="7"/>
      <c r="L667" s="7"/>
      <c r="M667" s="7"/>
      <c r="N667" s="7"/>
      <c r="O667" s="7"/>
    </row>
    <row r="668">
      <c r="I668" s="7"/>
      <c r="J668" s="7"/>
      <c r="K668" s="7"/>
      <c r="L668" s="7"/>
      <c r="M668" s="7"/>
      <c r="N668" s="7"/>
      <c r="O668" s="7"/>
    </row>
    <row r="669">
      <c r="I669" s="7"/>
      <c r="J669" s="7"/>
      <c r="K669" s="7"/>
      <c r="L669" s="7"/>
      <c r="M669" s="7"/>
      <c r="N669" s="7"/>
      <c r="O669" s="7"/>
    </row>
    <row r="670">
      <c r="I670" s="7"/>
      <c r="J670" s="7"/>
      <c r="K670" s="7"/>
      <c r="L670" s="7"/>
      <c r="M670" s="7"/>
      <c r="N670" s="7"/>
      <c r="O670" s="7"/>
    </row>
    <row r="671">
      <c r="I671" s="7"/>
      <c r="J671" s="7"/>
      <c r="K671" s="7"/>
      <c r="L671" s="7"/>
      <c r="M671" s="7"/>
      <c r="N671" s="7"/>
      <c r="O671" s="7"/>
    </row>
    <row r="672">
      <c r="I672" s="7"/>
      <c r="J672" s="7"/>
      <c r="K672" s="7"/>
      <c r="L672" s="7"/>
      <c r="M672" s="7"/>
      <c r="N672" s="7"/>
      <c r="O672" s="7"/>
    </row>
    <row r="673">
      <c r="I673" s="7"/>
      <c r="J673" s="7"/>
      <c r="K673" s="7"/>
      <c r="L673" s="7"/>
      <c r="M673" s="7"/>
      <c r="N673" s="7"/>
      <c r="O673" s="7"/>
    </row>
    <row r="674">
      <c r="I674" s="7"/>
      <c r="J674" s="7"/>
      <c r="K674" s="7"/>
      <c r="L674" s="7"/>
      <c r="M674" s="7"/>
      <c r="N674" s="7"/>
      <c r="O674" s="7"/>
    </row>
    <row r="675">
      <c r="I675" s="7"/>
      <c r="J675" s="7"/>
      <c r="K675" s="7"/>
      <c r="L675" s="7"/>
      <c r="M675" s="7"/>
      <c r="N675" s="7"/>
      <c r="O675" s="7"/>
    </row>
    <row r="676">
      <c r="I676" s="7"/>
      <c r="J676" s="7"/>
      <c r="K676" s="7"/>
      <c r="L676" s="7"/>
      <c r="M676" s="7"/>
      <c r="N676" s="7"/>
      <c r="O676" s="7"/>
    </row>
    <row r="677">
      <c r="I677" s="7"/>
      <c r="J677" s="7"/>
      <c r="K677" s="7"/>
      <c r="L677" s="7"/>
      <c r="M677" s="7"/>
      <c r="N677" s="7"/>
      <c r="O677" s="7"/>
    </row>
    <row r="678">
      <c r="I678" s="7"/>
      <c r="J678" s="7"/>
      <c r="K678" s="7"/>
      <c r="L678" s="7"/>
      <c r="M678" s="7"/>
      <c r="N678" s="7"/>
      <c r="O678" s="7"/>
    </row>
    <row r="679">
      <c r="I679" s="7"/>
      <c r="J679" s="7"/>
      <c r="K679" s="7"/>
      <c r="L679" s="7"/>
      <c r="M679" s="7"/>
      <c r="N679" s="7"/>
      <c r="O679" s="7"/>
    </row>
    <row r="680">
      <c r="I680" s="7"/>
      <c r="J680" s="7"/>
      <c r="K680" s="7"/>
      <c r="L680" s="7"/>
      <c r="M680" s="7"/>
      <c r="N680" s="7"/>
      <c r="O680" s="7"/>
    </row>
    <row r="681">
      <c r="I681" s="7"/>
      <c r="J681" s="7"/>
      <c r="K681" s="7"/>
      <c r="L681" s="7"/>
      <c r="M681" s="7"/>
      <c r="N681" s="7"/>
      <c r="O681" s="7"/>
    </row>
    <row r="682">
      <c r="I682" s="7"/>
      <c r="J682" s="7"/>
      <c r="K682" s="7"/>
      <c r="L682" s="7"/>
      <c r="M682" s="7"/>
      <c r="N682" s="7"/>
      <c r="O682" s="7"/>
    </row>
    <row r="683">
      <c r="I683" s="7"/>
      <c r="J683" s="7"/>
      <c r="K683" s="7"/>
      <c r="L683" s="7"/>
      <c r="M683" s="7"/>
      <c r="N683" s="7"/>
      <c r="O683" s="7"/>
    </row>
    <row r="684">
      <c r="I684" s="7"/>
      <c r="J684" s="7"/>
      <c r="K684" s="7"/>
      <c r="L684" s="7"/>
      <c r="M684" s="7"/>
      <c r="N684" s="7"/>
      <c r="O684" s="7"/>
    </row>
    <row r="685">
      <c r="I685" s="7"/>
      <c r="J685" s="7"/>
      <c r="K685" s="7"/>
      <c r="L685" s="7"/>
      <c r="M685" s="7"/>
      <c r="N685" s="7"/>
      <c r="O685" s="7"/>
    </row>
    <row r="686">
      <c r="I686" s="7"/>
      <c r="J686" s="7"/>
      <c r="K686" s="7"/>
      <c r="L686" s="7"/>
      <c r="M686" s="7"/>
      <c r="N686" s="7"/>
      <c r="O686" s="7"/>
    </row>
    <row r="687">
      <c r="I687" s="7"/>
      <c r="J687" s="7"/>
      <c r="K687" s="7"/>
      <c r="L687" s="7"/>
      <c r="M687" s="7"/>
      <c r="N687" s="7"/>
      <c r="O687" s="7"/>
    </row>
    <row r="688">
      <c r="I688" s="7"/>
      <c r="J688" s="7"/>
      <c r="K688" s="7"/>
      <c r="L688" s="7"/>
      <c r="M688" s="7"/>
      <c r="N688" s="7"/>
      <c r="O688" s="7"/>
    </row>
    <row r="689">
      <c r="I689" s="7"/>
      <c r="J689" s="7"/>
      <c r="K689" s="7"/>
      <c r="L689" s="7"/>
      <c r="M689" s="7"/>
      <c r="N689" s="7"/>
      <c r="O689" s="7"/>
    </row>
    <row r="690">
      <c r="I690" s="7"/>
      <c r="J690" s="7"/>
      <c r="K690" s="7"/>
      <c r="L690" s="7"/>
      <c r="M690" s="7"/>
      <c r="N690" s="7"/>
      <c r="O690" s="7"/>
    </row>
    <row r="691">
      <c r="I691" s="7"/>
      <c r="J691" s="7"/>
      <c r="K691" s="7"/>
      <c r="L691" s="7"/>
      <c r="M691" s="7"/>
      <c r="N691" s="7"/>
      <c r="O691" s="7"/>
    </row>
    <row r="692">
      <c r="I692" s="7"/>
      <c r="J692" s="7"/>
      <c r="K692" s="7"/>
      <c r="L692" s="7"/>
      <c r="M692" s="7"/>
      <c r="N692" s="7"/>
      <c r="O692" s="7"/>
    </row>
    <row r="693">
      <c r="I693" s="7"/>
      <c r="J693" s="7"/>
      <c r="K693" s="7"/>
      <c r="L693" s="7"/>
      <c r="M693" s="7"/>
      <c r="N693" s="7"/>
      <c r="O693" s="7"/>
    </row>
    <row r="694">
      <c r="I694" s="7"/>
      <c r="J694" s="7"/>
      <c r="K694" s="7"/>
      <c r="L694" s="7"/>
      <c r="M694" s="7"/>
      <c r="N694" s="7"/>
      <c r="O694" s="7"/>
    </row>
    <row r="695">
      <c r="I695" s="7"/>
      <c r="J695" s="7"/>
      <c r="K695" s="7"/>
      <c r="L695" s="7"/>
      <c r="M695" s="7"/>
      <c r="N695" s="7"/>
      <c r="O695" s="7"/>
    </row>
    <row r="696">
      <c r="I696" s="7"/>
      <c r="J696" s="7"/>
      <c r="K696" s="7"/>
      <c r="L696" s="7"/>
      <c r="M696" s="7"/>
      <c r="N696" s="7"/>
      <c r="O696" s="7"/>
    </row>
    <row r="697">
      <c r="I697" s="7"/>
      <c r="J697" s="7"/>
      <c r="K697" s="7"/>
      <c r="L697" s="7"/>
      <c r="M697" s="7"/>
      <c r="N697" s="7"/>
      <c r="O697" s="7"/>
    </row>
    <row r="698">
      <c r="I698" s="7"/>
      <c r="J698" s="7"/>
      <c r="K698" s="7"/>
      <c r="L698" s="7"/>
      <c r="M698" s="7"/>
      <c r="N698" s="7"/>
      <c r="O698" s="7"/>
    </row>
    <row r="699">
      <c r="I699" s="7"/>
      <c r="J699" s="7"/>
      <c r="K699" s="7"/>
      <c r="L699" s="7"/>
      <c r="M699" s="7"/>
      <c r="N699" s="7"/>
      <c r="O699" s="7"/>
    </row>
    <row r="700">
      <c r="I700" s="7"/>
      <c r="J700" s="7"/>
      <c r="K700" s="7"/>
      <c r="L700" s="7"/>
      <c r="M700" s="7"/>
      <c r="N700" s="7"/>
      <c r="O700" s="7"/>
    </row>
    <row r="701">
      <c r="I701" s="7"/>
      <c r="J701" s="7"/>
      <c r="K701" s="7"/>
      <c r="L701" s="7"/>
      <c r="M701" s="7"/>
      <c r="N701" s="7"/>
      <c r="O701" s="7"/>
    </row>
    <row r="702">
      <c r="I702" s="7"/>
      <c r="J702" s="7"/>
      <c r="K702" s="7"/>
      <c r="L702" s="7"/>
      <c r="M702" s="7"/>
      <c r="N702" s="7"/>
      <c r="O702" s="7"/>
    </row>
    <row r="703">
      <c r="I703" s="7"/>
      <c r="J703" s="7"/>
      <c r="K703" s="7"/>
      <c r="L703" s="7"/>
      <c r="M703" s="7"/>
      <c r="N703" s="7"/>
      <c r="O703" s="7"/>
    </row>
    <row r="704">
      <c r="I704" s="7"/>
      <c r="J704" s="7"/>
      <c r="K704" s="7"/>
      <c r="L704" s="7"/>
      <c r="M704" s="7"/>
      <c r="N704" s="7"/>
      <c r="O704" s="7"/>
    </row>
    <row r="705">
      <c r="I705" s="7"/>
      <c r="J705" s="7"/>
      <c r="K705" s="7"/>
      <c r="L705" s="7"/>
      <c r="M705" s="7"/>
      <c r="N705" s="7"/>
      <c r="O705" s="7"/>
    </row>
    <row r="706">
      <c r="I706" s="7"/>
      <c r="J706" s="7"/>
      <c r="K706" s="7"/>
      <c r="L706" s="7"/>
      <c r="M706" s="7"/>
      <c r="N706" s="7"/>
      <c r="O706" s="7"/>
    </row>
    <row r="707">
      <c r="I707" s="7"/>
      <c r="J707" s="7"/>
      <c r="K707" s="7"/>
      <c r="L707" s="7"/>
      <c r="M707" s="7"/>
      <c r="N707" s="7"/>
      <c r="O707" s="7"/>
    </row>
    <row r="708">
      <c r="I708" s="7"/>
      <c r="J708" s="7"/>
      <c r="K708" s="7"/>
      <c r="L708" s="7"/>
      <c r="M708" s="7"/>
      <c r="N708" s="7"/>
      <c r="O708" s="7"/>
    </row>
    <row r="709">
      <c r="I709" s="7"/>
      <c r="J709" s="7"/>
      <c r="K709" s="7"/>
      <c r="L709" s="7"/>
      <c r="M709" s="7"/>
      <c r="N709" s="7"/>
      <c r="O709" s="7"/>
    </row>
    <row r="710">
      <c r="I710" s="7"/>
      <c r="J710" s="7"/>
      <c r="K710" s="7"/>
      <c r="L710" s="7"/>
      <c r="M710" s="7"/>
      <c r="N710" s="7"/>
      <c r="O710" s="7"/>
    </row>
    <row r="711">
      <c r="I711" s="7"/>
      <c r="J711" s="7"/>
      <c r="K711" s="7"/>
      <c r="L711" s="7"/>
      <c r="M711" s="7"/>
      <c r="N711" s="7"/>
      <c r="O711" s="7"/>
    </row>
    <row r="712">
      <c r="I712" s="7"/>
      <c r="J712" s="7"/>
      <c r="K712" s="7"/>
      <c r="L712" s="7"/>
      <c r="M712" s="7"/>
      <c r="N712" s="7"/>
      <c r="O712" s="7"/>
    </row>
    <row r="713">
      <c r="I713" s="7"/>
      <c r="J713" s="7"/>
      <c r="K713" s="7"/>
      <c r="L713" s="7"/>
      <c r="M713" s="7"/>
      <c r="N713" s="7"/>
      <c r="O713" s="7"/>
    </row>
    <row r="714">
      <c r="I714" s="7"/>
      <c r="J714" s="7"/>
      <c r="K714" s="7"/>
      <c r="L714" s="7"/>
      <c r="M714" s="7"/>
      <c r="N714" s="7"/>
      <c r="O714" s="7"/>
    </row>
    <row r="715">
      <c r="I715" s="7"/>
      <c r="J715" s="7"/>
      <c r="K715" s="7"/>
      <c r="L715" s="7"/>
      <c r="M715" s="7"/>
      <c r="N715" s="7"/>
      <c r="O715" s="7"/>
    </row>
    <row r="716">
      <c r="I716" s="7"/>
      <c r="J716" s="7"/>
      <c r="K716" s="7"/>
      <c r="L716" s="7"/>
      <c r="M716" s="7"/>
      <c r="N716" s="7"/>
      <c r="O716" s="7"/>
    </row>
    <row r="717">
      <c r="I717" s="7"/>
      <c r="J717" s="7"/>
      <c r="K717" s="7"/>
      <c r="L717" s="7"/>
      <c r="M717" s="7"/>
      <c r="N717" s="7"/>
      <c r="O717" s="7"/>
    </row>
    <row r="718">
      <c r="I718" s="7"/>
      <c r="J718" s="7"/>
      <c r="K718" s="7"/>
      <c r="L718" s="7"/>
      <c r="M718" s="7"/>
      <c r="N718" s="7"/>
      <c r="O718" s="7"/>
    </row>
    <row r="719">
      <c r="I719" s="7"/>
      <c r="J719" s="7"/>
      <c r="K719" s="7"/>
      <c r="L719" s="7"/>
      <c r="M719" s="7"/>
      <c r="N719" s="7"/>
      <c r="O719" s="7"/>
    </row>
    <row r="720">
      <c r="I720" s="7"/>
      <c r="J720" s="7"/>
      <c r="K720" s="7"/>
      <c r="L720" s="7"/>
      <c r="M720" s="7"/>
      <c r="N720" s="7"/>
      <c r="O720" s="7"/>
    </row>
    <row r="721">
      <c r="I721" s="7"/>
      <c r="J721" s="7"/>
      <c r="K721" s="7"/>
      <c r="L721" s="7"/>
      <c r="M721" s="7"/>
      <c r="N721" s="7"/>
      <c r="O721" s="7"/>
    </row>
    <row r="722">
      <c r="I722" s="7"/>
      <c r="J722" s="7"/>
      <c r="K722" s="7"/>
      <c r="L722" s="7"/>
      <c r="M722" s="7"/>
      <c r="N722" s="7"/>
      <c r="O722" s="7"/>
    </row>
    <row r="723">
      <c r="I723" s="7"/>
      <c r="J723" s="7"/>
      <c r="K723" s="7"/>
      <c r="L723" s="7"/>
      <c r="M723" s="7"/>
      <c r="N723" s="7"/>
      <c r="O723" s="7"/>
    </row>
    <row r="724">
      <c r="I724" s="7"/>
      <c r="J724" s="7"/>
      <c r="K724" s="7"/>
      <c r="L724" s="7"/>
      <c r="M724" s="7"/>
      <c r="N724" s="7"/>
      <c r="O724" s="7"/>
    </row>
    <row r="725">
      <c r="I725" s="7"/>
      <c r="J725" s="7"/>
      <c r="K725" s="7"/>
      <c r="L725" s="7"/>
      <c r="M725" s="7"/>
      <c r="N725" s="7"/>
      <c r="O725" s="7"/>
    </row>
    <row r="726">
      <c r="I726" s="7"/>
      <c r="J726" s="7"/>
      <c r="K726" s="7"/>
      <c r="L726" s="7"/>
      <c r="M726" s="7"/>
      <c r="N726" s="7"/>
      <c r="O726" s="7"/>
    </row>
    <row r="727">
      <c r="I727" s="7"/>
      <c r="J727" s="7"/>
      <c r="K727" s="7"/>
      <c r="L727" s="7"/>
      <c r="M727" s="7"/>
      <c r="N727" s="7"/>
      <c r="O727" s="7"/>
    </row>
    <row r="728">
      <c r="I728" s="7"/>
      <c r="J728" s="7"/>
      <c r="K728" s="7"/>
      <c r="L728" s="7"/>
      <c r="M728" s="7"/>
      <c r="N728" s="7"/>
      <c r="O728" s="7"/>
    </row>
    <row r="729">
      <c r="I729" s="7"/>
      <c r="J729" s="7"/>
      <c r="K729" s="7"/>
      <c r="L729" s="7"/>
      <c r="M729" s="7"/>
      <c r="N729" s="7"/>
      <c r="O729" s="7"/>
    </row>
    <row r="730">
      <c r="I730" s="7"/>
      <c r="J730" s="7"/>
      <c r="K730" s="7"/>
      <c r="L730" s="7"/>
      <c r="M730" s="7"/>
      <c r="N730" s="7"/>
      <c r="O730" s="7"/>
    </row>
    <row r="731">
      <c r="I731" s="7"/>
      <c r="J731" s="7"/>
      <c r="K731" s="7"/>
      <c r="L731" s="7"/>
      <c r="M731" s="7"/>
      <c r="N731" s="7"/>
      <c r="O731" s="7"/>
    </row>
    <row r="732">
      <c r="I732" s="7"/>
      <c r="J732" s="7"/>
      <c r="K732" s="7"/>
      <c r="L732" s="7"/>
      <c r="M732" s="7"/>
      <c r="N732" s="7"/>
      <c r="O732" s="7"/>
    </row>
    <row r="733">
      <c r="I733" s="7"/>
      <c r="J733" s="7"/>
      <c r="K733" s="7"/>
      <c r="L733" s="7"/>
      <c r="M733" s="7"/>
      <c r="N733" s="7"/>
      <c r="O733" s="7"/>
    </row>
    <row r="734">
      <c r="I734" s="7"/>
      <c r="J734" s="7"/>
      <c r="K734" s="7"/>
      <c r="L734" s="7"/>
      <c r="M734" s="7"/>
      <c r="N734" s="7"/>
      <c r="O734" s="7"/>
    </row>
    <row r="735">
      <c r="I735" s="7"/>
      <c r="J735" s="7"/>
      <c r="K735" s="7"/>
      <c r="L735" s="7"/>
      <c r="M735" s="7"/>
      <c r="N735" s="7"/>
      <c r="O735" s="7"/>
    </row>
    <row r="736">
      <c r="I736" s="7"/>
      <c r="J736" s="7"/>
      <c r="K736" s="7"/>
      <c r="L736" s="7"/>
      <c r="M736" s="7"/>
      <c r="N736" s="7"/>
      <c r="O736" s="7"/>
    </row>
    <row r="737">
      <c r="I737" s="7"/>
      <c r="J737" s="7"/>
      <c r="K737" s="7"/>
      <c r="L737" s="7"/>
      <c r="M737" s="7"/>
      <c r="N737" s="7"/>
      <c r="O737" s="7"/>
    </row>
    <row r="738">
      <c r="I738" s="7"/>
      <c r="J738" s="7"/>
      <c r="K738" s="7"/>
      <c r="L738" s="7"/>
      <c r="M738" s="7"/>
      <c r="N738" s="7"/>
      <c r="O738" s="7"/>
    </row>
    <row r="739">
      <c r="I739" s="7"/>
      <c r="J739" s="7"/>
      <c r="K739" s="7"/>
      <c r="L739" s="7"/>
      <c r="M739" s="7"/>
      <c r="N739" s="7"/>
      <c r="O739" s="7"/>
    </row>
    <row r="740">
      <c r="I740" s="7"/>
      <c r="J740" s="7"/>
      <c r="K740" s="7"/>
      <c r="L740" s="7"/>
      <c r="M740" s="7"/>
      <c r="N740" s="7"/>
      <c r="O740" s="7"/>
    </row>
    <row r="741">
      <c r="I741" s="7"/>
      <c r="J741" s="7"/>
      <c r="K741" s="7"/>
      <c r="L741" s="7"/>
      <c r="M741" s="7"/>
      <c r="N741" s="7"/>
      <c r="O741" s="7"/>
    </row>
    <row r="742">
      <c r="I742" s="7"/>
      <c r="J742" s="7"/>
      <c r="K742" s="7"/>
      <c r="L742" s="7"/>
      <c r="M742" s="7"/>
      <c r="N742" s="7"/>
      <c r="O742" s="7"/>
    </row>
    <row r="743">
      <c r="I743" s="7"/>
      <c r="J743" s="7"/>
      <c r="K743" s="7"/>
      <c r="L743" s="7"/>
      <c r="M743" s="7"/>
      <c r="N743" s="7"/>
      <c r="O743" s="7"/>
    </row>
    <row r="744">
      <c r="I744" s="7"/>
      <c r="J744" s="7"/>
      <c r="K744" s="7"/>
      <c r="L744" s="7"/>
      <c r="M744" s="7"/>
      <c r="N744" s="7"/>
      <c r="O744" s="7"/>
    </row>
    <row r="745">
      <c r="I745" s="7"/>
      <c r="J745" s="7"/>
      <c r="K745" s="7"/>
      <c r="L745" s="7"/>
      <c r="M745" s="7"/>
      <c r="N745" s="7"/>
      <c r="O745" s="7"/>
    </row>
    <row r="746">
      <c r="I746" s="7"/>
      <c r="J746" s="7"/>
      <c r="K746" s="7"/>
      <c r="L746" s="7"/>
      <c r="M746" s="7"/>
      <c r="N746" s="7"/>
      <c r="O746" s="7"/>
    </row>
    <row r="747">
      <c r="I747" s="7"/>
      <c r="J747" s="7"/>
      <c r="K747" s="7"/>
      <c r="L747" s="7"/>
      <c r="M747" s="7"/>
      <c r="N747" s="7"/>
      <c r="O747" s="7"/>
    </row>
    <row r="748">
      <c r="I748" s="7"/>
      <c r="J748" s="7"/>
      <c r="K748" s="7"/>
      <c r="L748" s="7"/>
      <c r="M748" s="7"/>
      <c r="N748" s="7"/>
      <c r="O748" s="7"/>
    </row>
    <row r="749">
      <c r="I749" s="7"/>
      <c r="J749" s="7"/>
      <c r="K749" s="7"/>
      <c r="L749" s="7"/>
      <c r="M749" s="7"/>
      <c r="N749" s="7"/>
      <c r="O749" s="7"/>
    </row>
    <row r="750">
      <c r="I750" s="7"/>
      <c r="J750" s="7"/>
      <c r="K750" s="7"/>
      <c r="L750" s="7"/>
      <c r="M750" s="7"/>
      <c r="N750" s="7"/>
      <c r="O750" s="7"/>
    </row>
    <row r="751">
      <c r="I751" s="7"/>
      <c r="J751" s="7"/>
      <c r="K751" s="7"/>
      <c r="L751" s="7"/>
      <c r="M751" s="7"/>
      <c r="N751" s="7"/>
      <c r="O751" s="7"/>
    </row>
    <row r="752">
      <c r="I752" s="7"/>
      <c r="J752" s="7"/>
      <c r="K752" s="7"/>
      <c r="L752" s="7"/>
      <c r="M752" s="7"/>
      <c r="N752" s="7"/>
      <c r="O752" s="7"/>
    </row>
    <row r="753">
      <c r="I753" s="7"/>
      <c r="J753" s="7"/>
      <c r="K753" s="7"/>
      <c r="L753" s="7"/>
      <c r="M753" s="7"/>
      <c r="N753" s="7"/>
      <c r="O753" s="7"/>
    </row>
    <row r="754">
      <c r="I754" s="7"/>
      <c r="J754" s="7"/>
      <c r="K754" s="7"/>
      <c r="L754" s="7"/>
      <c r="M754" s="7"/>
      <c r="N754" s="7"/>
      <c r="O754" s="7"/>
    </row>
    <row r="755">
      <c r="I755" s="7"/>
      <c r="J755" s="7"/>
      <c r="K755" s="7"/>
      <c r="L755" s="7"/>
      <c r="M755" s="7"/>
      <c r="N755" s="7"/>
      <c r="O755" s="7"/>
    </row>
    <row r="756">
      <c r="I756" s="7"/>
      <c r="J756" s="7"/>
      <c r="K756" s="7"/>
      <c r="L756" s="7"/>
      <c r="M756" s="7"/>
      <c r="N756" s="7"/>
      <c r="O756" s="7"/>
    </row>
    <row r="757">
      <c r="I757" s="7"/>
      <c r="J757" s="7"/>
      <c r="K757" s="7"/>
      <c r="L757" s="7"/>
      <c r="M757" s="7"/>
      <c r="N757" s="7"/>
      <c r="O757" s="7"/>
    </row>
    <row r="758">
      <c r="I758" s="7"/>
      <c r="J758" s="7"/>
      <c r="K758" s="7"/>
      <c r="L758" s="7"/>
      <c r="M758" s="7"/>
      <c r="N758" s="7"/>
      <c r="O758" s="7"/>
    </row>
    <row r="759">
      <c r="I759" s="7"/>
      <c r="J759" s="7"/>
      <c r="K759" s="7"/>
      <c r="L759" s="7"/>
      <c r="M759" s="7"/>
      <c r="N759" s="7"/>
      <c r="O759" s="7"/>
    </row>
    <row r="760">
      <c r="I760" s="7"/>
      <c r="J760" s="7"/>
      <c r="K760" s="7"/>
      <c r="L760" s="7"/>
      <c r="M760" s="7"/>
      <c r="N760" s="7"/>
      <c r="O760" s="7"/>
    </row>
    <row r="761">
      <c r="I761" s="7"/>
      <c r="J761" s="7"/>
      <c r="K761" s="7"/>
      <c r="L761" s="7"/>
      <c r="M761" s="7"/>
      <c r="N761" s="7"/>
      <c r="O761" s="7"/>
    </row>
    <row r="762">
      <c r="I762" s="7"/>
      <c r="J762" s="7"/>
      <c r="K762" s="7"/>
      <c r="L762" s="7"/>
      <c r="M762" s="7"/>
      <c r="N762" s="7"/>
      <c r="O762" s="7"/>
    </row>
    <row r="763">
      <c r="I763" s="7"/>
      <c r="J763" s="7"/>
      <c r="K763" s="7"/>
      <c r="L763" s="7"/>
      <c r="M763" s="7"/>
      <c r="N763" s="7"/>
      <c r="O763" s="7"/>
    </row>
    <row r="764">
      <c r="I764" s="7"/>
      <c r="J764" s="7"/>
      <c r="K764" s="7"/>
      <c r="L764" s="7"/>
      <c r="M764" s="7"/>
      <c r="N764" s="7"/>
      <c r="O764" s="7"/>
    </row>
    <row r="765">
      <c r="I765" s="7"/>
      <c r="J765" s="7"/>
      <c r="K765" s="7"/>
      <c r="L765" s="7"/>
      <c r="M765" s="7"/>
      <c r="N765" s="7"/>
      <c r="O765" s="7"/>
    </row>
    <row r="766">
      <c r="I766" s="7"/>
      <c r="J766" s="7"/>
      <c r="K766" s="7"/>
      <c r="L766" s="7"/>
      <c r="M766" s="7"/>
      <c r="N766" s="7"/>
      <c r="O766" s="7"/>
    </row>
    <row r="767">
      <c r="I767" s="7"/>
      <c r="J767" s="7"/>
      <c r="K767" s="7"/>
      <c r="L767" s="7"/>
      <c r="M767" s="7"/>
      <c r="N767" s="7"/>
      <c r="O767" s="7"/>
    </row>
    <row r="768">
      <c r="I768" s="7"/>
      <c r="J768" s="7"/>
      <c r="K768" s="7"/>
      <c r="L768" s="7"/>
      <c r="M768" s="7"/>
      <c r="N768" s="7"/>
      <c r="O768" s="7"/>
    </row>
    <row r="769">
      <c r="I769" s="7"/>
      <c r="J769" s="7"/>
      <c r="K769" s="7"/>
      <c r="L769" s="7"/>
      <c r="M769" s="7"/>
      <c r="N769" s="7"/>
      <c r="O769" s="7"/>
    </row>
    <row r="770">
      <c r="I770" s="7"/>
      <c r="J770" s="7"/>
      <c r="K770" s="7"/>
      <c r="L770" s="7"/>
      <c r="M770" s="7"/>
      <c r="N770" s="7"/>
      <c r="O770" s="7"/>
    </row>
    <row r="771">
      <c r="I771" s="7"/>
      <c r="J771" s="7"/>
      <c r="K771" s="7"/>
      <c r="L771" s="7"/>
      <c r="M771" s="7"/>
      <c r="N771" s="7"/>
      <c r="O771" s="7"/>
    </row>
    <row r="772">
      <c r="I772" s="7"/>
      <c r="J772" s="7"/>
      <c r="K772" s="7"/>
      <c r="L772" s="7"/>
      <c r="M772" s="7"/>
      <c r="N772" s="7"/>
      <c r="O772" s="7"/>
    </row>
    <row r="773">
      <c r="I773" s="7"/>
      <c r="J773" s="7"/>
      <c r="K773" s="7"/>
      <c r="L773" s="7"/>
      <c r="M773" s="7"/>
      <c r="N773" s="7"/>
      <c r="O773" s="7"/>
    </row>
    <row r="774">
      <c r="I774" s="7"/>
      <c r="J774" s="7"/>
      <c r="K774" s="7"/>
      <c r="L774" s="7"/>
      <c r="M774" s="7"/>
      <c r="N774" s="7"/>
      <c r="O774" s="7"/>
    </row>
    <row r="775">
      <c r="I775" s="7"/>
      <c r="J775" s="7"/>
      <c r="K775" s="7"/>
      <c r="L775" s="7"/>
      <c r="M775" s="7"/>
      <c r="N775" s="7"/>
      <c r="O775" s="7"/>
    </row>
    <row r="776">
      <c r="I776" s="7"/>
      <c r="J776" s="7"/>
      <c r="K776" s="7"/>
      <c r="L776" s="7"/>
      <c r="M776" s="7"/>
      <c r="N776" s="7"/>
      <c r="O776" s="7"/>
    </row>
    <row r="777">
      <c r="I777" s="7"/>
      <c r="J777" s="7"/>
      <c r="K777" s="7"/>
      <c r="L777" s="7"/>
      <c r="M777" s="7"/>
      <c r="N777" s="7"/>
      <c r="O777" s="7"/>
    </row>
    <row r="778">
      <c r="I778" s="7"/>
      <c r="J778" s="7"/>
      <c r="K778" s="7"/>
      <c r="L778" s="7"/>
      <c r="M778" s="7"/>
      <c r="N778" s="7"/>
      <c r="O778" s="7"/>
    </row>
    <row r="779">
      <c r="I779" s="7"/>
      <c r="J779" s="7"/>
      <c r="K779" s="7"/>
      <c r="L779" s="7"/>
      <c r="M779" s="7"/>
      <c r="N779" s="7"/>
      <c r="O779" s="7"/>
    </row>
    <row r="780">
      <c r="I780" s="7"/>
      <c r="J780" s="7"/>
      <c r="K780" s="7"/>
      <c r="L780" s="7"/>
      <c r="M780" s="7"/>
      <c r="N780" s="7"/>
      <c r="O780" s="7"/>
    </row>
    <row r="781">
      <c r="I781" s="7"/>
      <c r="J781" s="7"/>
      <c r="K781" s="7"/>
      <c r="L781" s="7"/>
      <c r="M781" s="7"/>
      <c r="N781" s="7"/>
      <c r="O781" s="7"/>
    </row>
    <row r="782">
      <c r="I782" s="7"/>
      <c r="J782" s="7"/>
      <c r="K782" s="7"/>
      <c r="L782" s="7"/>
      <c r="M782" s="7"/>
      <c r="N782" s="7"/>
      <c r="O782" s="7"/>
    </row>
    <row r="783">
      <c r="I783" s="7"/>
      <c r="J783" s="7"/>
      <c r="K783" s="7"/>
      <c r="L783" s="7"/>
      <c r="M783" s="7"/>
      <c r="N783" s="7"/>
      <c r="O783" s="7"/>
    </row>
    <row r="784">
      <c r="I784" s="7"/>
      <c r="J784" s="7"/>
      <c r="K784" s="7"/>
      <c r="L784" s="7"/>
      <c r="M784" s="7"/>
      <c r="N784" s="7"/>
      <c r="O784" s="7"/>
    </row>
    <row r="785">
      <c r="I785" s="7"/>
      <c r="J785" s="7"/>
      <c r="K785" s="7"/>
      <c r="L785" s="7"/>
      <c r="M785" s="7"/>
      <c r="N785" s="7"/>
      <c r="O785" s="7"/>
    </row>
    <row r="786">
      <c r="I786" s="7"/>
      <c r="J786" s="7"/>
      <c r="K786" s="7"/>
      <c r="L786" s="7"/>
      <c r="M786" s="7"/>
      <c r="N786" s="7"/>
      <c r="O786" s="7"/>
    </row>
    <row r="787">
      <c r="I787" s="7"/>
      <c r="J787" s="7"/>
      <c r="K787" s="7"/>
      <c r="L787" s="7"/>
      <c r="M787" s="7"/>
      <c r="N787" s="7"/>
      <c r="O787" s="7"/>
    </row>
    <row r="788">
      <c r="I788" s="7"/>
      <c r="J788" s="7"/>
      <c r="K788" s="7"/>
      <c r="L788" s="7"/>
      <c r="M788" s="7"/>
      <c r="N788" s="7"/>
      <c r="O788" s="7"/>
    </row>
    <row r="789">
      <c r="I789" s="7"/>
      <c r="J789" s="7"/>
      <c r="K789" s="7"/>
      <c r="L789" s="7"/>
      <c r="M789" s="7"/>
      <c r="N789" s="7"/>
      <c r="O789" s="7"/>
    </row>
    <row r="790">
      <c r="I790" s="7"/>
      <c r="J790" s="7"/>
      <c r="K790" s="7"/>
      <c r="L790" s="7"/>
      <c r="M790" s="7"/>
      <c r="N790" s="7"/>
      <c r="O790" s="7"/>
    </row>
    <row r="791">
      <c r="I791" s="7"/>
      <c r="J791" s="7"/>
      <c r="K791" s="7"/>
      <c r="L791" s="7"/>
      <c r="M791" s="7"/>
      <c r="N791" s="7"/>
      <c r="O791" s="7"/>
    </row>
    <row r="792">
      <c r="I792" s="7"/>
      <c r="J792" s="7"/>
      <c r="K792" s="7"/>
      <c r="L792" s="7"/>
      <c r="M792" s="7"/>
      <c r="N792" s="7"/>
      <c r="O792" s="7"/>
    </row>
    <row r="793">
      <c r="I793" s="7"/>
      <c r="J793" s="7"/>
      <c r="K793" s="7"/>
      <c r="L793" s="7"/>
      <c r="M793" s="7"/>
      <c r="N793" s="7"/>
      <c r="O793" s="7"/>
    </row>
    <row r="794">
      <c r="I794" s="7"/>
      <c r="J794" s="7"/>
      <c r="K794" s="7"/>
      <c r="L794" s="7"/>
      <c r="M794" s="7"/>
      <c r="N794" s="7"/>
      <c r="O794" s="7"/>
    </row>
    <row r="795">
      <c r="I795" s="7"/>
      <c r="J795" s="7"/>
      <c r="K795" s="7"/>
      <c r="L795" s="7"/>
      <c r="M795" s="7"/>
      <c r="N795" s="7"/>
      <c r="O795" s="7"/>
    </row>
    <row r="796">
      <c r="I796" s="7"/>
      <c r="J796" s="7"/>
      <c r="K796" s="7"/>
      <c r="L796" s="7"/>
      <c r="M796" s="7"/>
      <c r="N796" s="7"/>
      <c r="O796" s="7"/>
    </row>
    <row r="797">
      <c r="I797" s="7"/>
      <c r="J797" s="7"/>
      <c r="K797" s="7"/>
      <c r="L797" s="7"/>
      <c r="M797" s="7"/>
      <c r="N797" s="7"/>
      <c r="O797" s="7"/>
    </row>
    <row r="798">
      <c r="I798" s="7"/>
      <c r="J798" s="7"/>
      <c r="K798" s="7"/>
      <c r="L798" s="7"/>
      <c r="M798" s="7"/>
      <c r="N798" s="7"/>
      <c r="O798" s="7"/>
    </row>
    <row r="799">
      <c r="I799" s="7"/>
      <c r="J799" s="7"/>
      <c r="K799" s="7"/>
      <c r="L799" s="7"/>
      <c r="M799" s="7"/>
      <c r="N799" s="7"/>
      <c r="O799" s="7"/>
    </row>
    <row r="800">
      <c r="I800" s="7"/>
      <c r="J800" s="7"/>
      <c r="K800" s="7"/>
      <c r="L800" s="7"/>
      <c r="M800" s="7"/>
      <c r="N800" s="7"/>
      <c r="O800" s="7"/>
    </row>
    <row r="801">
      <c r="I801" s="7"/>
      <c r="J801" s="7"/>
      <c r="K801" s="7"/>
      <c r="L801" s="7"/>
      <c r="M801" s="7"/>
      <c r="N801" s="7"/>
      <c r="O801" s="7"/>
    </row>
    <row r="802">
      <c r="I802" s="7"/>
      <c r="J802" s="7"/>
      <c r="K802" s="7"/>
      <c r="L802" s="7"/>
      <c r="M802" s="7"/>
      <c r="N802" s="7"/>
      <c r="O802" s="7"/>
    </row>
    <row r="803">
      <c r="I803" s="7"/>
      <c r="J803" s="7"/>
      <c r="K803" s="7"/>
      <c r="L803" s="7"/>
      <c r="M803" s="7"/>
      <c r="N803" s="7"/>
      <c r="O803" s="7"/>
    </row>
    <row r="804">
      <c r="I804" s="7"/>
      <c r="J804" s="7"/>
      <c r="K804" s="7"/>
      <c r="L804" s="7"/>
      <c r="M804" s="7"/>
      <c r="N804" s="7"/>
      <c r="O804" s="7"/>
    </row>
    <row r="805">
      <c r="I805" s="7"/>
      <c r="J805" s="7"/>
      <c r="K805" s="7"/>
      <c r="L805" s="7"/>
      <c r="M805" s="7"/>
      <c r="N805" s="7"/>
      <c r="O805" s="7"/>
    </row>
    <row r="806">
      <c r="I806" s="7"/>
      <c r="J806" s="7"/>
      <c r="K806" s="7"/>
      <c r="L806" s="7"/>
      <c r="M806" s="7"/>
      <c r="N806" s="7"/>
      <c r="O806" s="7"/>
    </row>
    <row r="807">
      <c r="I807" s="7"/>
      <c r="J807" s="7"/>
      <c r="K807" s="7"/>
      <c r="L807" s="7"/>
      <c r="M807" s="7"/>
      <c r="N807" s="7"/>
      <c r="O807" s="7"/>
    </row>
    <row r="808">
      <c r="I808" s="7"/>
      <c r="J808" s="7"/>
      <c r="K808" s="7"/>
      <c r="L808" s="7"/>
      <c r="M808" s="7"/>
      <c r="N808" s="7"/>
      <c r="O808" s="7"/>
    </row>
    <row r="809">
      <c r="I809" s="7"/>
      <c r="J809" s="7"/>
      <c r="K809" s="7"/>
      <c r="L809" s="7"/>
      <c r="M809" s="7"/>
      <c r="N809" s="7"/>
      <c r="O809" s="7"/>
    </row>
    <row r="810">
      <c r="I810" s="7"/>
      <c r="J810" s="7"/>
      <c r="K810" s="7"/>
      <c r="L810" s="7"/>
      <c r="M810" s="7"/>
      <c r="N810" s="7"/>
      <c r="O810" s="7"/>
    </row>
    <row r="811">
      <c r="I811" s="7"/>
      <c r="J811" s="7"/>
      <c r="K811" s="7"/>
      <c r="L811" s="7"/>
      <c r="M811" s="7"/>
      <c r="N811" s="7"/>
      <c r="O811" s="7"/>
    </row>
    <row r="812">
      <c r="I812" s="7"/>
      <c r="J812" s="7"/>
      <c r="K812" s="7"/>
      <c r="L812" s="7"/>
      <c r="M812" s="7"/>
      <c r="N812" s="7"/>
      <c r="O812" s="7"/>
    </row>
    <row r="813">
      <c r="I813" s="7"/>
      <c r="J813" s="7"/>
      <c r="K813" s="7"/>
      <c r="L813" s="7"/>
      <c r="M813" s="7"/>
      <c r="N813" s="7"/>
      <c r="O813" s="7"/>
    </row>
    <row r="814">
      <c r="I814" s="7"/>
      <c r="J814" s="7"/>
      <c r="K814" s="7"/>
      <c r="L814" s="7"/>
      <c r="M814" s="7"/>
      <c r="N814" s="7"/>
      <c r="O814" s="7"/>
    </row>
    <row r="815">
      <c r="I815" s="7"/>
      <c r="J815" s="7"/>
      <c r="K815" s="7"/>
      <c r="L815" s="7"/>
      <c r="M815" s="7"/>
      <c r="N815" s="7"/>
      <c r="O815" s="7"/>
    </row>
    <row r="816">
      <c r="I816" s="7"/>
      <c r="J816" s="7"/>
      <c r="K816" s="7"/>
      <c r="L816" s="7"/>
      <c r="M816" s="7"/>
      <c r="N816" s="7"/>
      <c r="O816" s="7"/>
    </row>
    <row r="817">
      <c r="I817" s="7"/>
      <c r="J817" s="7"/>
      <c r="K817" s="7"/>
      <c r="L817" s="7"/>
      <c r="M817" s="7"/>
      <c r="N817" s="7"/>
      <c r="O817" s="7"/>
    </row>
    <row r="818">
      <c r="I818" s="7"/>
      <c r="J818" s="7"/>
      <c r="K818" s="7"/>
      <c r="L818" s="7"/>
      <c r="M818" s="7"/>
      <c r="N818" s="7"/>
      <c r="O818" s="7"/>
    </row>
    <row r="819">
      <c r="I819" s="7"/>
      <c r="J819" s="7"/>
      <c r="K819" s="7"/>
      <c r="L819" s="7"/>
      <c r="M819" s="7"/>
      <c r="N819" s="7"/>
      <c r="O819" s="7"/>
    </row>
    <row r="820">
      <c r="I820" s="7"/>
      <c r="J820" s="7"/>
      <c r="K820" s="7"/>
      <c r="L820" s="7"/>
      <c r="M820" s="7"/>
      <c r="N820" s="7"/>
      <c r="O820" s="7"/>
    </row>
    <row r="821">
      <c r="I821" s="7"/>
      <c r="J821" s="7"/>
      <c r="K821" s="7"/>
      <c r="L821" s="7"/>
      <c r="M821" s="7"/>
      <c r="N821" s="7"/>
      <c r="O821" s="7"/>
    </row>
    <row r="822">
      <c r="I822" s="7"/>
      <c r="J822" s="7"/>
      <c r="K822" s="7"/>
      <c r="L822" s="7"/>
      <c r="M822" s="7"/>
      <c r="N822" s="7"/>
      <c r="O822" s="7"/>
    </row>
    <row r="823">
      <c r="I823" s="7"/>
      <c r="J823" s="7"/>
      <c r="K823" s="7"/>
      <c r="L823" s="7"/>
      <c r="M823" s="7"/>
      <c r="N823" s="7"/>
      <c r="O823" s="7"/>
    </row>
    <row r="824">
      <c r="I824" s="7"/>
      <c r="J824" s="7"/>
      <c r="K824" s="7"/>
      <c r="L824" s="7"/>
      <c r="M824" s="7"/>
      <c r="N824" s="7"/>
      <c r="O824" s="7"/>
    </row>
    <row r="825">
      <c r="I825" s="7"/>
      <c r="J825" s="7"/>
      <c r="K825" s="7"/>
      <c r="L825" s="7"/>
      <c r="M825" s="7"/>
      <c r="N825" s="7"/>
      <c r="O825" s="7"/>
    </row>
    <row r="826">
      <c r="I826" s="7"/>
      <c r="J826" s="7"/>
      <c r="K826" s="7"/>
      <c r="L826" s="7"/>
      <c r="M826" s="7"/>
      <c r="N826" s="7"/>
      <c r="O826" s="7"/>
    </row>
    <row r="827">
      <c r="I827" s="7"/>
      <c r="J827" s="7"/>
      <c r="K827" s="7"/>
      <c r="L827" s="7"/>
      <c r="M827" s="7"/>
      <c r="N827" s="7"/>
      <c r="O827" s="7"/>
    </row>
    <row r="828">
      <c r="I828" s="7"/>
      <c r="J828" s="7"/>
      <c r="K828" s="7"/>
      <c r="L828" s="7"/>
      <c r="M828" s="7"/>
      <c r="N828" s="7"/>
      <c r="O828" s="7"/>
    </row>
    <row r="829">
      <c r="I829" s="7"/>
      <c r="J829" s="7"/>
      <c r="K829" s="7"/>
      <c r="L829" s="7"/>
      <c r="M829" s="7"/>
      <c r="N829" s="7"/>
      <c r="O829" s="7"/>
    </row>
    <row r="830">
      <c r="I830" s="7"/>
      <c r="J830" s="7"/>
      <c r="K830" s="7"/>
      <c r="L830" s="7"/>
      <c r="M830" s="7"/>
      <c r="N830" s="7"/>
      <c r="O830" s="7"/>
    </row>
    <row r="831">
      <c r="I831" s="7"/>
      <c r="J831" s="7"/>
      <c r="K831" s="7"/>
      <c r="L831" s="7"/>
      <c r="M831" s="7"/>
      <c r="N831" s="7"/>
      <c r="O831" s="7"/>
    </row>
    <row r="832">
      <c r="I832" s="7"/>
      <c r="J832" s="7"/>
      <c r="K832" s="7"/>
      <c r="L832" s="7"/>
      <c r="M832" s="7"/>
      <c r="N832" s="7"/>
      <c r="O832" s="7"/>
    </row>
    <row r="833">
      <c r="I833" s="7"/>
      <c r="J833" s="7"/>
      <c r="K833" s="7"/>
      <c r="L833" s="7"/>
      <c r="M833" s="7"/>
      <c r="N833" s="7"/>
      <c r="O833" s="7"/>
    </row>
    <row r="834">
      <c r="I834" s="7"/>
      <c r="J834" s="7"/>
      <c r="K834" s="7"/>
      <c r="L834" s="7"/>
      <c r="M834" s="7"/>
      <c r="N834" s="7"/>
      <c r="O834" s="7"/>
    </row>
    <row r="835">
      <c r="I835" s="7"/>
      <c r="J835" s="7"/>
      <c r="K835" s="7"/>
      <c r="L835" s="7"/>
      <c r="M835" s="7"/>
      <c r="N835" s="7"/>
      <c r="O835" s="7"/>
    </row>
    <row r="836">
      <c r="I836" s="7"/>
      <c r="J836" s="7"/>
      <c r="K836" s="7"/>
      <c r="L836" s="7"/>
      <c r="M836" s="7"/>
      <c r="N836" s="7"/>
      <c r="O836" s="7"/>
    </row>
    <row r="837">
      <c r="I837" s="7"/>
      <c r="J837" s="7"/>
      <c r="K837" s="7"/>
      <c r="L837" s="7"/>
      <c r="M837" s="7"/>
      <c r="N837" s="7"/>
      <c r="O837" s="7"/>
    </row>
    <row r="838">
      <c r="I838" s="7"/>
      <c r="J838" s="7"/>
      <c r="K838" s="7"/>
      <c r="L838" s="7"/>
      <c r="M838" s="7"/>
      <c r="N838" s="7"/>
      <c r="O838" s="7"/>
    </row>
    <row r="839">
      <c r="I839" s="7"/>
      <c r="J839" s="7"/>
      <c r="K839" s="7"/>
      <c r="L839" s="7"/>
      <c r="M839" s="7"/>
      <c r="N839" s="7"/>
      <c r="O839" s="7"/>
    </row>
    <row r="840">
      <c r="I840" s="7"/>
      <c r="J840" s="7"/>
      <c r="K840" s="7"/>
      <c r="L840" s="7"/>
      <c r="M840" s="7"/>
      <c r="N840" s="7"/>
      <c r="O840" s="7"/>
    </row>
    <row r="841">
      <c r="I841" s="7"/>
      <c r="J841" s="7"/>
      <c r="K841" s="7"/>
      <c r="L841" s="7"/>
      <c r="M841" s="7"/>
      <c r="N841" s="7"/>
      <c r="O841" s="7"/>
    </row>
    <row r="842">
      <c r="I842" s="7"/>
      <c r="J842" s="7"/>
      <c r="K842" s="7"/>
      <c r="L842" s="7"/>
      <c r="M842" s="7"/>
      <c r="N842" s="7"/>
      <c r="O842" s="7"/>
    </row>
    <row r="843">
      <c r="I843" s="7"/>
      <c r="J843" s="7"/>
      <c r="K843" s="7"/>
      <c r="L843" s="7"/>
      <c r="M843" s="7"/>
      <c r="N843" s="7"/>
      <c r="O843" s="7"/>
    </row>
    <row r="844">
      <c r="I844" s="7"/>
      <c r="J844" s="7"/>
      <c r="K844" s="7"/>
      <c r="L844" s="7"/>
      <c r="M844" s="7"/>
      <c r="N844" s="7"/>
      <c r="O844" s="7"/>
    </row>
    <row r="845">
      <c r="I845" s="7"/>
      <c r="J845" s="7"/>
      <c r="K845" s="7"/>
      <c r="L845" s="7"/>
      <c r="M845" s="7"/>
      <c r="N845" s="7"/>
      <c r="O845" s="7"/>
    </row>
    <row r="846">
      <c r="I846" s="7"/>
      <c r="J846" s="7"/>
      <c r="K846" s="7"/>
      <c r="L846" s="7"/>
      <c r="M846" s="7"/>
      <c r="N846" s="7"/>
      <c r="O846" s="7"/>
    </row>
    <row r="847">
      <c r="I847" s="7"/>
      <c r="J847" s="7"/>
      <c r="K847" s="7"/>
      <c r="L847" s="7"/>
      <c r="M847" s="7"/>
      <c r="N847" s="7"/>
      <c r="O847" s="7"/>
    </row>
    <row r="848">
      <c r="I848" s="7"/>
      <c r="J848" s="7"/>
      <c r="K848" s="7"/>
      <c r="L848" s="7"/>
      <c r="M848" s="7"/>
      <c r="N848" s="7"/>
      <c r="O848" s="7"/>
    </row>
    <row r="849">
      <c r="I849" s="7"/>
      <c r="J849" s="7"/>
      <c r="K849" s="7"/>
      <c r="L849" s="7"/>
      <c r="M849" s="7"/>
      <c r="N849" s="7"/>
      <c r="O849" s="7"/>
    </row>
    <row r="850">
      <c r="I850" s="7"/>
      <c r="J850" s="7"/>
      <c r="K850" s="7"/>
      <c r="L850" s="7"/>
      <c r="M850" s="7"/>
      <c r="N850" s="7"/>
      <c r="O850" s="7"/>
    </row>
    <row r="851">
      <c r="I851" s="7"/>
      <c r="J851" s="7"/>
      <c r="K851" s="7"/>
      <c r="L851" s="7"/>
      <c r="M851" s="7"/>
      <c r="N851" s="7"/>
      <c r="O851" s="7"/>
    </row>
    <row r="852">
      <c r="I852" s="7"/>
      <c r="J852" s="7"/>
      <c r="K852" s="7"/>
      <c r="L852" s="7"/>
      <c r="M852" s="7"/>
      <c r="N852" s="7"/>
      <c r="O852" s="7"/>
    </row>
    <row r="853">
      <c r="I853" s="7"/>
      <c r="J853" s="7"/>
      <c r="K853" s="7"/>
      <c r="L853" s="7"/>
      <c r="M853" s="7"/>
      <c r="N853" s="7"/>
      <c r="O853" s="7"/>
    </row>
    <row r="854">
      <c r="I854" s="7"/>
      <c r="J854" s="7"/>
      <c r="K854" s="7"/>
      <c r="L854" s="7"/>
      <c r="M854" s="7"/>
      <c r="N854" s="7"/>
      <c r="O854" s="7"/>
    </row>
    <row r="855">
      <c r="I855" s="7"/>
      <c r="J855" s="7"/>
      <c r="K855" s="7"/>
      <c r="L855" s="7"/>
      <c r="M855" s="7"/>
      <c r="N855" s="7"/>
      <c r="O855" s="7"/>
    </row>
    <row r="856">
      <c r="I856" s="7"/>
      <c r="J856" s="7"/>
      <c r="K856" s="7"/>
      <c r="L856" s="7"/>
      <c r="M856" s="7"/>
      <c r="N856" s="7"/>
      <c r="O856" s="7"/>
    </row>
    <row r="857">
      <c r="I857" s="7"/>
      <c r="J857" s="7"/>
      <c r="K857" s="7"/>
      <c r="L857" s="7"/>
      <c r="M857" s="7"/>
      <c r="N857" s="7"/>
      <c r="O857" s="7"/>
    </row>
    <row r="858">
      <c r="I858" s="7"/>
      <c r="J858" s="7"/>
      <c r="K858" s="7"/>
      <c r="L858" s="7"/>
      <c r="M858" s="7"/>
      <c r="N858" s="7"/>
      <c r="O858" s="7"/>
    </row>
    <row r="859">
      <c r="I859" s="7"/>
      <c r="J859" s="7"/>
      <c r="K859" s="7"/>
      <c r="L859" s="7"/>
      <c r="M859" s="7"/>
      <c r="N859" s="7"/>
      <c r="O859" s="7"/>
    </row>
    <row r="860">
      <c r="I860" s="7"/>
      <c r="J860" s="7"/>
      <c r="K860" s="7"/>
      <c r="L860" s="7"/>
      <c r="M860" s="7"/>
      <c r="N860" s="7"/>
      <c r="O860" s="7"/>
    </row>
    <row r="861">
      <c r="I861" s="7"/>
      <c r="J861" s="7"/>
      <c r="K861" s="7"/>
      <c r="L861" s="7"/>
      <c r="M861" s="7"/>
      <c r="N861" s="7"/>
      <c r="O861" s="7"/>
    </row>
    <row r="862">
      <c r="I862" s="7"/>
      <c r="J862" s="7"/>
      <c r="K862" s="7"/>
      <c r="L862" s="7"/>
      <c r="M862" s="7"/>
      <c r="N862" s="7"/>
      <c r="O862" s="7"/>
    </row>
    <row r="863">
      <c r="I863" s="7"/>
      <c r="J863" s="7"/>
      <c r="K863" s="7"/>
      <c r="L863" s="7"/>
      <c r="M863" s="7"/>
      <c r="N863" s="7"/>
      <c r="O863" s="7"/>
    </row>
    <row r="864">
      <c r="I864" s="7"/>
      <c r="J864" s="7"/>
      <c r="K864" s="7"/>
      <c r="L864" s="7"/>
      <c r="M864" s="7"/>
      <c r="N864" s="7"/>
      <c r="O864" s="7"/>
    </row>
    <row r="865">
      <c r="I865" s="7"/>
      <c r="J865" s="7"/>
      <c r="K865" s="7"/>
      <c r="L865" s="7"/>
      <c r="M865" s="7"/>
      <c r="N865" s="7"/>
      <c r="O865" s="7"/>
    </row>
    <row r="866">
      <c r="I866" s="7"/>
      <c r="J866" s="7"/>
      <c r="K866" s="7"/>
      <c r="L866" s="7"/>
      <c r="M866" s="7"/>
      <c r="N866" s="7"/>
      <c r="O866" s="7"/>
    </row>
    <row r="867">
      <c r="I867" s="7"/>
      <c r="J867" s="7"/>
      <c r="K867" s="7"/>
      <c r="L867" s="7"/>
      <c r="M867" s="7"/>
      <c r="N867" s="7"/>
      <c r="O867" s="7"/>
    </row>
    <row r="868">
      <c r="I868" s="7"/>
      <c r="J868" s="7"/>
      <c r="K868" s="7"/>
      <c r="L868" s="7"/>
      <c r="M868" s="7"/>
      <c r="N868" s="7"/>
      <c r="O868" s="7"/>
    </row>
    <row r="869">
      <c r="I869" s="7"/>
      <c r="J869" s="7"/>
      <c r="K869" s="7"/>
      <c r="L869" s="7"/>
      <c r="M869" s="7"/>
      <c r="N869" s="7"/>
      <c r="O869" s="7"/>
    </row>
    <row r="870">
      <c r="I870" s="7"/>
      <c r="J870" s="7"/>
      <c r="K870" s="7"/>
      <c r="L870" s="7"/>
      <c r="M870" s="7"/>
      <c r="N870" s="7"/>
      <c r="O870" s="7"/>
    </row>
    <row r="871">
      <c r="I871" s="7"/>
      <c r="J871" s="7"/>
      <c r="K871" s="7"/>
      <c r="L871" s="7"/>
      <c r="M871" s="7"/>
      <c r="N871" s="7"/>
      <c r="O871" s="7"/>
    </row>
    <row r="872">
      <c r="I872" s="7"/>
      <c r="J872" s="7"/>
      <c r="K872" s="7"/>
      <c r="L872" s="7"/>
      <c r="M872" s="7"/>
      <c r="N872" s="7"/>
      <c r="O872" s="7"/>
    </row>
    <row r="873">
      <c r="I873" s="7"/>
      <c r="J873" s="7"/>
      <c r="K873" s="7"/>
      <c r="L873" s="7"/>
      <c r="M873" s="7"/>
      <c r="N873" s="7"/>
      <c r="O873" s="7"/>
    </row>
    <row r="874">
      <c r="I874" s="7"/>
      <c r="J874" s="7"/>
      <c r="K874" s="7"/>
      <c r="L874" s="7"/>
      <c r="M874" s="7"/>
      <c r="N874" s="7"/>
      <c r="O874" s="7"/>
    </row>
    <row r="875">
      <c r="I875" s="7"/>
      <c r="J875" s="7"/>
      <c r="K875" s="7"/>
      <c r="L875" s="7"/>
      <c r="M875" s="7"/>
      <c r="N875" s="7"/>
      <c r="O875" s="7"/>
    </row>
    <row r="876">
      <c r="I876" s="7"/>
      <c r="J876" s="7"/>
      <c r="K876" s="7"/>
      <c r="L876" s="7"/>
      <c r="M876" s="7"/>
      <c r="N876" s="7"/>
      <c r="O876" s="7"/>
    </row>
    <row r="877">
      <c r="I877" s="7"/>
      <c r="J877" s="7"/>
      <c r="K877" s="7"/>
      <c r="L877" s="7"/>
      <c r="M877" s="7"/>
      <c r="N877" s="7"/>
      <c r="O877" s="7"/>
    </row>
    <row r="878">
      <c r="I878" s="7"/>
      <c r="J878" s="7"/>
      <c r="K878" s="7"/>
      <c r="L878" s="7"/>
      <c r="M878" s="7"/>
      <c r="N878" s="7"/>
      <c r="O878" s="7"/>
    </row>
    <row r="879">
      <c r="I879" s="7"/>
      <c r="J879" s="7"/>
      <c r="K879" s="7"/>
      <c r="L879" s="7"/>
      <c r="M879" s="7"/>
      <c r="N879" s="7"/>
      <c r="O879" s="7"/>
    </row>
    <row r="880">
      <c r="I880" s="7"/>
      <c r="J880" s="7"/>
      <c r="K880" s="7"/>
      <c r="L880" s="7"/>
      <c r="M880" s="7"/>
      <c r="N880" s="7"/>
      <c r="O880" s="7"/>
    </row>
    <row r="881">
      <c r="I881" s="7"/>
      <c r="J881" s="7"/>
      <c r="K881" s="7"/>
      <c r="L881" s="7"/>
      <c r="M881" s="7"/>
      <c r="N881" s="7"/>
      <c r="O881" s="7"/>
    </row>
    <row r="882">
      <c r="I882" s="7"/>
      <c r="J882" s="7"/>
      <c r="K882" s="7"/>
      <c r="L882" s="7"/>
      <c r="M882" s="7"/>
      <c r="N882" s="7"/>
      <c r="O882" s="7"/>
    </row>
    <row r="883">
      <c r="I883" s="7"/>
      <c r="J883" s="7"/>
      <c r="K883" s="7"/>
      <c r="L883" s="7"/>
      <c r="M883" s="7"/>
      <c r="N883" s="7"/>
      <c r="O883" s="7"/>
    </row>
    <row r="884">
      <c r="I884" s="7"/>
      <c r="J884" s="7"/>
      <c r="K884" s="7"/>
      <c r="L884" s="7"/>
      <c r="M884" s="7"/>
      <c r="N884" s="7"/>
      <c r="O884" s="7"/>
    </row>
    <row r="885">
      <c r="I885" s="7"/>
      <c r="J885" s="7"/>
      <c r="K885" s="7"/>
      <c r="L885" s="7"/>
      <c r="M885" s="7"/>
      <c r="N885" s="7"/>
      <c r="O885" s="7"/>
    </row>
    <row r="886">
      <c r="I886" s="7"/>
      <c r="J886" s="7"/>
      <c r="K886" s="7"/>
      <c r="L886" s="7"/>
      <c r="M886" s="7"/>
      <c r="N886" s="7"/>
      <c r="O886" s="7"/>
    </row>
    <row r="887">
      <c r="I887" s="7"/>
      <c r="J887" s="7"/>
      <c r="K887" s="7"/>
      <c r="L887" s="7"/>
      <c r="M887" s="7"/>
      <c r="N887" s="7"/>
      <c r="O887" s="7"/>
    </row>
    <row r="888">
      <c r="I888" s="7"/>
      <c r="J888" s="7"/>
      <c r="K888" s="7"/>
      <c r="L888" s="7"/>
      <c r="M888" s="7"/>
      <c r="N888" s="7"/>
      <c r="O888" s="7"/>
    </row>
    <row r="889">
      <c r="I889" s="7"/>
      <c r="J889" s="7"/>
      <c r="K889" s="7"/>
      <c r="L889" s="7"/>
      <c r="M889" s="7"/>
      <c r="N889" s="7"/>
      <c r="O889" s="7"/>
    </row>
    <row r="890">
      <c r="I890" s="7"/>
      <c r="J890" s="7"/>
      <c r="K890" s="7"/>
      <c r="L890" s="7"/>
      <c r="M890" s="7"/>
      <c r="N890" s="7"/>
      <c r="O890" s="7"/>
    </row>
    <row r="891">
      <c r="I891" s="7"/>
      <c r="J891" s="7"/>
      <c r="K891" s="7"/>
      <c r="L891" s="7"/>
      <c r="M891" s="7"/>
      <c r="N891" s="7"/>
      <c r="O891" s="7"/>
    </row>
    <row r="892">
      <c r="I892" s="7"/>
      <c r="J892" s="7"/>
      <c r="K892" s="7"/>
      <c r="L892" s="7"/>
      <c r="M892" s="7"/>
      <c r="N892" s="7"/>
      <c r="O892" s="7"/>
    </row>
    <row r="893">
      <c r="I893" s="7"/>
      <c r="J893" s="7"/>
      <c r="K893" s="7"/>
      <c r="L893" s="7"/>
      <c r="M893" s="7"/>
      <c r="N893" s="7"/>
      <c r="O893" s="7"/>
    </row>
    <row r="894">
      <c r="I894" s="7"/>
      <c r="J894" s="7"/>
      <c r="K894" s="7"/>
      <c r="L894" s="7"/>
      <c r="M894" s="7"/>
      <c r="N894" s="7"/>
      <c r="O894" s="7"/>
    </row>
    <row r="895">
      <c r="I895" s="7"/>
      <c r="J895" s="7"/>
      <c r="K895" s="7"/>
      <c r="L895" s="7"/>
      <c r="M895" s="7"/>
      <c r="N895" s="7"/>
      <c r="O895" s="7"/>
    </row>
    <row r="896">
      <c r="I896" s="7"/>
      <c r="J896" s="7"/>
      <c r="K896" s="7"/>
      <c r="L896" s="7"/>
      <c r="M896" s="7"/>
      <c r="N896" s="7"/>
      <c r="O896" s="7"/>
    </row>
    <row r="897">
      <c r="I897" s="7"/>
      <c r="J897" s="7"/>
      <c r="K897" s="7"/>
      <c r="L897" s="7"/>
      <c r="M897" s="7"/>
      <c r="N897" s="7"/>
      <c r="O897" s="7"/>
    </row>
    <row r="898">
      <c r="I898" s="7"/>
      <c r="J898" s="7"/>
      <c r="K898" s="7"/>
      <c r="L898" s="7"/>
      <c r="M898" s="7"/>
      <c r="N898" s="7"/>
      <c r="O898" s="7"/>
    </row>
    <row r="899">
      <c r="I899" s="7"/>
      <c r="J899" s="7"/>
      <c r="K899" s="7"/>
      <c r="L899" s="7"/>
      <c r="M899" s="7"/>
      <c r="N899" s="7"/>
      <c r="O899" s="7"/>
    </row>
    <row r="900">
      <c r="I900" s="7"/>
      <c r="J900" s="7"/>
      <c r="K900" s="7"/>
      <c r="L900" s="7"/>
      <c r="M900" s="7"/>
      <c r="N900" s="7"/>
      <c r="O900" s="7"/>
    </row>
    <row r="901">
      <c r="I901" s="7"/>
      <c r="J901" s="7"/>
      <c r="K901" s="7"/>
      <c r="L901" s="7"/>
      <c r="M901" s="7"/>
      <c r="N901" s="7"/>
      <c r="O901" s="7"/>
    </row>
    <row r="902">
      <c r="I902" s="7"/>
      <c r="J902" s="7"/>
      <c r="K902" s="7"/>
      <c r="L902" s="7"/>
      <c r="M902" s="7"/>
      <c r="N902" s="7"/>
      <c r="O902" s="7"/>
    </row>
    <row r="903">
      <c r="I903" s="7"/>
      <c r="J903" s="7"/>
      <c r="K903" s="7"/>
      <c r="L903" s="7"/>
      <c r="M903" s="7"/>
      <c r="N903" s="7"/>
      <c r="O903" s="7"/>
    </row>
    <row r="904">
      <c r="I904" s="7"/>
      <c r="J904" s="7"/>
      <c r="K904" s="7"/>
      <c r="L904" s="7"/>
      <c r="M904" s="7"/>
      <c r="N904" s="7"/>
      <c r="O904" s="7"/>
    </row>
    <row r="905">
      <c r="I905" s="7"/>
      <c r="J905" s="7"/>
      <c r="K905" s="7"/>
      <c r="L905" s="7"/>
      <c r="M905" s="7"/>
      <c r="N905" s="7"/>
      <c r="O905" s="7"/>
    </row>
    <row r="906">
      <c r="I906" s="7"/>
      <c r="J906" s="7"/>
      <c r="K906" s="7"/>
      <c r="L906" s="7"/>
      <c r="M906" s="7"/>
      <c r="N906" s="7"/>
      <c r="O906" s="7"/>
    </row>
    <row r="907">
      <c r="I907" s="7"/>
      <c r="J907" s="7"/>
      <c r="K907" s="7"/>
      <c r="L907" s="7"/>
      <c r="M907" s="7"/>
      <c r="N907" s="7"/>
      <c r="O907" s="7"/>
    </row>
    <row r="908">
      <c r="I908" s="7"/>
      <c r="J908" s="7"/>
      <c r="K908" s="7"/>
      <c r="L908" s="7"/>
      <c r="M908" s="7"/>
      <c r="N908" s="7"/>
      <c r="O908" s="7"/>
    </row>
    <row r="909">
      <c r="I909" s="7"/>
      <c r="J909" s="7"/>
      <c r="K909" s="7"/>
      <c r="L909" s="7"/>
      <c r="M909" s="7"/>
      <c r="N909" s="7"/>
      <c r="O909" s="7"/>
    </row>
    <row r="910">
      <c r="I910" s="7"/>
      <c r="J910" s="7"/>
      <c r="K910" s="7"/>
      <c r="L910" s="7"/>
      <c r="M910" s="7"/>
      <c r="N910" s="7"/>
      <c r="O910" s="7"/>
    </row>
    <row r="911">
      <c r="I911" s="7"/>
      <c r="J911" s="7"/>
      <c r="K911" s="7"/>
      <c r="L911" s="7"/>
      <c r="M911" s="7"/>
      <c r="N911" s="7"/>
      <c r="O911" s="7"/>
    </row>
    <row r="912">
      <c r="I912" s="7"/>
      <c r="J912" s="7"/>
      <c r="K912" s="7"/>
      <c r="L912" s="7"/>
      <c r="M912" s="7"/>
      <c r="N912" s="7"/>
      <c r="O912" s="7"/>
    </row>
    <row r="913">
      <c r="I913" s="7"/>
      <c r="J913" s="7"/>
      <c r="K913" s="7"/>
      <c r="L913" s="7"/>
      <c r="M913" s="7"/>
      <c r="N913" s="7"/>
      <c r="O913" s="7"/>
    </row>
    <row r="914">
      <c r="I914" s="7"/>
      <c r="J914" s="7"/>
      <c r="K914" s="7"/>
      <c r="L914" s="7"/>
      <c r="M914" s="7"/>
      <c r="N914" s="7"/>
      <c r="O914" s="7"/>
    </row>
    <row r="915">
      <c r="I915" s="7"/>
      <c r="J915" s="7"/>
      <c r="K915" s="7"/>
      <c r="L915" s="7"/>
      <c r="M915" s="7"/>
      <c r="N915" s="7"/>
      <c r="O915" s="7"/>
    </row>
    <row r="916">
      <c r="I916" s="7"/>
      <c r="J916" s="7"/>
      <c r="K916" s="7"/>
      <c r="L916" s="7"/>
      <c r="M916" s="7"/>
      <c r="N916" s="7"/>
      <c r="O916" s="7"/>
    </row>
    <row r="917">
      <c r="I917" s="7"/>
      <c r="J917" s="7"/>
      <c r="K917" s="7"/>
      <c r="L917" s="7"/>
      <c r="M917" s="7"/>
      <c r="N917" s="7"/>
      <c r="O917" s="7"/>
    </row>
    <row r="918">
      <c r="I918" s="7"/>
      <c r="J918" s="7"/>
      <c r="K918" s="7"/>
      <c r="L918" s="7"/>
      <c r="M918" s="7"/>
      <c r="N918" s="7"/>
      <c r="O918" s="7"/>
    </row>
    <row r="919">
      <c r="I919" s="7"/>
      <c r="J919" s="7"/>
      <c r="K919" s="7"/>
      <c r="L919" s="7"/>
      <c r="M919" s="7"/>
      <c r="N919" s="7"/>
      <c r="O919" s="7"/>
    </row>
    <row r="920">
      <c r="I920" s="7"/>
      <c r="J920" s="7"/>
      <c r="K920" s="7"/>
      <c r="L920" s="7"/>
      <c r="M920" s="7"/>
      <c r="N920" s="7"/>
      <c r="O920" s="7"/>
    </row>
    <row r="921">
      <c r="I921" s="7"/>
      <c r="J921" s="7"/>
      <c r="K921" s="7"/>
      <c r="L921" s="7"/>
      <c r="M921" s="7"/>
      <c r="N921" s="7"/>
      <c r="O921" s="7"/>
    </row>
    <row r="922">
      <c r="I922" s="7"/>
      <c r="J922" s="7"/>
      <c r="K922" s="7"/>
      <c r="L922" s="7"/>
      <c r="M922" s="7"/>
      <c r="N922" s="7"/>
      <c r="O922" s="7"/>
    </row>
    <row r="923">
      <c r="I923" s="7"/>
      <c r="J923" s="7"/>
      <c r="K923" s="7"/>
      <c r="L923" s="7"/>
      <c r="M923" s="7"/>
      <c r="N923" s="7"/>
      <c r="O923" s="7"/>
    </row>
    <row r="924">
      <c r="I924" s="7"/>
      <c r="J924" s="7"/>
      <c r="K924" s="7"/>
      <c r="L924" s="7"/>
      <c r="M924" s="7"/>
      <c r="N924" s="7"/>
      <c r="O924" s="7"/>
    </row>
    <row r="925">
      <c r="I925" s="7"/>
      <c r="J925" s="7"/>
      <c r="K925" s="7"/>
      <c r="L925" s="7"/>
      <c r="M925" s="7"/>
      <c r="N925" s="7"/>
      <c r="O925" s="7"/>
    </row>
    <row r="926">
      <c r="I926" s="7"/>
      <c r="J926" s="7"/>
      <c r="K926" s="7"/>
      <c r="L926" s="7"/>
      <c r="M926" s="7"/>
      <c r="N926" s="7"/>
      <c r="O926" s="7"/>
    </row>
    <row r="927">
      <c r="I927" s="7"/>
      <c r="J927" s="7"/>
      <c r="K927" s="7"/>
      <c r="L927" s="7"/>
      <c r="M927" s="7"/>
      <c r="N927" s="7"/>
      <c r="O927" s="7"/>
    </row>
    <row r="928">
      <c r="I928" s="7"/>
      <c r="J928" s="7"/>
      <c r="K928" s="7"/>
      <c r="L928" s="7"/>
      <c r="M928" s="7"/>
      <c r="N928" s="7"/>
      <c r="O928" s="7"/>
    </row>
    <row r="929">
      <c r="I929" s="7"/>
      <c r="J929" s="7"/>
      <c r="K929" s="7"/>
      <c r="L929" s="7"/>
      <c r="M929" s="7"/>
      <c r="N929" s="7"/>
      <c r="O929" s="7"/>
    </row>
    <row r="930">
      <c r="I930" s="7"/>
      <c r="J930" s="7"/>
      <c r="K930" s="7"/>
      <c r="L930" s="7"/>
      <c r="M930" s="7"/>
      <c r="N930" s="7"/>
      <c r="O930" s="7"/>
    </row>
    <row r="931">
      <c r="I931" s="7"/>
      <c r="J931" s="7"/>
      <c r="K931" s="7"/>
      <c r="L931" s="7"/>
      <c r="M931" s="7"/>
      <c r="N931" s="7"/>
      <c r="O931" s="7"/>
    </row>
    <row r="932">
      <c r="I932" s="7"/>
      <c r="J932" s="7"/>
      <c r="K932" s="7"/>
      <c r="L932" s="7"/>
      <c r="M932" s="7"/>
      <c r="N932" s="7"/>
      <c r="O932" s="7"/>
    </row>
    <row r="933">
      <c r="I933" s="7"/>
      <c r="J933" s="7"/>
      <c r="K933" s="7"/>
      <c r="L933" s="7"/>
      <c r="M933" s="7"/>
      <c r="N933" s="7"/>
      <c r="O933" s="7"/>
    </row>
    <row r="934">
      <c r="I934" s="7"/>
      <c r="J934" s="7"/>
      <c r="K934" s="7"/>
      <c r="L934" s="7"/>
      <c r="M934" s="7"/>
      <c r="N934" s="7"/>
      <c r="O934" s="7"/>
    </row>
    <row r="935">
      <c r="I935" s="7"/>
      <c r="J935" s="7"/>
      <c r="K935" s="7"/>
      <c r="L935" s="7"/>
      <c r="M935" s="7"/>
      <c r="N935" s="7"/>
      <c r="O935" s="7"/>
    </row>
    <row r="936">
      <c r="I936" s="7"/>
      <c r="J936" s="7"/>
      <c r="K936" s="7"/>
      <c r="L936" s="7"/>
      <c r="M936" s="7"/>
      <c r="N936" s="7"/>
      <c r="O936" s="7"/>
    </row>
    <row r="937">
      <c r="I937" s="7"/>
      <c r="J937" s="7"/>
      <c r="K937" s="7"/>
      <c r="L937" s="7"/>
      <c r="M937" s="7"/>
      <c r="N937" s="7"/>
      <c r="O937" s="7"/>
    </row>
    <row r="938">
      <c r="I938" s="7"/>
      <c r="J938" s="7"/>
      <c r="K938" s="7"/>
      <c r="L938" s="7"/>
      <c r="M938" s="7"/>
      <c r="N938" s="7"/>
      <c r="O938" s="7"/>
    </row>
    <row r="939">
      <c r="I939" s="7"/>
      <c r="J939" s="7"/>
      <c r="K939" s="7"/>
      <c r="L939" s="7"/>
      <c r="M939" s="7"/>
      <c r="N939" s="7"/>
      <c r="O939" s="7"/>
    </row>
    <row r="940">
      <c r="I940" s="7"/>
      <c r="J940" s="7"/>
      <c r="K940" s="7"/>
      <c r="L940" s="7"/>
      <c r="M940" s="7"/>
      <c r="N940" s="7"/>
      <c r="O940" s="7"/>
    </row>
    <row r="941">
      <c r="I941" s="7"/>
      <c r="J941" s="7"/>
      <c r="K941" s="7"/>
      <c r="L941" s="7"/>
      <c r="M941" s="7"/>
      <c r="N941" s="7"/>
      <c r="O941" s="7"/>
    </row>
    <row r="942">
      <c r="I942" s="7"/>
      <c r="J942" s="7"/>
      <c r="K942" s="7"/>
      <c r="L942" s="7"/>
      <c r="M942" s="7"/>
      <c r="N942" s="7"/>
      <c r="O942" s="7"/>
    </row>
    <row r="943">
      <c r="I943" s="7"/>
      <c r="J943" s="7"/>
      <c r="K943" s="7"/>
      <c r="L943" s="7"/>
      <c r="M943" s="7"/>
      <c r="N943" s="7"/>
      <c r="O943" s="7"/>
    </row>
    <row r="944">
      <c r="I944" s="7"/>
      <c r="J944" s="7"/>
      <c r="K944" s="7"/>
      <c r="L944" s="7"/>
      <c r="M944" s="7"/>
      <c r="N944" s="7"/>
      <c r="O944" s="7"/>
    </row>
    <row r="945">
      <c r="I945" s="7"/>
      <c r="J945" s="7"/>
      <c r="K945" s="7"/>
      <c r="L945" s="7"/>
      <c r="M945" s="7"/>
      <c r="N945" s="7"/>
      <c r="O945" s="7"/>
    </row>
    <row r="946">
      <c r="I946" s="7"/>
      <c r="J946" s="7"/>
      <c r="K946" s="7"/>
      <c r="L946" s="7"/>
      <c r="M946" s="7"/>
      <c r="N946" s="7"/>
      <c r="O946" s="7"/>
    </row>
    <row r="947">
      <c r="I947" s="7"/>
      <c r="J947" s="7"/>
      <c r="K947" s="7"/>
      <c r="L947" s="7"/>
      <c r="M947" s="7"/>
      <c r="N947" s="7"/>
      <c r="O947" s="7"/>
    </row>
    <row r="948">
      <c r="I948" s="7"/>
      <c r="J948" s="7"/>
      <c r="K948" s="7"/>
      <c r="L948" s="7"/>
      <c r="M948" s="7"/>
      <c r="N948" s="7"/>
      <c r="O948" s="7"/>
    </row>
    <row r="949">
      <c r="I949" s="7"/>
      <c r="J949" s="7"/>
      <c r="K949" s="7"/>
      <c r="L949" s="7"/>
      <c r="M949" s="7"/>
      <c r="N949" s="7"/>
      <c r="O949" s="7"/>
    </row>
    <row r="950">
      <c r="I950" s="7"/>
      <c r="J950" s="7"/>
      <c r="K950" s="7"/>
      <c r="L950" s="7"/>
      <c r="M950" s="7"/>
      <c r="N950" s="7"/>
      <c r="O950" s="7"/>
    </row>
    <row r="951">
      <c r="I951" s="7"/>
      <c r="J951" s="7"/>
      <c r="K951" s="7"/>
      <c r="L951" s="7"/>
      <c r="M951" s="7"/>
      <c r="N951" s="7"/>
      <c r="O951" s="7"/>
    </row>
    <row r="952">
      <c r="I952" s="7"/>
      <c r="J952" s="7"/>
      <c r="K952" s="7"/>
      <c r="L952" s="7"/>
      <c r="M952" s="7"/>
      <c r="N952" s="7"/>
      <c r="O952" s="7"/>
    </row>
    <row r="953">
      <c r="I953" s="7"/>
      <c r="J953" s="7"/>
      <c r="K953" s="7"/>
      <c r="L953" s="7"/>
      <c r="M953" s="7"/>
      <c r="N953" s="7"/>
      <c r="O953" s="7"/>
    </row>
    <row r="954">
      <c r="I954" s="7"/>
      <c r="J954" s="7"/>
      <c r="K954" s="7"/>
      <c r="L954" s="7"/>
      <c r="M954" s="7"/>
      <c r="N954" s="7"/>
      <c r="O954" s="7"/>
    </row>
    <row r="955">
      <c r="I955" s="7"/>
      <c r="J955" s="7"/>
      <c r="K955" s="7"/>
      <c r="L955" s="7"/>
      <c r="M955" s="7"/>
      <c r="N955" s="7"/>
      <c r="O955" s="7"/>
    </row>
    <row r="956">
      <c r="I956" s="7"/>
      <c r="J956" s="7"/>
      <c r="K956" s="7"/>
      <c r="L956" s="7"/>
      <c r="M956" s="7"/>
      <c r="N956" s="7"/>
      <c r="O956" s="7"/>
    </row>
    <row r="957">
      <c r="I957" s="7"/>
      <c r="J957" s="7"/>
      <c r="K957" s="7"/>
      <c r="L957" s="7"/>
      <c r="M957" s="7"/>
      <c r="N957" s="7"/>
      <c r="O957" s="7"/>
    </row>
    <row r="958">
      <c r="I958" s="7"/>
      <c r="J958" s="7"/>
      <c r="K958" s="7"/>
      <c r="L958" s="7"/>
      <c r="M958" s="7"/>
      <c r="N958" s="7"/>
      <c r="O958" s="7"/>
    </row>
    <row r="959">
      <c r="I959" s="7"/>
      <c r="J959" s="7"/>
      <c r="K959" s="7"/>
      <c r="L959" s="7"/>
      <c r="M959" s="7"/>
      <c r="N959" s="7"/>
      <c r="O959" s="7"/>
    </row>
    <row r="960">
      <c r="I960" s="7"/>
      <c r="J960" s="7"/>
      <c r="K960" s="7"/>
      <c r="L960" s="7"/>
      <c r="M960" s="7"/>
      <c r="N960" s="7"/>
      <c r="O960" s="7"/>
    </row>
    <row r="961">
      <c r="I961" s="7"/>
      <c r="J961" s="7"/>
      <c r="K961" s="7"/>
      <c r="L961" s="7"/>
      <c r="M961" s="7"/>
      <c r="N961" s="7"/>
      <c r="O961" s="7"/>
    </row>
    <row r="962">
      <c r="I962" s="7"/>
      <c r="J962" s="7"/>
      <c r="K962" s="7"/>
      <c r="L962" s="7"/>
      <c r="M962" s="7"/>
      <c r="N962" s="7"/>
      <c r="O962" s="7"/>
    </row>
    <row r="963">
      <c r="I963" s="7"/>
      <c r="J963" s="7"/>
      <c r="K963" s="7"/>
      <c r="L963" s="7"/>
      <c r="M963" s="7"/>
      <c r="N963" s="7"/>
      <c r="O963" s="7"/>
    </row>
    <row r="964">
      <c r="I964" s="7"/>
      <c r="J964" s="7"/>
      <c r="K964" s="7"/>
      <c r="L964" s="7"/>
      <c r="M964" s="7"/>
      <c r="N964" s="7"/>
      <c r="O964" s="7"/>
    </row>
    <row r="965">
      <c r="I965" s="7"/>
      <c r="J965" s="7"/>
      <c r="K965" s="7"/>
      <c r="L965" s="7"/>
      <c r="M965" s="7"/>
      <c r="N965" s="7"/>
      <c r="O965" s="7"/>
    </row>
    <row r="966">
      <c r="I966" s="7"/>
      <c r="J966" s="7"/>
      <c r="K966" s="7"/>
      <c r="L966" s="7"/>
      <c r="M966" s="7"/>
      <c r="N966" s="7"/>
      <c r="O966" s="7"/>
    </row>
    <row r="967">
      <c r="I967" s="7"/>
      <c r="J967" s="7"/>
      <c r="K967" s="7"/>
      <c r="L967" s="7"/>
      <c r="M967" s="7"/>
      <c r="N967" s="7"/>
      <c r="O967" s="7"/>
    </row>
    <row r="968">
      <c r="I968" s="7"/>
      <c r="J968" s="7"/>
      <c r="K968" s="7"/>
      <c r="L968" s="7"/>
      <c r="M968" s="7"/>
      <c r="N968" s="7"/>
      <c r="O968" s="7"/>
    </row>
    <row r="969">
      <c r="I969" s="7"/>
      <c r="J969" s="7"/>
      <c r="K969" s="7"/>
      <c r="L969" s="7"/>
      <c r="M969" s="7"/>
      <c r="N969" s="7"/>
      <c r="O969" s="7"/>
    </row>
    <row r="970">
      <c r="I970" s="7"/>
      <c r="J970" s="7"/>
      <c r="K970" s="7"/>
      <c r="L970" s="7"/>
      <c r="M970" s="7"/>
      <c r="N970" s="7"/>
      <c r="O970" s="7"/>
    </row>
    <row r="971">
      <c r="I971" s="7"/>
      <c r="J971" s="7"/>
      <c r="K971" s="7"/>
      <c r="L971" s="7"/>
      <c r="M971" s="7"/>
      <c r="N971" s="7"/>
      <c r="O971" s="7"/>
    </row>
    <row r="972">
      <c r="I972" s="7"/>
      <c r="J972" s="7"/>
      <c r="K972" s="7"/>
      <c r="L972" s="7"/>
      <c r="M972" s="7"/>
      <c r="N972" s="7"/>
      <c r="O972" s="7"/>
    </row>
    <row r="973">
      <c r="I973" s="7"/>
      <c r="J973" s="7"/>
      <c r="K973" s="7"/>
      <c r="L973" s="7"/>
      <c r="M973" s="7"/>
      <c r="N973" s="7"/>
      <c r="O973" s="7"/>
    </row>
    <row r="974">
      <c r="I974" s="7"/>
      <c r="J974" s="7"/>
      <c r="K974" s="7"/>
      <c r="L974" s="7"/>
      <c r="M974" s="7"/>
      <c r="N974" s="7"/>
      <c r="O974" s="7"/>
    </row>
    <row r="975">
      <c r="I975" s="7"/>
      <c r="J975" s="7"/>
      <c r="K975" s="7"/>
      <c r="L975" s="7"/>
      <c r="M975" s="7"/>
      <c r="N975" s="7"/>
      <c r="O975" s="7"/>
    </row>
    <row r="976">
      <c r="I976" s="7"/>
      <c r="J976" s="7"/>
      <c r="K976" s="7"/>
      <c r="L976" s="7"/>
      <c r="M976" s="7"/>
      <c r="N976" s="7"/>
      <c r="O976" s="7"/>
    </row>
    <row r="977">
      <c r="I977" s="7"/>
      <c r="J977" s="7"/>
      <c r="K977" s="7"/>
      <c r="L977" s="7"/>
      <c r="M977" s="7"/>
      <c r="N977" s="7"/>
      <c r="O977" s="7"/>
    </row>
    <row r="978">
      <c r="I978" s="7"/>
      <c r="J978" s="7"/>
      <c r="K978" s="7"/>
      <c r="L978" s="7"/>
      <c r="M978" s="7"/>
      <c r="N978" s="7"/>
      <c r="O978" s="7"/>
    </row>
    <row r="979">
      <c r="I979" s="7"/>
      <c r="J979" s="7"/>
      <c r="K979" s="7"/>
      <c r="L979" s="7"/>
      <c r="M979" s="7"/>
      <c r="N979" s="7"/>
      <c r="O979" s="7"/>
    </row>
    <row r="980">
      <c r="I980" s="7"/>
      <c r="J980" s="7"/>
      <c r="K980" s="7"/>
      <c r="L980" s="7"/>
      <c r="M980" s="7"/>
      <c r="N980" s="7"/>
      <c r="O980" s="7"/>
    </row>
    <row r="981">
      <c r="I981" s="7"/>
      <c r="J981" s="7"/>
      <c r="K981" s="7"/>
      <c r="L981" s="7"/>
      <c r="M981" s="7"/>
      <c r="N981" s="7"/>
      <c r="O981" s="7"/>
    </row>
    <row r="982">
      <c r="I982" s="7"/>
      <c r="J982" s="7"/>
      <c r="K982" s="7"/>
      <c r="L982" s="7"/>
      <c r="M982" s="7"/>
      <c r="N982" s="7"/>
      <c r="O982" s="7"/>
    </row>
    <row r="983">
      <c r="I983" s="7"/>
      <c r="J983" s="7"/>
      <c r="K983" s="7"/>
      <c r="L983" s="7"/>
      <c r="M983" s="7"/>
      <c r="N983" s="7"/>
      <c r="O983" s="7"/>
    </row>
    <row r="984">
      <c r="I984" s="7"/>
      <c r="J984" s="7"/>
      <c r="K984" s="7"/>
      <c r="L984" s="7"/>
      <c r="M984" s="7"/>
      <c r="N984" s="7"/>
      <c r="O984" s="7"/>
    </row>
    <row r="985">
      <c r="I985" s="7"/>
      <c r="J985" s="7"/>
      <c r="K985" s="7"/>
      <c r="L985" s="7"/>
      <c r="M985" s="7"/>
      <c r="N985" s="7"/>
      <c r="O985" s="7"/>
    </row>
    <row r="986">
      <c r="I986" s="7"/>
      <c r="J986" s="7"/>
      <c r="K986" s="7"/>
      <c r="L986" s="7"/>
      <c r="M986" s="7"/>
      <c r="N986" s="7"/>
      <c r="O986" s="7"/>
    </row>
    <row r="987">
      <c r="I987" s="7"/>
      <c r="J987" s="7"/>
      <c r="K987" s="7"/>
      <c r="L987" s="7"/>
      <c r="M987" s="7"/>
      <c r="N987" s="7"/>
      <c r="O987" s="7"/>
    </row>
    <row r="988">
      <c r="I988" s="7"/>
      <c r="J988" s="7"/>
      <c r="K988" s="7"/>
      <c r="L988" s="7"/>
      <c r="M988" s="7"/>
      <c r="N988" s="7"/>
      <c r="O988" s="7"/>
    </row>
    <row r="989">
      <c r="I989" s="7"/>
      <c r="J989" s="7"/>
      <c r="K989" s="7"/>
      <c r="L989" s="7"/>
      <c r="M989" s="7"/>
      <c r="N989" s="7"/>
      <c r="O989" s="7"/>
    </row>
    <row r="990">
      <c r="I990" s="7"/>
      <c r="J990" s="7"/>
      <c r="K990" s="7"/>
      <c r="L990" s="7"/>
      <c r="M990" s="7"/>
      <c r="N990" s="7"/>
      <c r="O990" s="7"/>
    </row>
    <row r="991">
      <c r="I991" s="7"/>
      <c r="J991" s="7"/>
      <c r="K991" s="7"/>
      <c r="L991" s="7"/>
      <c r="M991" s="7"/>
      <c r="N991" s="7"/>
      <c r="O991" s="7"/>
    </row>
    <row r="992">
      <c r="I992" s="7"/>
      <c r="J992" s="7"/>
      <c r="K992" s="7"/>
      <c r="L992" s="7"/>
      <c r="M992" s="7"/>
      <c r="N992" s="7"/>
      <c r="O992" s="7"/>
    </row>
    <row r="993">
      <c r="I993" s="7"/>
      <c r="J993" s="7"/>
      <c r="K993" s="7"/>
      <c r="L993" s="7"/>
      <c r="M993" s="7"/>
      <c r="N993" s="7"/>
      <c r="O993" s="7"/>
    </row>
    <row r="994">
      <c r="I994" s="7"/>
      <c r="J994" s="7"/>
      <c r="K994" s="7"/>
      <c r="L994" s="7"/>
      <c r="M994" s="7"/>
      <c r="N994" s="7"/>
      <c r="O994" s="7"/>
    </row>
    <row r="995">
      <c r="I995" s="7"/>
      <c r="J995" s="7"/>
      <c r="K995" s="7"/>
      <c r="L995" s="7"/>
      <c r="M995" s="7"/>
      <c r="N995" s="7"/>
      <c r="O995" s="7"/>
    </row>
    <row r="996">
      <c r="I996" s="7"/>
      <c r="J996" s="7"/>
      <c r="K996" s="7"/>
      <c r="L996" s="7"/>
      <c r="M996" s="7"/>
      <c r="N996" s="7"/>
      <c r="O996" s="7"/>
    </row>
    <row r="997">
      <c r="I997" s="7"/>
      <c r="J997" s="7"/>
      <c r="K997" s="7"/>
      <c r="L997" s="7"/>
      <c r="M997" s="7"/>
      <c r="N997" s="7"/>
      <c r="O997" s="7"/>
    </row>
    <row r="998">
      <c r="I998" s="7"/>
      <c r="J998" s="7"/>
      <c r="K998" s="7"/>
      <c r="L998" s="7"/>
      <c r="M998" s="7"/>
      <c r="N998" s="7"/>
      <c r="O998" s="7"/>
    </row>
    <row r="999">
      <c r="I999" s="7"/>
      <c r="J999" s="7"/>
      <c r="K999" s="7"/>
      <c r="L999" s="7"/>
      <c r="M999" s="7"/>
      <c r="N999" s="7"/>
      <c r="O999" s="7"/>
    </row>
    <row r="1000">
      <c r="I1000" s="7"/>
      <c r="J1000" s="7"/>
      <c r="K1000" s="7"/>
      <c r="L1000" s="7"/>
      <c r="M1000" s="7"/>
      <c r="N1000" s="7"/>
      <c r="O1000" s="7"/>
    </row>
    <row r="1001">
      <c r="I1001" s="7"/>
      <c r="J1001" s="7"/>
      <c r="K1001" s="7"/>
      <c r="L1001" s="7"/>
      <c r="M1001" s="7"/>
      <c r="N1001" s="7"/>
      <c r="O1001" s="7"/>
    </row>
    <row r="1002">
      <c r="I1002" s="7"/>
      <c r="J1002" s="7"/>
      <c r="K1002" s="7"/>
      <c r="L1002" s="7"/>
      <c r="M1002" s="7"/>
      <c r="N1002" s="7"/>
      <c r="O1002" s="7"/>
    </row>
    <row r="1003">
      <c r="I1003" s="7"/>
      <c r="J1003" s="7"/>
      <c r="K1003" s="7"/>
      <c r="L1003" s="7"/>
      <c r="M1003" s="7"/>
      <c r="N1003" s="7"/>
      <c r="O1003" s="7"/>
    </row>
    <row r="1004">
      <c r="I1004" s="7"/>
      <c r="J1004" s="7"/>
      <c r="K1004" s="7"/>
      <c r="L1004" s="7"/>
      <c r="M1004" s="7"/>
      <c r="N1004" s="7"/>
      <c r="O1004" s="7"/>
    </row>
    <row r="1005">
      <c r="I1005" s="7"/>
      <c r="J1005" s="7"/>
      <c r="K1005" s="7"/>
      <c r="L1005" s="7"/>
      <c r="M1005" s="7"/>
      <c r="N1005" s="7"/>
      <c r="O1005" s="7"/>
    </row>
    <row r="1006">
      <c r="I1006" s="7"/>
      <c r="J1006" s="7"/>
      <c r="K1006" s="7"/>
      <c r="L1006" s="7"/>
      <c r="M1006" s="7"/>
      <c r="N1006" s="7"/>
      <c r="O1006" s="7"/>
    </row>
    <row r="1007">
      <c r="I1007" s="7"/>
      <c r="J1007" s="7"/>
      <c r="K1007" s="7"/>
      <c r="L1007" s="7"/>
      <c r="M1007" s="7"/>
      <c r="N1007" s="7"/>
      <c r="O1007" s="7"/>
    </row>
    <row r="1008">
      <c r="I1008" s="7"/>
      <c r="J1008" s="7"/>
      <c r="K1008" s="7"/>
      <c r="L1008" s="7"/>
      <c r="M1008" s="7"/>
      <c r="N1008" s="7"/>
      <c r="O1008" s="7"/>
    </row>
    <row r="1009">
      <c r="I1009" s="7"/>
      <c r="J1009" s="7"/>
      <c r="K1009" s="7"/>
      <c r="L1009" s="7"/>
      <c r="M1009" s="7"/>
      <c r="N1009" s="7"/>
      <c r="O1009" s="7"/>
    </row>
    <row r="1010">
      <c r="I1010" s="7"/>
      <c r="J1010" s="7"/>
      <c r="K1010" s="7"/>
      <c r="L1010" s="7"/>
      <c r="M1010" s="7"/>
      <c r="N1010" s="7"/>
      <c r="O1010" s="7"/>
    </row>
    <row r="1011">
      <c r="I1011" s="7"/>
      <c r="J1011" s="7"/>
      <c r="K1011" s="7"/>
      <c r="L1011" s="7"/>
      <c r="M1011" s="7"/>
      <c r="N1011" s="7"/>
      <c r="O1011" s="7"/>
    </row>
    <row r="1012">
      <c r="I1012" s="7"/>
      <c r="J1012" s="7"/>
      <c r="K1012" s="7"/>
      <c r="L1012" s="7"/>
      <c r="M1012" s="7"/>
      <c r="N1012" s="7"/>
      <c r="O1012" s="7"/>
    </row>
    <row r="1013">
      <c r="I1013" s="7"/>
      <c r="J1013" s="7"/>
      <c r="K1013" s="7"/>
      <c r="L1013" s="7"/>
      <c r="M1013" s="7"/>
      <c r="N1013" s="7"/>
      <c r="O1013" s="7"/>
    </row>
    <row r="1014">
      <c r="I1014" s="7"/>
      <c r="J1014" s="7"/>
      <c r="K1014" s="7"/>
      <c r="L1014" s="7"/>
      <c r="M1014" s="7"/>
      <c r="N1014" s="7"/>
      <c r="O1014" s="7"/>
    </row>
    <row r="1015">
      <c r="I1015" s="7"/>
      <c r="J1015" s="7"/>
      <c r="K1015" s="7"/>
      <c r="L1015" s="7"/>
      <c r="M1015" s="7"/>
      <c r="N1015" s="7"/>
      <c r="O1015" s="7"/>
    </row>
    <row r="1016">
      <c r="I1016" s="7"/>
      <c r="J1016" s="7"/>
      <c r="K1016" s="7"/>
      <c r="L1016" s="7"/>
      <c r="M1016" s="7"/>
      <c r="N1016" s="7"/>
      <c r="O1016" s="7"/>
    </row>
    <row r="1017">
      <c r="I1017" s="7"/>
      <c r="J1017" s="7"/>
      <c r="K1017" s="7"/>
      <c r="L1017" s="7"/>
      <c r="M1017" s="7"/>
      <c r="N1017" s="7"/>
      <c r="O1017" s="7"/>
    </row>
    <row r="1018">
      <c r="I1018" s="7"/>
      <c r="J1018" s="7"/>
      <c r="K1018" s="7"/>
      <c r="L1018" s="7"/>
      <c r="M1018" s="7"/>
      <c r="N1018" s="7"/>
      <c r="O1018" s="7"/>
    </row>
    <row r="1019">
      <c r="I1019" s="7"/>
      <c r="J1019" s="7"/>
      <c r="K1019" s="7"/>
      <c r="L1019" s="7"/>
      <c r="M1019" s="7"/>
      <c r="N1019" s="7"/>
      <c r="O1019" s="7"/>
    </row>
    <row r="1020">
      <c r="I1020" s="7"/>
      <c r="J1020" s="7"/>
      <c r="K1020" s="7"/>
      <c r="L1020" s="7"/>
      <c r="M1020" s="7"/>
      <c r="N1020" s="7"/>
      <c r="O1020" s="7"/>
    </row>
    <row r="1021">
      <c r="I1021" s="7"/>
      <c r="J1021" s="7"/>
      <c r="K1021" s="7"/>
      <c r="L1021" s="7"/>
      <c r="M1021" s="7"/>
      <c r="N1021" s="7"/>
      <c r="O1021" s="7"/>
    </row>
    <row r="1022">
      <c r="I1022" s="7"/>
      <c r="J1022" s="7"/>
      <c r="K1022" s="7"/>
      <c r="L1022" s="7"/>
      <c r="M1022" s="7"/>
      <c r="N1022" s="7"/>
      <c r="O1022" s="7"/>
    </row>
    <row r="1023">
      <c r="I1023" s="7"/>
      <c r="J1023" s="7"/>
      <c r="K1023" s="7"/>
      <c r="L1023" s="7"/>
      <c r="M1023" s="7"/>
      <c r="N1023" s="7"/>
      <c r="O1023" s="7"/>
    </row>
    <row r="1024">
      <c r="I1024" s="7"/>
      <c r="J1024" s="7"/>
      <c r="K1024" s="7"/>
      <c r="L1024" s="7"/>
      <c r="M1024" s="7"/>
      <c r="N1024" s="7"/>
      <c r="O1024" s="7"/>
    </row>
    <row r="1025">
      <c r="I1025" s="7"/>
      <c r="J1025" s="7"/>
      <c r="K1025" s="7"/>
      <c r="L1025" s="7"/>
      <c r="M1025" s="7"/>
      <c r="N1025" s="7"/>
      <c r="O1025" s="7"/>
    </row>
    <row r="1026">
      <c r="I1026" s="7"/>
      <c r="J1026" s="7"/>
      <c r="K1026" s="7"/>
      <c r="L1026" s="7"/>
      <c r="M1026" s="7"/>
      <c r="N1026" s="7"/>
      <c r="O1026" s="7"/>
    </row>
    <row r="1027">
      <c r="I1027" s="7"/>
      <c r="J1027" s="7"/>
      <c r="K1027" s="7"/>
      <c r="L1027" s="7"/>
      <c r="M1027" s="7"/>
      <c r="N1027" s="7"/>
      <c r="O1027" s="7"/>
    </row>
    <row r="1028">
      <c r="I1028" s="7"/>
      <c r="J1028" s="7"/>
      <c r="K1028" s="7"/>
      <c r="L1028" s="7"/>
      <c r="M1028" s="7"/>
      <c r="N1028" s="7"/>
      <c r="O1028" s="7"/>
    </row>
    <row r="1029">
      <c r="I1029" s="7"/>
      <c r="J1029" s="7"/>
      <c r="K1029" s="7"/>
      <c r="L1029" s="7"/>
      <c r="M1029" s="7"/>
      <c r="N1029" s="7"/>
      <c r="O1029" s="7"/>
    </row>
    <row r="1030">
      <c r="I1030" s="7"/>
      <c r="J1030" s="7"/>
      <c r="K1030" s="7"/>
      <c r="L1030" s="7"/>
      <c r="M1030" s="7"/>
      <c r="N1030" s="7"/>
      <c r="O1030" s="7"/>
    </row>
    <row r="1031">
      <c r="I1031" s="7"/>
      <c r="J1031" s="7"/>
      <c r="K1031" s="7"/>
      <c r="L1031" s="7"/>
      <c r="M1031" s="7"/>
      <c r="N1031" s="7"/>
      <c r="O1031" s="7"/>
    </row>
    <row r="1032">
      <c r="I1032" s="7"/>
      <c r="J1032" s="7"/>
      <c r="K1032" s="7"/>
      <c r="L1032" s="7"/>
      <c r="M1032" s="7"/>
      <c r="N1032" s="7"/>
      <c r="O1032" s="7"/>
    </row>
    <row r="1033">
      <c r="I1033" s="7"/>
      <c r="J1033" s="7"/>
      <c r="K1033" s="7"/>
      <c r="L1033" s="7"/>
      <c r="M1033" s="7"/>
      <c r="N1033" s="7"/>
      <c r="O1033" s="7"/>
    </row>
    <row r="1034">
      <c r="I1034" s="7"/>
      <c r="J1034" s="7"/>
      <c r="K1034" s="7"/>
      <c r="L1034" s="7"/>
      <c r="M1034" s="7"/>
      <c r="N1034" s="7"/>
      <c r="O1034" s="7"/>
    </row>
    <row r="1035">
      <c r="I1035" s="7"/>
      <c r="J1035" s="7"/>
      <c r="K1035" s="7"/>
      <c r="L1035" s="7"/>
      <c r="M1035" s="7"/>
      <c r="N1035" s="7"/>
      <c r="O1035" s="7"/>
    </row>
    <row r="1036">
      <c r="I1036" s="7"/>
      <c r="J1036" s="7"/>
      <c r="K1036" s="7"/>
      <c r="L1036" s="7"/>
      <c r="M1036" s="7"/>
      <c r="N1036" s="7"/>
      <c r="O1036" s="7"/>
    </row>
    <row r="1037">
      <c r="I1037" s="7"/>
      <c r="J1037" s="7"/>
      <c r="K1037" s="7"/>
      <c r="L1037" s="7"/>
      <c r="M1037" s="7"/>
      <c r="N1037" s="7"/>
      <c r="O1037" s="7"/>
    </row>
    <row r="1038">
      <c r="I1038" s="7"/>
      <c r="J1038" s="7"/>
      <c r="K1038" s="7"/>
      <c r="L1038" s="7"/>
      <c r="M1038" s="7"/>
      <c r="N1038" s="7"/>
      <c r="O1038" s="7"/>
    </row>
    <row r="1039">
      <c r="I1039" s="7"/>
      <c r="J1039" s="7"/>
      <c r="K1039" s="7"/>
      <c r="L1039" s="7"/>
      <c r="M1039" s="7"/>
      <c r="N1039" s="7"/>
      <c r="O1039" s="7"/>
    </row>
    <row r="1040">
      <c r="I1040" s="7"/>
      <c r="J1040" s="7"/>
      <c r="K1040" s="7"/>
      <c r="L1040" s="7"/>
      <c r="M1040" s="7"/>
      <c r="N1040" s="7"/>
      <c r="O1040" s="7"/>
    </row>
    <row r="1041">
      <c r="I1041" s="7"/>
      <c r="J1041" s="7"/>
      <c r="K1041" s="7"/>
      <c r="L1041" s="7"/>
      <c r="M1041" s="7"/>
      <c r="N1041" s="7"/>
      <c r="O1041" s="7"/>
    </row>
  </sheetData>
  <mergeCells count="799">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F313:H313"/>
    <mergeCell ref="F314:H314"/>
    <mergeCell ref="F315:H315"/>
    <mergeCell ref="F316:H316"/>
    <mergeCell ref="F317:H317"/>
    <mergeCell ref="F318:H318"/>
    <mergeCell ref="F319:H319"/>
    <mergeCell ref="F320:H320"/>
    <mergeCell ref="F321:H321"/>
    <mergeCell ref="F322:H322"/>
    <mergeCell ref="F323:H323"/>
    <mergeCell ref="F324:H324"/>
    <mergeCell ref="F325:H325"/>
    <mergeCell ref="F326:H326"/>
    <mergeCell ref="F327:H327"/>
    <mergeCell ref="G352:H352"/>
    <mergeCell ref="G353:H353"/>
    <mergeCell ref="G354:H354"/>
    <mergeCell ref="G355:H355"/>
    <mergeCell ref="G356:H356"/>
    <mergeCell ref="G345:H345"/>
    <mergeCell ref="G346:H346"/>
    <mergeCell ref="G347:H347"/>
    <mergeCell ref="G348:H348"/>
    <mergeCell ref="G349:H349"/>
    <mergeCell ref="G350:H350"/>
    <mergeCell ref="G351:H351"/>
    <mergeCell ref="G378:I378"/>
    <mergeCell ref="G379:I379"/>
    <mergeCell ref="G371:I371"/>
    <mergeCell ref="G372:I372"/>
    <mergeCell ref="G373:I373"/>
    <mergeCell ref="G374:I374"/>
    <mergeCell ref="G375:I375"/>
    <mergeCell ref="G376:I376"/>
    <mergeCell ref="G377:I377"/>
    <mergeCell ref="G381:I381"/>
    <mergeCell ref="G382:I382"/>
    <mergeCell ref="A377:B377"/>
    <mergeCell ref="A378:B378"/>
    <mergeCell ref="A379:B379"/>
    <mergeCell ref="A380:B380"/>
    <mergeCell ref="G380:I380"/>
    <mergeCell ref="A381:B381"/>
    <mergeCell ref="A382:B382"/>
    <mergeCell ref="G387:I387"/>
    <mergeCell ref="G388:I388"/>
    <mergeCell ref="A383:B383"/>
    <mergeCell ref="G383:I383"/>
    <mergeCell ref="A384:B384"/>
    <mergeCell ref="G384:I384"/>
    <mergeCell ref="A385:B385"/>
    <mergeCell ref="G385:I385"/>
    <mergeCell ref="G386:I386"/>
    <mergeCell ref="G390:I390"/>
    <mergeCell ref="G391:I391"/>
    <mergeCell ref="A386:B386"/>
    <mergeCell ref="A387:B387"/>
    <mergeCell ref="A388:B388"/>
    <mergeCell ref="A389:B389"/>
    <mergeCell ref="G389:I389"/>
    <mergeCell ref="A390:B390"/>
    <mergeCell ref="A391:B391"/>
    <mergeCell ref="G426:I426"/>
    <mergeCell ref="G427:I427"/>
    <mergeCell ref="A422:B422"/>
    <mergeCell ref="A423:B423"/>
    <mergeCell ref="A424:B424"/>
    <mergeCell ref="A425:B425"/>
    <mergeCell ref="G425:I425"/>
    <mergeCell ref="A426:B426"/>
    <mergeCell ref="A427:B427"/>
    <mergeCell ref="E437:H437"/>
    <mergeCell ref="E438:H438"/>
    <mergeCell ref="E439:H439"/>
    <mergeCell ref="E440:H440"/>
    <mergeCell ref="E441:H441"/>
    <mergeCell ref="E442:H442"/>
    <mergeCell ref="E443:H443"/>
    <mergeCell ref="E444:H444"/>
    <mergeCell ref="E445:H445"/>
    <mergeCell ref="E446:H446"/>
    <mergeCell ref="E447:H447"/>
    <mergeCell ref="E448:H448"/>
    <mergeCell ref="E449:H449"/>
    <mergeCell ref="E450:H450"/>
    <mergeCell ref="E451:H451"/>
    <mergeCell ref="E452:H452"/>
    <mergeCell ref="E453:H453"/>
    <mergeCell ref="E454:H454"/>
    <mergeCell ref="E455:H455"/>
    <mergeCell ref="E456:H456"/>
    <mergeCell ref="E457:H457"/>
    <mergeCell ref="B476:H476"/>
    <mergeCell ref="B477:H477"/>
    <mergeCell ref="B478:H478"/>
    <mergeCell ref="A479:H479"/>
    <mergeCell ref="A480:H480"/>
    <mergeCell ref="A481:H481"/>
    <mergeCell ref="A468:H468"/>
    <mergeCell ref="B470:H470"/>
    <mergeCell ref="B471:H471"/>
    <mergeCell ref="B472:H472"/>
    <mergeCell ref="B473:H473"/>
    <mergeCell ref="B474:H474"/>
    <mergeCell ref="B475:H475"/>
    <mergeCell ref="F328:H328"/>
    <mergeCell ref="F329:H329"/>
    <mergeCell ref="F330:H330"/>
    <mergeCell ref="F331:H331"/>
    <mergeCell ref="F332:H332"/>
    <mergeCell ref="F333:H333"/>
    <mergeCell ref="F334:H334"/>
    <mergeCell ref="F335:H335"/>
    <mergeCell ref="F336:H336"/>
    <mergeCell ref="G340:H340"/>
    <mergeCell ref="G341:H341"/>
    <mergeCell ref="G342:H342"/>
    <mergeCell ref="G343:H343"/>
    <mergeCell ref="G344:H344"/>
    <mergeCell ref="G365:I365"/>
    <mergeCell ref="G366:I366"/>
    <mergeCell ref="G362:I362"/>
    <mergeCell ref="A363:B363"/>
    <mergeCell ref="G363:I363"/>
    <mergeCell ref="A364:B364"/>
    <mergeCell ref="G364:I364"/>
    <mergeCell ref="A365:B365"/>
    <mergeCell ref="A366:B366"/>
    <mergeCell ref="A367:B367"/>
    <mergeCell ref="G367:I367"/>
    <mergeCell ref="A368:B368"/>
    <mergeCell ref="G368:I368"/>
    <mergeCell ref="A369:B369"/>
    <mergeCell ref="G369:I369"/>
    <mergeCell ref="G370:I370"/>
    <mergeCell ref="A370:B370"/>
    <mergeCell ref="A371:B371"/>
    <mergeCell ref="A372:B372"/>
    <mergeCell ref="A373:B373"/>
    <mergeCell ref="A374:B374"/>
    <mergeCell ref="A375:B375"/>
    <mergeCell ref="A376:B376"/>
    <mergeCell ref="A428:B428"/>
    <mergeCell ref="G428:I428"/>
    <mergeCell ref="B431:I431"/>
    <mergeCell ref="A432:I432"/>
    <mergeCell ref="E434:H434"/>
    <mergeCell ref="E435:H435"/>
    <mergeCell ref="E436:H436"/>
    <mergeCell ref="G396:I396"/>
    <mergeCell ref="G397:I397"/>
    <mergeCell ref="A392:B392"/>
    <mergeCell ref="G392:I392"/>
    <mergeCell ref="A393:B393"/>
    <mergeCell ref="G393:I393"/>
    <mergeCell ref="A394:B394"/>
    <mergeCell ref="G394:I394"/>
    <mergeCell ref="G395:I395"/>
    <mergeCell ref="G399:I399"/>
    <mergeCell ref="G400:I400"/>
    <mergeCell ref="A395:B395"/>
    <mergeCell ref="A396:B396"/>
    <mergeCell ref="A397:B397"/>
    <mergeCell ref="A398:B398"/>
    <mergeCell ref="G398:I398"/>
    <mergeCell ref="A399:B399"/>
    <mergeCell ref="A400:B400"/>
    <mergeCell ref="G405:I405"/>
    <mergeCell ref="G406:I406"/>
    <mergeCell ref="A401:B401"/>
    <mergeCell ref="G401:I401"/>
    <mergeCell ref="A402:B402"/>
    <mergeCell ref="G402:I402"/>
    <mergeCell ref="A403:B403"/>
    <mergeCell ref="G403:I403"/>
    <mergeCell ref="G404:I404"/>
    <mergeCell ref="G408:I408"/>
    <mergeCell ref="G409:I409"/>
    <mergeCell ref="A404:B404"/>
    <mergeCell ref="A405:B405"/>
    <mergeCell ref="A406:B406"/>
    <mergeCell ref="A407:B407"/>
    <mergeCell ref="G407:I407"/>
    <mergeCell ref="A408:B408"/>
    <mergeCell ref="A409:B409"/>
    <mergeCell ref="G414:I414"/>
    <mergeCell ref="G415:I415"/>
    <mergeCell ref="A410:B410"/>
    <mergeCell ref="G410:I410"/>
    <mergeCell ref="A411:B411"/>
    <mergeCell ref="G411:I411"/>
    <mergeCell ref="A412:B412"/>
    <mergeCell ref="G412:I412"/>
    <mergeCell ref="G413:I413"/>
    <mergeCell ref="G417:I417"/>
    <mergeCell ref="G418:I418"/>
    <mergeCell ref="A413:B413"/>
    <mergeCell ref="A414:B414"/>
    <mergeCell ref="A415:B415"/>
    <mergeCell ref="A416:B416"/>
    <mergeCell ref="G416:I416"/>
    <mergeCell ref="A417:B417"/>
    <mergeCell ref="A418:B418"/>
    <mergeCell ref="G423:I423"/>
    <mergeCell ref="G424:I424"/>
    <mergeCell ref="A419:B419"/>
    <mergeCell ref="G419:I419"/>
    <mergeCell ref="A420:B420"/>
    <mergeCell ref="G420:I420"/>
    <mergeCell ref="A421:B421"/>
    <mergeCell ref="G421:I421"/>
    <mergeCell ref="G422:I422"/>
    <mergeCell ref="D12:E12"/>
    <mergeCell ref="F12:H12"/>
    <mergeCell ref="B10:C10"/>
    <mergeCell ref="D10:E10"/>
    <mergeCell ref="F10:H10"/>
    <mergeCell ref="B11:C11"/>
    <mergeCell ref="D11:E11"/>
    <mergeCell ref="F11:H11"/>
    <mergeCell ref="B12:C12"/>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19:C19"/>
    <mergeCell ref="D19:E19"/>
    <mergeCell ref="F19:H19"/>
    <mergeCell ref="B20:C20"/>
    <mergeCell ref="D20:E20"/>
    <mergeCell ref="F20:H20"/>
    <mergeCell ref="B21:C21"/>
    <mergeCell ref="D24:E24"/>
    <mergeCell ref="F24:H24"/>
    <mergeCell ref="B22:C22"/>
    <mergeCell ref="D22:E22"/>
    <mergeCell ref="F22:H22"/>
    <mergeCell ref="B23:C23"/>
    <mergeCell ref="D23:E23"/>
    <mergeCell ref="F23:H23"/>
    <mergeCell ref="B24:C24"/>
    <mergeCell ref="D27:E27"/>
    <mergeCell ref="F27:H27"/>
    <mergeCell ref="B25:C25"/>
    <mergeCell ref="D25:E25"/>
    <mergeCell ref="F25:H25"/>
    <mergeCell ref="B26:C26"/>
    <mergeCell ref="D26:E26"/>
    <mergeCell ref="F26:H26"/>
    <mergeCell ref="B27:C27"/>
    <mergeCell ref="D30:E30"/>
    <mergeCell ref="F30:H30"/>
    <mergeCell ref="B28:C28"/>
    <mergeCell ref="D28:E28"/>
    <mergeCell ref="F28:H28"/>
    <mergeCell ref="B29:C29"/>
    <mergeCell ref="D29:E29"/>
    <mergeCell ref="F29:H29"/>
    <mergeCell ref="B30:C30"/>
    <mergeCell ref="D33:E33"/>
    <mergeCell ref="F33:H33"/>
    <mergeCell ref="B31:C31"/>
    <mergeCell ref="D31:E31"/>
    <mergeCell ref="F31:H31"/>
    <mergeCell ref="B32:C32"/>
    <mergeCell ref="D32:E32"/>
    <mergeCell ref="F32:H32"/>
    <mergeCell ref="B33:C33"/>
    <mergeCell ref="D36:E36"/>
    <mergeCell ref="F36:H36"/>
    <mergeCell ref="B34:C34"/>
    <mergeCell ref="D34:E34"/>
    <mergeCell ref="F34:H34"/>
    <mergeCell ref="B35:C35"/>
    <mergeCell ref="D35:E35"/>
    <mergeCell ref="F35:H35"/>
    <mergeCell ref="B36:C36"/>
    <mergeCell ref="D39:E39"/>
    <mergeCell ref="F39:H39"/>
    <mergeCell ref="B37:C37"/>
    <mergeCell ref="D37:E37"/>
    <mergeCell ref="F37:H37"/>
    <mergeCell ref="B38:C38"/>
    <mergeCell ref="D38:E38"/>
    <mergeCell ref="F38:H38"/>
    <mergeCell ref="B39:C39"/>
    <mergeCell ref="D42:E42"/>
    <mergeCell ref="F42:H42"/>
    <mergeCell ref="B40:C40"/>
    <mergeCell ref="D40:E40"/>
    <mergeCell ref="F40:H40"/>
    <mergeCell ref="B41:C41"/>
    <mergeCell ref="D41:E41"/>
    <mergeCell ref="F41:H41"/>
    <mergeCell ref="B42:C42"/>
    <mergeCell ref="D45:E45"/>
    <mergeCell ref="F45:H45"/>
    <mergeCell ref="B43:C43"/>
    <mergeCell ref="D43:E43"/>
    <mergeCell ref="F43:H43"/>
    <mergeCell ref="B44:C44"/>
    <mergeCell ref="D44:E44"/>
    <mergeCell ref="F44:H44"/>
    <mergeCell ref="B45:C45"/>
    <mergeCell ref="D48:E48"/>
    <mergeCell ref="F48:H48"/>
    <mergeCell ref="B46:C46"/>
    <mergeCell ref="D46:E46"/>
    <mergeCell ref="F46:H46"/>
    <mergeCell ref="B47:C47"/>
    <mergeCell ref="D47:E47"/>
    <mergeCell ref="F47:H47"/>
    <mergeCell ref="B48:C48"/>
    <mergeCell ref="D51:E51"/>
    <mergeCell ref="F51:H51"/>
    <mergeCell ref="B49:C49"/>
    <mergeCell ref="D49:E49"/>
    <mergeCell ref="F49:H49"/>
    <mergeCell ref="B50:C50"/>
    <mergeCell ref="D50:E50"/>
    <mergeCell ref="F50:H50"/>
    <mergeCell ref="B51:C51"/>
    <mergeCell ref="D54:E54"/>
    <mergeCell ref="F54:H54"/>
    <mergeCell ref="B52:C52"/>
    <mergeCell ref="D52:E52"/>
    <mergeCell ref="F52:H52"/>
    <mergeCell ref="B53:C53"/>
    <mergeCell ref="D53:E53"/>
    <mergeCell ref="F53:H53"/>
    <mergeCell ref="B54:C54"/>
    <mergeCell ref="D57:E57"/>
    <mergeCell ref="F57:H57"/>
    <mergeCell ref="B55:C55"/>
    <mergeCell ref="D55:E55"/>
    <mergeCell ref="F55:H55"/>
    <mergeCell ref="B56:C56"/>
    <mergeCell ref="D56:E56"/>
    <mergeCell ref="F56:H56"/>
    <mergeCell ref="B57:C57"/>
    <mergeCell ref="D60:E60"/>
    <mergeCell ref="F60:H60"/>
    <mergeCell ref="B58:C58"/>
    <mergeCell ref="D58:E58"/>
    <mergeCell ref="F58:H58"/>
    <mergeCell ref="B59:C59"/>
    <mergeCell ref="D59:E59"/>
    <mergeCell ref="F59:H59"/>
    <mergeCell ref="B60:C60"/>
    <mergeCell ref="D63:E63"/>
    <mergeCell ref="F63:H63"/>
    <mergeCell ref="B61:C61"/>
    <mergeCell ref="D61:E61"/>
    <mergeCell ref="F61:H61"/>
    <mergeCell ref="B62:C62"/>
    <mergeCell ref="D62:E62"/>
    <mergeCell ref="F62:H62"/>
    <mergeCell ref="B63:C63"/>
    <mergeCell ref="D66:E66"/>
    <mergeCell ref="F66:H66"/>
    <mergeCell ref="B64:C64"/>
    <mergeCell ref="D64:E64"/>
    <mergeCell ref="F64:H64"/>
    <mergeCell ref="B65:C65"/>
    <mergeCell ref="D65:E65"/>
    <mergeCell ref="F65:H65"/>
    <mergeCell ref="B66:C66"/>
    <mergeCell ref="D69:E69"/>
    <mergeCell ref="F69:H69"/>
    <mergeCell ref="B67:C67"/>
    <mergeCell ref="D67:E67"/>
    <mergeCell ref="F67:H67"/>
    <mergeCell ref="B68:C68"/>
    <mergeCell ref="D68:E68"/>
    <mergeCell ref="F68:H68"/>
    <mergeCell ref="B69:C69"/>
    <mergeCell ref="D72:E72"/>
    <mergeCell ref="F72:H72"/>
    <mergeCell ref="B70:C70"/>
    <mergeCell ref="D70:E70"/>
    <mergeCell ref="F70:H70"/>
    <mergeCell ref="B71:C71"/>
    <mergeCell ref="D71:E71"/>
    <mergeCell ref="F71:H71"/>
    <mergeCell ref="B72:C72"/>
    <mergeCell ref="D75:E75"/>
    <mergeCell ref="F75:H75"/>
    <mergeCell ref="B73:C73"/>
    <mergeCell ref="D73:E73"/>
    <mergeCell ref="F73:H73"/>
    <mergeCell ref="B74:C74"/>
    <mergeCell ref="D74:E74"/>
    <mergeCell ref="F74:H74"/>
    <mergeCell ref="B75:C75"/>
    <mergeCell ref="D78:E78"/>
    <mergeCell ref="F78:H78"/>
    <mergeCell ref="B76:C76"/>
    <mergeCell ref="D76:E76"/>
    <mergeCell ref="F76:H76"/>
    <mergeCell ref="B77:C77"/>
    <mergeCell ref="D77:E77"/>
    <mergeCell ref="F77:H77"/>
    <mergeCell ref="B78:C78"/>
    <mergeCell ref="D81:E81"/>
    <mergeCell ref="F81:H81"/>
    <mergeCell ref="B79:C79"/>
    <mergeCell ref="D79:E79"/>
    <mergeCell ref="F79:H79"/>
    <mergeCell ref="B80:C80"/>
    <mergeCell ref="D80:E80"/>
    <mergeCell ref="F80:H80"/>
    <mergeCell ref="B81:C81"/>
    <mergeCell ref="D84:E84"/>
    <mergeCell ref="F84:H84"/>
    <mergeCell ref="B82:C82"/>
    <mergeCell ref="D82:E82"/>
    <mergeCell ref="F82:H82"/>
    <mergeCell ref="B83:C83"/>
    <mergeCell ref="D83:E83"/>
    <mergeCell ref="F83:H83"/>
    <mergeCell ref="B84:C84"/>
    <mergeCell ref="D87:E87"/>
    <mergeCell ref="F87:H87"/>
    <mergeCell ref="B85:C85"/>
    <mergeCell ref="D85:E85"/>
    <mergeCell ref="F85:H85"/>
    <mergeCell ref="B86:C86"/>
    <mergeCell ref="D86:E86"/>
    <mergeCell ref="F86:H86"/>
    <mergeCell ref="B87:C87"/>
    <mergeCell ref="D90:E90"/>
    <mergeCell ref="F90:H90"/>
    <mergeCell ref="B88:C88"/>
    <mergeCell ref="D88:E88"/>
    <mergeCell ref="F88:H88"/>
    <mergeCell ref="B89:C89"/>
    <mergeCell ref="D89:E89"/>
    <mergeCell ref="F89:H89"/>
    <mergeCell ref="B90:C90"/>
    <mergeCell ref="D93:E93"/>
    <mergeCell ref="F93:H93"/>
    <mergeCell ref="B91:C91"/>
    <mergeCell ref="D91:E91"/>
    <mergeCell ref="F91:H91"/>
    <mergeCell ref="B92:C92"/>
    <mergeCell ref="D92:E92"/>
    <mergeCell ref="F92:H92"/>
    <mergeCell ref="B93:C93"/>
    <mergeCell ref="D96:E96"/>
    <mergeCell ref="F96:H96"/>
    <mergeCell ref="B94:C94"/>
    <mergeCell ref="D94:E94"/>
    <mergeCell ref="F94:H94"/>
    <mergeCell ref="B95:C95"/>
    <mergeCell ref="D95:E95"/>
    <mergeCell ref="F95:H95"/>
    <mergeCell ref="B96:C96"/>
    <mergeCell ref="D99:E99"/>
    <mergeCell ref="F99:H99"/>
    <mergeCell ref="B97:C97"/>
    <mergeCell ref="D97:E97"/>
    <mergeCell ref="F97:H97"/>
    <mergeCell ref="B98:C98"/>
    <mergeCell ref="D98:E98"/>
    <mergeCell ref="F98:H98"/>
    <mergeCell ref="B99:C99"/>
    <mergeCell ref="D102:E102"/>
    <mergeCell ref="F102:H102"/>
    <mergeCell ref="B100:C100"/>
    <mergeCell ref="D100:E100"/>
    <mergeCell ref="F100:H100"/>
    <mergeCell ref="B101:C101"/>
    <mergeCell ref="D101:E101"/>
    <mergeCell ref="F101:H101"/>
    <mergeCell ref="B102:C102"/>
    <mergeCell ref="D105:E105"/>
    <mergeCell ref="F105:H105"/>
    <mergeCell ref="B103:C103"/>
    <mergeCell ref="D103:E103"/>
    <mergeCell ref="F103:H103"/>
    <mergeCell ref="B104:C104"/>
    <mergeCell ref="D104:E104"/>
    <mergeCell ref="F104:H104"/>
    <mergeCell ref="B105:C105"/>
    <mergeCell ref="D108:E108"/>
    <mergeCell ref="F108:H108"/>
    <mergeCell ref="B106:C106"/>
    <mergeCell ref="D106:E106"/>
    <mergeCell ref="F106:H106"/>
    <mergeCell ref="B107:C107"/>
    <mergeCell ref="D107:E107"/>
    <mergeCell ref="F107:H107"/>
    <mergeCell ref="B108:C108"/>
    <mergeCell ref="D111:E111"/>
    <mergeCell ref="F111:H111"/>
    <mergeCell ref="B109:C109"/>
    <mergeCell ref="D109:E109"/>
    <mergeCell ref="F109:H109"/>
    <mergeCell ref="B110:C110"/>
    <mergeCell ref="D110:E110"/>
    <mergeCell ref="F110:H110"/>
    <mergeCell ref="B111:C111"/>
    <mergeCell ref="D114:E114"/>
    <mergeCell ref="F114:H114"/>
    <mergeCell ref="B112:C112"/>
    <mergeCell ref="D112:E112"/>
    <mergeCell ref="F112:H112"/>
    <mergeCell ref="B113:C113"/>
    <mergeCell ref="D113:E113"/>
    <mergeCell ref="F113:H113"/>
    <mergeCell ref="B114:C114"/>
    <mergeCell ref="D135:E135"/>
    <mergeCell ref="F135:H135"/>
    <mergeCell ref="B133:C133"/>
    <mergeCell ref="D133:E133"/>
    <mergeCell ref="F133:H133"/>
    <mergeCell ref="B134:C134"/>
    <mergeCell ref="D134:E134"/>
    <mergeCell ref="F134:H134"/>
    <mergeCell ref="B135:C135"/>
    <mergeCell ref="D3:E3"/>
    <mergeCell ref="F3:H3"/>
    <mergeCell ref="B1:C1"/>
    <mergeCell ref="D1:E1"/>
    <mergeCell ref="F1:H1"/>
    <mergeCell ref="B2:C2"/>
    <mergeCell ref="D2:E2"/>
    <mergeCell ref="F2:H2"/>
    <mergeCell ref="B3:C3"/>
    <mergeCell ref="D6:E6"/>
    <mergeCell ref="F6:H6"/>
    <mergeCell ref="B4:C4"/>
    <mergeCell ref="D4:E4"/>
    <mergeCell ref="F4:H4"/>
    <mergeCell ref="B5:C5"/>
    <mergeCell ref="D5:E5"/>
    <mergeCell ref="F5:H5"/>
    <mergeCell ref="B6:C6"/>
    <mergeCell ref="D9:E9"/>
    <mergeCell ref="F9:H9"/>
    <mergeCell ref="B7:C7"/>
    <mergeCell ref="D7:E7"/>
    <mergeCell ref="F7:H7"/>
    <mergeCell ref="B8:C8"/>
    <mergeCell ref="D8:E8"/>
    <mergeCell ref="F8:H8"/>
    <mergeCell ref="B9:C9"/>
    <mergeCell ref="B136:C136"/>
    <mergeCell ref="D136:E136"/>
    <mergeCell ref="F136:H136"/>
    <mergeCell ref="B137:C137"/>
    <mergeCell ref="D137:E137"/>
    <mergeCell ref="F137:H137"/>
    <mergeCell ref="B138:C138"/>
    <mergeCell ref="D117:E117"/>
    <mergeCell ref="F117:H117"/>
    <mergeCell ref="B115:C115"/>
    <mergeCell ref="D115:E115"/>
    <mergeCell ref="F115:H115"/>
    <mergeCell ref="B116:C116"/>
    <mergeCell ref="D116:E116"/>
    <mergeCell ref="F116:H116"/>
    <mergeCell ref="B117:C117"/>
    <mergeCell ref="D120:E120"/>
    <mergeCell ref="F120:H120"/>
    <mergeCell ref="B118:C118"/>
    <mergeCell ref="D118:E118"/>
    <mergeCell ref="F118:H118"/>
    <mergeCell ref="B119:C119"/>
    <mergeCell ref="D119:E119"/>
    <mergeCell ref="F119:H119"/>
    <mergeCell ref="B120:C120"/>
    <mergeCell ref="D123:E123"/>
    <mergeCell ref="F123:H123"/>
    <mergeCell ref="B121:C121"/>
    <mergeCell ref="D121:E121"/>
    <mergeCell ref="F121:H121"/>
    <mergeCell ref="B122:C122"/>
    <mergeCell ref="D122:E122"/>
    <mergeCell ref="F122:H122"/>
    <mergeCell ref="B123:C123"/>
    <mergeCell ref="D126:E126"/>
    <mergeCell ref="F126:H126"/>
    <mergeCell ref="B124:C124"/>
    <mergeCell ref="D124:E124"/>
    <mergeCell ref="F124:H124"/>
    <mergeCell ref="B125:C125"/>
    <mergeCell ref="D125:E125"/>
    <mergeCell ref="F125:H125"/>
    <mergeCell ref="B126:C126"/>
    <mergeCell ref="D129:E129"/>
    <mergeCell ref="F129:H129"/>
    <mergeCell ref="B127:C127"/>
    <mergeCell ref="D127:E127"/>
    <mergeCell ref="F127:H127"/>
    <mergeCell ref="B128:C128"/>
    <mergeCell ref="D128:E128"/>
    <mergeCell ref="F128:H128"/>
    <mergeCell ref="B129:C129"/>
    <mergeCell ref="D132:E132"/>
    <mergeCell ref="F132:H132"/>
    <mergeCell ref="B130:C130"/>
    <mergeCell ref="D130:E130"/>
    <mergeCell ref="F130:H130"/>
    <mergeCell ref="B131:C131"/>
    <mergeCell ref="D131:E131"/>
    <mergeCell ref="F131:H131"/>
    <mergeCell ref="B132:C132"/>
    <mergeCell ref="D138:E138"/>
    <mergeCell ref="F138:H138"/>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s>
  <conditionalFormatting sqref="A1:Z1">
    <cfRule type="notContainsBlanks" dxfId="0" priority="1">
      <formula>LEN(TRIM(A1))&gt;0</formula>
    </cfRule>
  </conditionalFormatting>
  <conditionalFormatting sqref="J363:J428">
    <cfRule type="containsText" dxfId="0" priority="2" operator="containsText" text="Yes">
      <formula>NOT(ISERROR(SEARCH(("Yes"),(J363))))</formula>
    </cfRule>
  </conditionalFormatting>
  <conditionalFormatting sqref="J363:J428">
    <cfRule type="containsText" dxfId="1" priority="3" operator="containsText" text="No">
      <formula>NOT(ISERROR(SEARCH(("No"),(J363))))</formula>
    </cfRule>
  </conditionalFormatting>
  <conditionalFormatting sqref="J363:J428">
    <cfRule type="containsText" dxfId="2" priority="4" operator="containsText" text="Changes">
      <formula>NOT(ISERROR(SEARCH(("Changes"),(J363))))</formula>
    </cfRule>
  </conditionalFormatting>
  <hyperlinks>
    <hyperlink r:id="rId1" ref="A2"/>
    <hyperlink r:id="rId2" location="Hats" ref="D2"/>
    <hyperlink r:id="rId3" ref="A3"/>
    <hyperlink r:id="rId4" location="Hats" ref="D3"/>
    <hyperlink r:id="rId5" ref="A4"/>
    <hyperlink r:id="rId6" ref="A5"/>
    <hyperlink r:id="rId7" location="Hats" ref="D5"/>
    <hyperlink r:id="rId8" ref="A6"/>
    <hyperlink r:id="rId9" ref="D6"/>
    <hyperlink r:id="rId10" ref="A7"/>
    <hyperlink r:id="rId11" location="Hats" ref="D7"/>
    <hyperlink r:id="rId12" ref="A8"/>
    <hyperlink r:id="rId13" ref="D8"/>
    <hyperlink r:id="rId14" ref="A9"/>
    <hyperlink r:id="rId15" ref="A10"/>
    <hyperlink r:id="rId16" location="Villager_Shops" ref="D10"/>
    <hyperlink r:id="rId17" ref="A11"/>
    <hyperlink r:id="rId18" location="Hats" ref="D11"/>
    <hyperlink r:id="rId19" ref="A12"/>
    <hyperlink r:id="rId20" ref="D12"/>
    <hyperlink r:id="rId21" ref="A13"/>
    <hyperlink r:id="rId22" ref="D13"/>
    <hyperlink r:id="rId23" ref="A14"/>
    <hyperlink r:id="rId24" ref="D14"/>
    <hyperlink r:id="rId25" ref="A15"/>
    <hyperlink r:id="rId26" location="Hats" ref="D15"/>
    <hyperlink r:id="rId27" ref="A16"/>
    <hyperlink r:id="rId28" location="Hats" ref="D16"/>
    <hyperlink r:id="rId29" ref="A17"/>
    <hyperlink r:id="rId30" ref="D17"/>
    <hyperlink r:id="rId31" ref="A18"/>
    <hyperlink r:id="rId32" ref="D18"/>
    <hyperlink r:id="rId33" location="Hats" ref="D19"/>
    <hyperlink r:id="rId34" ref="A20"/>
    <hyperlink r:id="rId35" ref="D20"/>
    <hyperlink r:id="rId36" ref="A21"/>
    <hyperlink r:id="rId37" ref="D21"/>
    <hyperlink r:id="rId38" ref="A22"/>
    <hyperlink r:id="rId39" location="Hats" ref="D22"/>
    <hyperlink r:id="rId40" ref="A23"/>
    <hyperlink r:id="rId41" location="Prize_Machine" ref="D23"/>
    <hyperlink r:id="rId42" ref="A24"/>
    <hyperlink r:id="rId43" ref="D24"/>
    <hyperlink r:id="rId44" ref="A25"/>
    <hyperlink r:id="rId45" ref="D25"/>
    <hyperlink r:id="rId46" ref="A26"/>
    <hyperlink r:id="rId47" ref="A27"/>
    <hyperlink r:id="rId48" ref="D27"/>
    <hyperlink r:id="rId49" ref="A28"/>
    <hyperlink r:id="rId50" location="Monster_Eradication_Goals" ref="D28"/>
    <hyperlink r:id="rId51" ref="D29"/>
    <hyperlink r:id="rId52" ref="A30"/>
    <hyperlink r:id="rId53" ref="D30"/>
    <hyperlink r:id="rId54" ref="A31"/>
    <hyperlink r:id="rId55" ref="D31"/>
    <hyperlink r:id="rId56" ref="A32"/>
    <hyperlink r:id="rId57" ref="D32"/>
    <hyperlink r:id="rId58" ref="A33"/>
    <hyperlink r:id="rId59" location="Hats" ref="D33"/>
    <hyperlink r:id="rId60" ref="A34"/>
    <hyperlink r:id="rId61" ref="D34"/>
    <hyperlink r:id="rId62" ref="A35"/>
    <hyperlink r:id="rId63" location="Hats" ref="D35"/>
    <hyperlink r:id="rId64" ref="A36"/>
    <hyperlink r:id="rId65" location="Hats" ref="D36"/>
    <hyperlink r:id="rId66" ref="A37"/>
    <hyperlink r:id="rId67" location="Hats" ref="D37"/>
    <hyperlink r:id="rId68" ref="A38"/>
    <hyperlink r:id="rId69" location="Help_Wanted_Quests" ref="D38"/>
    <hyperlink r:id="rId70" ref="A39"/>
    <hyperlink r:id="rId71" ref="D39"/>
    <hyperlink r:id="rId72" ref="A40"/>
    <hyperlink r:id="rId73" location="Hats" ref="D40"/>
    <hyperlink r:id="rId74" ref="A41"/>
    <hyperlink r:id="rId75" ref="D41"/>
    <hyperlink r:id="rId76" ref="A42"/>
    <hyperlink r:id="rId77" location="Hats" ref="D42"/>
    <hyperlink r:id="rId78" ref="A43"/>
    <hyperlink r:id="rId79" location="Hats" ref="D43"/>
    <hyperlink r:id="rId80" ref="A44"/>
    <hyperlink r:id="rId81" location="Hats" ref="D44"/>
    <hyperlink r:id="rId82" ref="A45"/>
    <hyperlink r:id="rId83" ref="D45"/>
    <hyperlink r:id="rId84" ref="A46"/>
    <hyperlink r:id="rId85" location="cite_note-tgp-2" ref="D46"/>
    <hyperlink r:id="rId86" ref="A47"/>
    <hyperlink r:id="rId87" ref="D47"/>
    <hyperlink r:id="rId88" ref="A48"/>
    <hyperlink r:id="rId89" ref="D48"/>
    <hyperlink r:id="rId90" ref="A49"/>
    <hyperlink r:id="rId91" ref="D49"/>
    <hyperlink r:id="rId92" ref="A50"/>
    <hyperlink r:id="rId93" ref="D50"/>
    <hyperlink r:id="rId94" ref="A51"/>
    <hyperlink r:id="rId95" location="Calico_Egg_Merchant" ref="D51"/>
    <hyperlink r:id="rId96" ref="A52"/>
    <hyperlink r:id="rId97" ref="D52"/>
    <hyperlink r:id="rId98" ref="A53"/>
    <hyperlink r:id="rId99" ref="D53"/>
    <hyperlink r:id="rId100" ref="A54"/>
    <hyperlink r:id="rId101" ref="D54"/>
    <hyperlink r:id="rId102" ref="A55"/>
    <hyperlink r:id="rId103" ref="D55"/>
    <hyperlink r:id="rId104" ref="A56"/>
    <hyperlink r:id="rId105" ref="A57"/>
    <hyperlink r:id="rId106" location="Hats" ref="D57"/>
    <hyperlink r:id="rId107" ref="A58"/>
    <hyperlink r:id="rId108" ref="D58"/>
    <hyperlink r:id="rId109" ref="A59"/>
    <hyperlink r:id="rId110" ref="D59"/>
    <hyperlink r:id="rId111" ref="A60"/>
    <hyperlink r:id="rId112" location="Emily.27s_Outfit_Services" ref="D60"/>
    <hyperlink r:id="rId113" ref="A61"/>
    <hyperlink r:id="rId114" location="Monster_Eradication_Goals" ref="D61"/>
    <hyperlink r:id="rId115" ref="A62"/>
    <hyperlink r:id="rId116" ref="D62"/>
    <hyperlink r:id="rId117" ref="A63"/>
    <hyperlink r:id="rId118" location="Emily.27s_Outfit_Services" ref="D63"/>
    <hyperlink r:id="rId119" ref="A64"/>
    <hyperlink r:id="rId120" ref="D64"/>
    <hyperlink r:id="rId121" ref="A65"/>
    <hyperlink r:id="rId122" ref="D65"/>
    <hyperlink r:id="rId123" ref="A66"/>
    <hyperlink r:id="rId124" ref="D66"/>
    <hyperlink r:id="rId125" ref="A67"/>
    <hyperlink r:id="rId126" ref="A68"/>
    <hyperlink r:id="rId127" location="Monster_Eradication_Goals" ref="D68"/>
    <hyperlink r:id="rId128" ref="A69"/>
    <hyperlink r:id="rId129" location="Hats" ref="D69"/>
    <hyperlink r:id="rId130" ref="A70"/>
    <hyperlink r:id="rId131" ref="D70"/>
    <hyperlink r:id="rId132" ref="A71"/>
    <hyperlink r:id="rId133" ref="D71"/>
    <hyperlink r:id="rId134" ref="A72"/>
    <hyperlink r:id="rId135" ref="A73"/>
    <hyperlink r:id="rId136" location="Hats" ref="D73"/>
    <hyperlink r:id="rId137" ref="A74"/>
    <hyperlink r:id="rId138" ref="D74"/>
    <hyperlink r:id="rId139" ref="A75"/>
    <hyperlink r:id="rId140" ref="D75"/>
    <hyperlink r:id="rId141" ref="A76"/>
    <hyperlink r:id="rId142" location="Hats" ref="D76"/>
    <hyperlink r:id="rId143" ref="A77"/>
    <hyperlink r:id="rId144" ref="D77"/>
    <hyperlink r:id="rId145" ref="A78"/>
    <hyperlink r:id="rId146" ref="D78"/>
    <hyperlink r:id="rId147" ref="A79"/>
    <hyperlink r:id="rId148" location="Skull_Cavern" ref="D79"/>
    <hyperlink r:id="rId149" ref="A80"/>
    <hyperlink r:id="rId150" ref="D80"/>
    <hyperlink r:id="rId151" ref="A81"/>
    <hyperlink r:id="rId152" location="Presents" ref="D81"/>
    <hyperlink r:id="rId153" ref="A82"/>
    <hyperlink r:id="rId154" location="Hats" ref="D82"/>
    <hyperlink r:id="rId155" ref="A83"/>
    <hyperlink r:id="rId156" location="Hats" ref="D83"/>
    <hyperlink r:id="rId157" ref="A84"/>
    <hyperlink r:id="rId158" location="Hats" ref="D84"/>
    <hyperlink r:id="rId159" ref="A85"/>
    <hyperlink r:id="rId160" location="Hats" ref="D85"/>
    <hyperlink r:id="rId161" ref="A86"/>
    <hyperlink r:id="rId162" ref="D86"/>
    <hyperlink r:id="rId163" ref="A87"/>
    <hyperlink r:id="rId164" location="Hats" ref="D87"/>
    <hyperlink r:id="rId165" ref="A88"/>
    <hyperlink r:id="rId166" ref="D88"/>
    <hyperlink r:id="rId167" ref="A89"/>
    <hyperlink r:id="rId168" ref="D89"/>
    <hyperlink r:id="rId169" ref="A90"/>
    <hyperlink r:id="rId170" ref="D90"/>
    <hyperlink r:id="rId171" ref="A91"/>
    <hyperlink r:id="rId172" ref="D91"/>
    <hyperlink r:id="rId173" ref="A92"/>
    <hyperlink r:id="rId174" location="Hats" ref="D92"/>
    <hyperlink r:id="rId175" ref="A93"/>
    <hyperlink r:id="rId176" ref="D93"/>
    <hyperlink r:id="rId177" ref="A94"/>
    <hyperlink r:id="rId178" ref="D94"/>
    <hyperlink r:id="rId179" ref="A95"/>
    <hyperlink r:id="rId180" ref="D95"/>
    <hyperlink r:id="rId181" ref="A96"/>
    <hyperlink r:id="rId182" location="Calico_Egg_Merchant" ref="D96"/>
    <hyperlink r:id="rId183" ref="A97"/>
    <hyperlink r:id="rId184" ref="D97"/>
    <hyperlink r:id="rId185" ref="A98"/>
    <hyperlink r:id="rId186" location="Emily.27s_Outfit_Services" ref="D98"/>
    <hyperlink r:id="rId187" ref="A99"/>
    <hyperlink r:id="rId188" ref="D99"/>
    <hyperlink r:id="rId189" ref="A100"/>
    <hyperlink r:id="rId190" ref="D100"/>
    <hyperlink r:id="rId191" ref="A101"/>
    <hyperlink r:id="rId192" ref="D101"/>
    <hyperlink r:id="rId193" ref="A102"/>
    <hyperlink r:id="rId194" ref="D102"/>
    <hyperlink r:id="rId195" ref="A103"/>
    <hyperlink r:id="rId196" ref="D103"/>
    <hyperlink r:id="rId197" ref="A104"/>
    <hyperlink r:id="rId198" ref="A105"/>
    <hyperlink r:id="rId199" location="Magic_Shop_Boat" ref="D105"/>
    <hyperlink r:id="rId200" location="Help_Wanted_Quests" ref="D106"/>
    <hyperlink r:id="rId201" ref="A107"/>
    <hyperlink r:id="rId202" ref="D107"/>
    <hyperlink r:id="rId203" ref="A108"/>
    <hyperlink r:id="rId204" ref="D108"/>
    <hyperlink r:id="rId205" ref="A109"/>
    <hyperlink r:id="rId206" ref="D109"/>
    <hyperlink r:id="rId207" ref="A110"/>
    <hyperlink r:id="rId208" ref="D110"/>
    <hyperlink r:id="rId209" ref="A111"/>
    <hyperlink r:id="rId210" location="Hats" ref="D111"/>
    <hyperlink r:id="rId211" ref="A112"/>
    <hyperlink r:id="rId212" ref="A113"/>
    <hyperlink r:id="rId213" ref="D113"/>
    <hyperlink r:id="rId214" ref="A114"/>
    <hyperlink r:id="rId215" ref="D114"/>
    <hyperlink r:id="rId216" ref="A115"/>
    <hyperlink r:id="rId217" ref="D115"/>
    <hyperlink r:id="rId218" ref="A116"/>
    <hyperlink r:id="rId219" location="Calico_Egg_Merchant" ref="D116"/>
    <hyperlink r:id="rId220" ref="A117"/>
    <hyperlink r:id="rId221" ref="D117"/>
    <hyperlink r:id="rId222" ref="A118"/>
    <hyperlink r:id="rId223" location="Hats" ref="D118"/>
    <hyperlink r:id="rId224" ref="A119"/>
    <hyperlink r:id="rId225" location="Hats" ref="D119"/>
    <hyperlink r:id="rId226" ref="A120"/>
    <hyperlink r:id="rId227" ref="D120"/>
    <hyperlink r:id="rId228" ref="A121"/>
    <hyperlink r:id="rId229" location="Monster_Eradication_Goals" ref="D121"/>
    <hyperlink r:id="rId230" ref="A122"/>
    <hyperlink r:id="rId231" location="Villager_Shops" ref="D122"/>
    <hyperlink r:id="rId232" ref="A138"/>
    <hyperlink r:id="rId233" ref="D138"/>
    <hyperlink r:id="rId234" ref="E141"/>
    <hyperlink r:id="rId235" ref="E142"/>
    <hyperlink r:id="rId236" ref="E143"/>
    <hyperlink r:id="rId237" ref="E146"/>
    <hyperlink r:id="rId238" ref="E147"/>
    <hyperlink r:id="rId239" ref="E148"/>
    <hyperlink r:id="rId240" ref="E149"/>
    <hyperlink r:id="rId241" location="cite_note-softedgepullover-3" ref="D150"/>
    <hyperlink r:id="rId242" ref="E150"/>
    <hyperlink r:id="rId243" ref="E151"/>
    <hyperlink r:id="rId244" ref="E152"/>
    <hyperlink r:id="rId245" ref="E153"/>
    <hyperlink r:id="rId246" ref="E154"/>
    <hyperlink r:id="rId247" ref="E155"/>
    <hyperlink r:id="rId248" ref="E156"/>
    <hyperlink r:id="rId249" ref="E157"/>
    <hyperlink r:id="rId250" ref="E158"/>
    <hyperlink r:id="rId251" ref="E159"/>
    <hyperlink r:id="rId252" ref="E160"/>
    <hyperlink r:id="rId253" ref="E161"/>
    <hyperlink r:id="rId254" ref="E162"/>
    <hyperlink r:id="rId255" ref="E163"/>
    <hyperlink r:id="rId256" ref="E164"/>
    <hyperlink r:id="rId257" ref="E166"/>
    <hyperlink r:id="rId258" ref="E167"/>
    <hyperlink r:id="rId259" ref="E168"/>
    <hyperlink r:id="rId260" ref="E169"/>
    <hyperlink r:id="rId261" ref="E170"/>
    <hyperlink r:id="rId262" ref="E171"/>
    <hyperlink r:id="rId263" ref="E172"/>
    <hyperlink r:id="rId264" ref="E173"/>
    <hyperlink r:id="rId265" ref="E174"/>
    <hyperlink r:id="rId266" ref="E175"/>
    <hyperlink r:id="rId267" ref="E176"/>
    <hyperlink r:id="rId268" ref="E177"/>
    <hyperlink r:id="rId269" ref="E179"/>
    <hyperlink r:id="rId270" ref="E180"/>
    <hyperlink r:id="rId271" ref="E181"/>
    <hyperlink r:id="rId272" ref="D182"/>
    <hyperlink r:id="rId273" ref="E182"/>
    <hyperlink r:id="rId274" ref="D183"/>
    <hyperlink r:id="rId275" ref="E183"/>
    <hyperlink r:id="rId276" ref="E184"/>
    <hyperlink r:id="rId277" ref="E185"/>
    <hyperlink r:id="rId278" ref="E186"/>
    <hyperlink r:id="rId279" ref="E187"/>
    <hyperlink r:id="rId280" ref="E188"/>
    <hyperlink r:id="rId281" ref="E189"/>
    <hyperlink r:id="rId282" ref="E190"/>
    <hyperlink r:id="rId283" ref="E192"/>
    <hyperlink r:id="rId284" location="Medical_Supplies" ref="E193"/>
    <hyperlink r:id="rId285" ref="E194"/>
    <hyperlink r:id="rId286" ref="E195"/>
    <hyperlink r:id="rId287" ref="E197"/>
    <hyperlink r:id="rId288" ref="E198"/>
    <hyperlink r:id="rId289" ref="E199"/>
    <hyperlink r:id="rId290" ref="E200"/>
    <hyperlink r:id="rId291" ref="E201"/>
    <hyperlink r:id="rId292" ref="E203"/>
    <hyperlink r:id="rId293" ref="E204"/>
    <hyperlink r:id="rId294" ref="E205"/>
    <hyperlink r:id="rId295" ref="E207"/>
    <hyperlink r:id="rId296" ref="D208"/>
    <hyperlink r:id="rId297" ref="E208"/>
    <hyperlink r:id="rId298" ref="E209"/>
    <hyperlink r:id="rId299" ref="E210"/>
    <hyperlink r:id="rId300" ref="E211"/>
    <hyperlink r:id="rId301" ref="E212"/>
    <hyperlink r:id="rId302" ref="E213"/>
    <hyperlink r:id="rId303" ref="E214"/>
    <hyperlink r:id="rId304" ref="E215"/>
    <hyperlink r:id="rId305" ref="E217"/>
    <hyperlink r:id="rId306" ref="E218"/>
    <hyperlink r:id="rId307" ref="E219"/>
    <hyperlink r:id="rId308" ref="E220"/>
    <hyperlink r:id="rId309" ref="E221"/>
    <hyperlink r:id="rId310" ref="D222"/>
    <hyperlink r:id="rId311" ref="E223"/>
    <hyperlink r:id="rId312" ref="E224"/>
    <hyperlink r:id="rId313" ref="E225"/>
    <hyperlink r:id="rId314" ref="E226"/>
    <hyperlink r:id="rId315" ref="E227"/>
    <hyperlink r:id="rId316" ref="E228"/>
    <hyperlink r:id="rId317" ref="E229"/>
    <hyperlink r:id="rId318" ref="E230"/>
    <hyperlink r:id="rId319" ref="E231"/>
    <hyperlink r:id="rId320" ref="E232"/>
    <hyperlink r:id="rId321" ref="E233"/>
    <hyperlink r:id="rId322" ref="E234"/>
    <hyperlink r:id="rId323" ref="E235"/>
    <hyperlink r:id="rId324" location="Medical_Supplies" ref="E236"/>
    <hyperlink r:id="rId325" ref="E237"/>
    <hyperlink r:id="rId326" ref="E238"/>
    <hyperlink r:id="rId327" ref="E239"/>
    <hyperlink r:id="rId328" ref="E240"/>
    <hyperlink r:id="rId329" ref="E241"/>
    <hyperlink r:id="rId330" ref="E242"/>
    <hyperlink r:id="rId331" ref="E243"/>
    <hyperlink r:id="rId332" ref="E244"/>
    <hyperlink r:id="rId333" ref="E245"/>
    <hyperlink r:id="rId334" ref="E246"/>
    <hyperlink r:id="rId335" ref="E247"/>
    <hyperlink r:id="rId336" ref="E252"/>
    <hyperlink r:id="rId337" ref="E253"/>
    <hyperlink r:id="rId338" ref="E254"/>
    <hyperlink r:id="rId339" ref="E255"/>
    <hyperlink r:id="rId340" ref="E256"/>
    <hyperlink r:id="rId341" ref="E257"/>
    <hyperlink r:id="rId342" ref="E258"/>
    <hyperlink r:id="rId343" ref="E259"/>
    <hyperlink r:id="rId344" ref="E260"/>
    <hyperlink r:id="rId345" ref="E262"/>
    <hyperlink r:id="rId346" ref="E263"/>
    <hyperlink r:id="rId347" ref="E264"/>
    <hyperlink r:id="rId348" ref="E265"/>
    <hyperlink r:id="rId349" ref="E266"/>
    <hyperlink r:id="rId350" ref="E267"/>
    <hyperlink r:id="rId351" ref="E268"/>
    <hyperlink r:id="rId352" ref="E269"/>
    <hyperlink r:id="rId353" ref="E271"/>
    <hyperlink r:id="rId354" ref="E272"/>
    <hyperlink r:id="rId355" ref="E274"/>
    <hyperlink r:id="rId356" ref="E275"/>
    <hyperlink r:id="rId357" ref="E276"/>
    <hyperlink r:id="rId358" ref="E277"/>
    <hyperlink r:id="rId359" ref="E278"/>
    <hyperlink r:id="rId360" ref="E279"/>
    <hyperlink r:id="rId361" ref="E280"/>
    <hyperlink r:id="rId362" ref="E281"/>
    <hyperlink r:id="rId363" ref="E283"/>
    <hyperlink r:id="rId364" ref="E284"/>
    <hyperlink r:id="rId365" ref="E285"/>
    <hyperlink r:id="rId366" ref="E286"/>
    <hyperlink r:id="rId367" ref="E287"/>
    <hyperlink r:id="rId368" ref="E288"/>
    <hyperlink r:id="rId369" ref="E289"/>
    <hyperlink r:id="rId370" ref="E290"/>
    <hyperlink r:id="rId371" ref="D291"/>
    <hyperlink r:id="rId372" ref="E291"/>
    <hyperlink r:id="rId373" ref="D292"/>
    <hyperlink r:id="rId374" ref="E292"/>
    <hyperlink r:id="rId375" ref="E293"/>
    <hyperlink r:id="rId376" ref="E294"/>
    <hyperlink r:id="rId377" ref="E295"/>
    <hyperlink r:id="rId378" ref="E296"/>
    <hyperlink r:id="rId379" ref="E297"/>
    <hyperlink r:id="rId380" ref="E299"/>
    <hyperlink r:id="rId381" ref="E300"/>
    <hyperlink r:id="rId382" ref="E301"/>
    <hyperlink r:id="rId383" ref="E302"/>
    <hyperlink r:id="rId384" ref="E303"/>
    <hyperlink r:id="rId385" ref="E304"/>
    <hyperlink r:id="rId386" ref="E305"/>
    <hyperlink r:id="rId387" ref="E306"/>
    <hyperlink r:id="rId388" ref="E307"/>
    <hyperlink r:id="rId389" ref="E309"/>
    <hyperlink r:id="rId390" ref="E310"/>
    <hyperlink r:id="rId391" ref="E311"/>
    <hyperlink r:id="rId392" ref="E312"/>
    <hyperlink r:id="rId393" ref="E313"/>
    <hyperlink r:id="rId394" ref="E314"/>
    <hyperlink r:id="rId395" ref="E315"/>
    <hyperlink r:id="rId396" ref="E316"/>
    <hyperlink r:id="rId397" ref="E317"/>
    <hyperlink r:id="rId398" ref="E318"/>
    <hyperlink r:id="rId399" ref="E319"/>
    <hyperlink r:id="rId400" ref="E320"/>
    <hyperlink r:id="rId401" ref="E321"/>
    <hyperlink r:id="rId402" ref="E322"/>
    <hyperlink r:id="rId403" ref="E324"/>
    <hyperlink r:id="rId404" ref="E325"/>
    <hyperlink r:id="rId405" ref="E326"/>
    <hyperlink r:id="rId406" ref="E327"/>
    <hyperlink r:id="rId407" ref="E328"/>
    <hyperlink r:id="rId408" ref="E329"/>
    <hyperlink r:id="rId409" ref="E330"/>
    <hyperlink r:id="rId410" ref="E331"/>
    <hyperlink r:id="rId411" ref="E332"/>
    <hyperlink r:id="rId412" ref="E333"/>
    <hyperlink r:id="rId413" ref="E334"/>
    <hyperlink r:id="rId414" ref="D340"/>
    <hyperlink r:id="rId415" ref="D341"/>
    <hyperlink r:id="rId416" ref="D342"/>
    <hyperlink r:id="rId417" ref="D343"/>
    <hyperlink r:id="rId418" ref="D344"/>
    <hyperlink r:id="rId419" ref="D345"/>
    <hyperlink r:id="rId420" ref="D347"/>
    <hyperlink r:id="rId421" ref="D348"/>
    <hyperlink r:id="rId422" ref="D349"/>
    <hyperlink r:id="rId423" ref="D350"/>
    <hyperlink r:id="rId424" ref="D351"/>
    <hyperlink r:id="rId425" ref="D352"/>
    <hyperlink r:id="rId426" ref="D353"/>
    <hyperlink r:id="rId427" ref="D354"/>
  </hyperlinks>
  <drawing r:id="rId4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0.38"/>
    <col customWidth="1" min="3" max="3" width="20.38"/>
    <col customWidth="1" min="4" max="4" width="20.5"/>
    <col customWidth="1" min="5" max="5" width="22.0"/>
    <col customWidth="1" min="8" max="8" width="46.13"/>
    <col customWidth="1" min="9" max="9" width="26.63"/>
  </cols>
  <sheetData>
    <row r="1">
      <c r="A1" s="1" t="s">
        <v>0</v>
      </c>
      <c r="B1" s="2" t="s">
        <v>1</v>
      </c>
      <c r="C1" s="3"/>
      <c r="D1" s="4" t="s">
        <v>2</v>
      </c>
      <c r="E1" s="3"/>
      <c r="F1" s="4" t="s">
        <v>3</v>
      </c>
      <c r="G1" s="5"/>
      <c r="H1" s="3"/>
      <c r="I1" s="6" t="s">
        <v>4</v>
      </c>
      <c r="J1" s="7"/>
      <c r="K1" s="7"/>
      <c r="L1" s="7"/>
      <c r="M1" s="7"/>
      <c r="N1" s="7"/>
      <c r="O1" s="7"/>
    </row>
    <row r="2">
      <c r="A2" s="8" t="s">
        <v>5</v>
      </c>
      <c r="B2" s="9" t="s">
        <v>6</v>
      </c>
      <c r="C2" s="10"/>
      <c r="D2" s="11" t="s">
        <v>7</v>
      </c>
      <c r="E2" s="10"/>
      <c r="F2" s="12" t="s">
        <v>8</v>
      </c>
      <c r="G2" s="13"/>
      <c r="H2" s="10"/>
      <c r="I2" s="14"/>
      <c r="J2" s="7"/>
      <c r="K2" s="7"/>
      <c r="L2" s="7"/>
      <c r="M2" s="7"/>
      <c r="N2" s="7">
        <f t="shared" ref="N2:N132" si="1"> IF(ISBLANK(F2), 0, 1)</f>
        <v>1</v>
      </c>
      <c r="O2" s="7"/>
    </row>
    <row r="3" ht="16.5" customHeight="1">
      <c r="A3" s="8" t="s">
        <v>9</v>
      </c>
      <c r="B3" s="9" t="s">
        <v>10</v>
      </c>
      <c r="C3" s="10"/>
      <c r="D3" s="11" t="s">
        <v>11</v>
      </c>
      <c r="E3" s="10"/>
      <c r="F3" s="12" t="s">
        <v>13</v>
      </c>
      <c r="G3" s="13"/>
      <c r="H3" s="10"/>
      <c r="I3" s="14"/>
      <c r="J3" s="7"/>
      <c r="K3" s="7"/>
      <c r="L3" s="7"/>
      <c r="M3" s="7"/>
      <c r="N3" s="7">
        <f t="shared" si="1"/>
        <v>1</v>
      </c>
      <c r="O3" s="7"/>
    </row>
    <row r="4">
      <c r="A4" s="8" t="s">
        <v>14</v>
      </c>
      <c r="B4" s="9" t="s">
        <v>15</v>
      </c>
      <c r="C4" s="10"/>
      <c r="D4" s="15" t="s">
        <v>16</v>
      </c>
      <c r="E4" s="10"/>
      <c r="F4" s="16"/>
      <c r="G4" s="13"/>
      <c r="H4" s="10"/>
      <c r="I4" s="14"/>
      <c r="J4" s="7"/>
      <c r="K4" s="7"/>
      <c r="L4" s="7"/>
      <c r="M4" s="7"/>
      <c r="N4" s="7">
        <f t="shared" si="1"/>
        <v>0</v>
      </c>
      <c r="O4" s="7"/>
    </row>
    <row r="5">
      <c r="A5" s="8" t="s">
        <v>17</v>
      </c>
      <c r="B5" s="9" t="s">
        <v>18</v>
      </c>
      <c r="C5" s="10"/>
      <c r="D5" s="11" t="s">
        <v>7</v>
      </c>
      <c r="E5" s="10"/>
      <c r="F5" s="12" t="s">
        <v>19</v>
      </c>
      <c r="G5" s="13"/>
      <c r="H5" s="10"/>
      <c r="I5" s="17" t="s">
        <v>20</v>
      </c>
      <c r="J5" s="7"/>
      <c r="K5" s="7"/>
      <c r="L5" s="7"/>
      <c r="M5" s="7"/>
      <c r="N5" s="7">
        <f t="shared" si="1"/>
        <v>1</v>
      </c>
      <c r="O5" s="7"/>
    </row>
    <row r="6">
      <c r="A6" s="8" t="s">
        <v>21</v>
      </c>
      <c r="B6" s="9" t="s">
        <v>22</v>
      </c>
      <c r="C6" s="10"/>
      <c r="D6" s="18" t="s">
        <v>23</v>
      </c>
      <c r="E6" s="10"/>
      <c r="F6" s="12" t="s">
        <v>24</v>
      </c>
      <c r="G6" s="13"/>
      <c r="H6" s="10"/>
      <c r="I6" s="14"/>
      <c r="J6" s="7"/>
      <c r="K6" s="7"/>
      <c r="L6" s="7"/>
      <c r="M6" s="7"/>
      <c r="N6" s="7">
        <f t="shared" si="1"/>
        <v>1</v>
      </c>
      <c r="O6" s="7"/>
    </row>
    <row r="7">
      <c r="A7" s="8" t="s">
        <v>25</v>
      </c>
      <c r="B7" s="9" t="s">
        <v>26</v>
      </c>
      <c r="C7" s="10"/>
      <c r="D7" s="11" t="s">
        <v>7</v>
      </c>
      <c r="E7" s="10"/>
      <c r="F7" s="12" t="s">
        <v>27</v>
      </c>
      <c r="G7" s="13"/>
      <c r="H7" s="10"/>
      <c r="I7" s="14"/>
      <c r="J7" s="7"/>
      <c r="K7" s="7"/>
      <c r="L7" s="7"/>
      <c r="M7" s="7"/>
      <c r="N7" s="7">
        <f t="shared" si="1"/>
        <v>1</v>
      </c>
      <c r="O7" s="7"/>
    </row>
    <row r="8">
      <c r="A8" s="8" t="s">
        <v>28</v>
      </c>
      <c r="B8" s="9" t="s">
        <v>29</v>
      </c>
      <c r="C8" s="10"/>
      <c r="D8" s="11" t="s">
        <v>30</v>
      </c>
      <c r="E8" s="10"/>
      <c r="F8" s="12" t="s">
        <v>31</v>
      </c>
      <c r="G8" s="13"/>
      <c r="H8" s="10"/>
      <c r="I8" s="14"/>
      <c r="J8" s="7"/>
      <c r="K8" s="7"/>
      <c r="L8" s="7"/>
      <c r="M8" s="7"/>
      <c r="N8" s="7">
        <f t="shared" si="1"/>
        <v>1</v>
      </c>
      <c r="O8" s="7"/>
    </row>
    <row r="9">
      <c r="A9" s="8" t="s">
        <v>32</v>
      </c>
      <c r="B9" s="9" t="s">
        <v>33</v>
      </c>
      <c r="C9" s="10"/>
      <c r="D9" s="9" t="s">
        <v>34</v>
      </c>
      <c r="E9" s="10"/>
      <c r="F9" s="16"/>
      <c r="G9" s="13"/>
      <c r="H9" s="10"/>
      <c r="I9" s="14"/>
      <c r="J9" s="7"/>
      <c r="K9" s="7"/>
      <c r="L9" s="7"/>
      <c r="M9" s="7"/>
      <c r="N9" s="7">
        <f t="shared" si="1"/>
        <v>0</v>
      </c>
      <c r="O9" s="7"/>
    </row>
    <row r="10">
      <c r="A10" s="8" t="s">
        <v>35</v>
      </c>
      <c r="B10" s="15" t="s">
        <v>36</v>
      </c>
      <c r="C10" s="10"/>
      <c r="D10" s="19" t="s">
        <v>62</v>
      </c>
      <c r="E10" s="10"/>
      <c r="F10" s="12" t="s">
        <v>38</v>
      </c>
      <c r="G10" s="13"/>
      <c r="H10" s="10"/>
      <c r="I10" s="17" t="s">
        <v>39</v>
      </c>
      <c r="J10" s="7"/>
      <c r="K10" s="7"/>
      <c r="L10" s="7"/>
      <c r="M10" s="7"/>
      <c r="N10" s="7">
        <f t="shared" si="1"/>
        <v>1</v>
      </c>
      <c r="O10" s="7"/>
    </row>
    <row r="11">
      <c r="A11" s="8" t="s">
        <v>40</v>
      </c>
      <c r="B11" s="9" t="s">
        <v>42</v>
      </c>
      <c r="C11" s="10"/>
      <c r="D11" s="11" t="s">
        <v>7</v>
      </c>
      <c r="E11" s="10"/>
      <c r="F11" s="12" t="s">
        <v>43</v>
      </c>
      <c r="G11" s="13"/>
      <c r="H11" s="10"/>
      <c r="I11" s="14"/>
      <c r="J11" s="7"/>
      <c r="K11" s="7"/>
      <c r="L11" s="7"/>
      <c r="M11" s="7"/>
      <c r="N11" s="7">
        <f t="shared" si="1"/>
        <v>1</v>
      </c>
      <c r="O11" s="7"/>
    </row>
    <row r="12">
      <c r="A12" s="8" t="s">
        <v>44</v>
      </c>
      <c r="B12" s="9" t="s">
        <v>45</v>
      </c>
      <c r="C12" s="10"/>
      <c r="D12" s="19" t="s">
        <v>74</v>
      </c>
      <c r="E12" s="10"/>
      <c r="F12" s="12" t="s">
        <v>47</v>
      </c>
      <c r="G12" s="13"/>
      <c r="H12" s="10"/>
      <c r="I12" s="14"/>
      <c r="J12" s="7"/>
      <c r="K12" s="7"/>
      <c r="L12" s="7"/>
      <c r="M12" s="7"/>
      <c r="N12" s="7">
        <f t="shared" si="1"/>
        <v>1</v>
      </c>
      <c r="O12" s="7"/>
    </row>
    <row r="13">
      <c r="A13" s="8" t="s">
        <v>48</v>
      </c>
      <c r="B13" s="9" t="s">
        <v>49</v>
      </c>
      <c r="C13" s="10"/>
      <c r="D13" s="18" t="s">
        <v>50</v>
      </c>
      <c r="E13" s="10"/>
      <c r="F13" s="12" t="s">
        <v>51</v>
      </c>
      <c r="G13" s="13"/>
      <c r="H13" s="10"/>
      <c r="I13" s="17" t="s">
        <v>52</v>
      </c>
      <c r="J13" s="7"/>
      <c r="K13" s="7"/>
      <c r="L13" s="7"/>
      <c r="M13" s="7"/>
      <c r="N13" s="7">
        <f t="shared" si="1"/>
        <v>1</v>
      </c>
      <c r="O13" s="7"/>
    </row>
    <row r="14">
      <c r="A14" s="8" t="s">
        <v>53</v>
      </c>
      <c r="B14" s="15" t="s">
        <v>54</v>
      </c>
      <c r="C14" s="10"/>
      <c r="D14" s="19" t="s">
        <v>97</v>
      </c>
      <c r="E14" s="10"/>
      <c r="F14" s="12" t="s">
        <v>57</v>
      </c>
      <c r="G14" s="13"/>
      <c r="H14" s="10"/>
      <c r="I14" s="14"/>
      <c r="J14" s="7"/>
      <c r="K14" s="7"/>
      <c r="L14" s="7"/>
      <c r="M14" s="7"/>
      <c r="N14" s="7">
        <f t="shared" si="1"/>
        <v>1</v>
      </c>
      <c r="O14" s="7"/>
    </row>
    <row r="15">
      <c r="A15" s="8" t="s">
        <v>59</v>
      </c>
      <c r="B15" s="9" t="s">
        <v>60</v>
      </c>
      <c r="C15" s="10"/>
      <c r="D15" s="11" t="s">
        <v>7</v>
      </c>
      <c r="E15" s="10"/>
      <c r="F15" s="12" t="s">
        <v>61</v>
      </c>
      <c r="G15" s="13"/>
      <c r="H15" s="10"/>
      <c r="I15" s="14"/>
      <c r="J15" s="7"/>
      <c r="K15" s="7"/>
      <c r="L15" s="7"/>
      <c r="M15" s="7"/>
      <c r="N15" s="7">
        <f t="shared" si="1"/>
        <v>1</v>
      </c>
      <c r="O15" s="7"/>
    </row>
    <row r="16">
      <c r="A16" s="8" t="s">
        <v>63</v>
      </c>
      <c r="B16" s="9" t="s">
        <v>64</v>
      </c>
      <c r="C16" s="10"/>
      <c r="D16" s="11" t="s">
        <v>7</v>
      </c>
      <c r="E16" s="10"/>
      <c r="F16" s="12" t="s">
        <v>65</v>
      </c>
      <c r="G16" s="13"/>
      <c r="H16" s="10"/>
      <c r="I16" s="14"/>
      <c r="J16" s="7"/>
      <c r="K16" s="7"/>
      <c r="L16" s="7"/>
      <c r="M16" s="7"/>
      <c r="N16" s="7">
        <f t="shared" si="1"/>
        <v>1</v>
      </c>
      <c r="O16" s="7"/>
    </row>
    <row r="17">
      <c r="A17" s="8" t="s">
        <v>67</v>
      </c>
      <c r="B17" s="9" t="s">
        <v>68</v>
      </c>
      <c r="C17" s="10"/>
      <c r="D17" s="18" t="s">
        <v>70</v>
      </c>
      <c r="E17" s="10"/>
      <c r="F17" s="12" t="s">
        <v>72</v>
      </c>
      <c r="G17" s="13"/>
      <c r="H17" s="10"/>
      <c r="I17" s="14"/>
      <c r="J17" s="7"/>
      <c r="K17" s="7"/>
      <c r="L17" s="7"/>
      <c r="M17" s="7"/>
      <c r="N17" s="7">
        <f t="shared" si="1"/>
        <v>1</v>
      </c>
      <c r="O17" s="7"/>
    </row>
    <row r="18">
      <c r="A18" s="8" t="s">
        <v>73</v>
      </c>
      <c r="B18" s="9" t="s">
        <v>75</v>
      </c>
      <c r="C18" s="10"/>
      <c r="D18" s="18" t="s">
        <v>76</v>
      </c>
      <c r="E18" s="10"/>
      <c r="F18" s="12" t="s">
        <v>77</v>
      </c>
      <c r="G18" s="13"/>
      <c r="H18" s="10"/>
      <c r="I18" s="14"/>
      <c r="J18" s="7"/>
      <c r="K18" s="7"/>
      <c r="L18" s="7"/>
      <c r="M18" s="7"/>
      <c r="N18" s="7">
        <f t="shared" si="1"/>
        <v>1</v>
      </c>
      <c r="O18" s="7"/>
    </row>
    <row r="19">
      <c r="A19" s="20" t="s">
        <v>78</v>
      </c>
      <c r="B19" s="9" t="s">
        <v>79</v>
      </c>
      <c r="C19" s="10"/>
      <c r="D19" s="11" t="s">
        <v>7</v>
      </c>
      <c r="E19" s="10"/>
      <c r="F19" s="12" t="s">
        <v>80</v>
      </c>
      <c r="G19" s="13"/>
      <c r="H19" s="10"/>
      <c r="I19" s="17" t="s">
        <v>82</v>
      </c>
      <c r="J19" s="7"/>
      <c r="K19" s="7"/>
      <c r="L19" s="7"/>
      <c r="M19" s="7"/>
      <c r="N19" s="7">
        <f t="shared" si="1"/>
        <v>1</v>
      </c>
      <c r="O19" s="7"/>
    </row>
    <row r="20">
      <c r="A20" s="8" t="s">
        <v>83</v>
      </c>
      <c r="B20" s="15" t="s">
        <v>86</v>
      </c>
      <c r="C20" s="10"/>
      <c r="D20" s="19" t="s">
        <v>120</v>
      </c>
      <c r="E20" s="10"/>
      <c r="F20" s="12" t="s">
        <v>88</v>
      </c>
      <c r="G20" s="13"/>
      <c r="H20" s="10"/>
      <c r="I20" s="14"/>
      <c r="J20" s="7"/>
      <c r="K20" s="7"/>
      <c r="L20" s="7"/>
      <c r="M20" s="7"/>
      <c r="N20" s="7">
        <f t="shared" si="1"/>
        <v>1</v>
      </c>
      <c r="O20" s="7"/>
    </row>
    <row r="21">
      <c r="A21" s="8" t="s">
        <v>89</v>
      </c>
      <c r="B21" s="15" t="s">
        <v>90</v>
      </c>
      <c r="C21" s="10"/>
      <c r="D21" s="18" t="s">
        <v>91</v>
      </c>
      <c r="E21" s="10"/>
      <c r="F21" s="12" t="s">
        <v>92</v>
      </c>
      <c r="G21" s="13"/>
      <c r="H21" s="10"/>
      <c r="I21" s="14"/>
      <c r="J21" s="7"/>
      <c r="K21" s="7"/>
      <c r="L21" s="7"/>
      <c r="M21" s="7"/>
      <c r="N21" s="7">
        <f t="shared" si="1"/>
        <v>1</v>
      </c>
      <c r="O21" s="7"/>
    </row>
    <row r="22">
      <c r="A22" s="8" t="s">
        <v>93</v>
      </c>
      <c r="B22" s="9" t="s">
        <v>94</v>
      </c>
      <c r="C22" s="10"/>
      <c r="D22" s="11" t="s">
        <v>7</v>
      </c>
      <c r="E22" s="10"/>
      <c r="F22" s="16"/>
      <c r="G22" s="13"/>
      <c r="H22" s="10"/>
      <c r="I22" s="14"/>
      <c r="J22" s="7"/>
      <c r="K22" s="7"/>
      <c r="L22" s="7"/>
      <c r="M22" s="7"/>
      <c r="N22" s="7">
        <f t="shared" si="1"/>
        <v>0</v>
      </c>
      <c r="O22" s="7"/>
    </row>
    <row r="23">
      <c r="A23" s="8" t="s">
        <v>95</v>
      </c>
      <c r="B23" s="9" t="s">
        <v>96</v>
      </c>
      <c r="C23" s="10"/>
      <c r="D23" s="19" t="s">
        <v>137</v>
      </c>
      <c r="E23" s="10"/>
      <c r="F23" s="12" t="s">
        <v>99</v>
      </c>
      <c r="G23" s="13"/>
      <c r="H23" s="10"/>
      <c r="I23" s="14"/>
      <c r="J23" s="7"/>
      <c r="K23" s="7"/>
      <c r="L23" s="7"/>
      <c r="M23" s="7"/>
      <c r="N23" s="7">
        <f t="shared" si="1"/>
        <v>1</v>
      </c>
      <c r="O23" s="7"/>
    </row>
    <row r="24">
      <c r="A24" s="8" t="s">
        <v>100</v>
      </c>
      <c r="B24" s="15" t="s">
        <v>101</v>
      </c>
      <c r="C24" s="10"/>
      <c r="D24" s="19" t="s">
        <v>143</v>
      </c>
      <c r="E24" s="10"/>
      <c r="F24" s="12" t="s">
        <v>103</v>
      </c>
      <c r="G24" s="13"/>
      <c r="H24" s="10"/>
      <c r="I24" s="14"/>
      <c r="J24" s="7"/>
      <c r="K24" s="7"/>
      <c r="L24" s="7"/>
      <c r="M24" s="7"/>
      <c r="N24" s="7">
        <f t="shared" si="1"/>
        <v>1</v>
      </c>
      <c r="O24" s="7"/>
    </row>
    <row r="25">
      <c r="A25" s="8" t="s">
        <v>104</v>
      </c>
      <c r="B25" s="9" t="s">
        <v>105</v>
      </c>
      <c r="C25" s="10"/>
      <c r="D25" s="19" t="s">
        <v>149</v>
      </c>
      <c r="E25" s="10"/>
      <c r="F25" s="16"/>
      <c r="G25" s="13"/>
      <c r="H25" s="10"/>
      <c r="I25" s="14"/>
      <c r="J25" s="7"/>
      <c r="K25" s="7"/>
      <c r="L25" s="7"/>
      <c r="M25" s="7"/>
      <c r="N25" s="7">
        <f t="shared" si="1"/>
        <v>0</v>
      </c>
      <c r="O25" s="7"/>
    </row>
    <row r="26">
      <c r="A26" s="8" t="s">
        <v>107</v>
      </c>
      <c r="B26" s="15" t="s">
        <v>109</v>
      </c>
      <c r="C26" s="10"/>
      <c r="D26" s="9" t="s">
        <v>110</v>
      </c>
      <c r="E26" s="10"/>
      <c r="F26" s="12" t="s">
        <v>111</v>
      </c>
      <c r="G26" s="13"/>
      <c r="H26" s="10"/>
      <c r="I26" s="14"/>
      <c r="J26" s="7"/>
      <c r="K26" s="7"/>
      <c r="L26" s="7"/>
      <c r="M26" s="7"/>
      <c r="N26" s="7">
        <f t="shared" si="1"/>
        <v>1</v>
      </c>
      <c r="O26" s="7"/>
    </row>
    <row r="27">
      <c r="A27" s="8" t="s">
        <v>112</v>
      </c>
      <c r="B27" s="9" t="s">
        <v>113</v>
      </c>
      <c r="C27" s="10"/>
      <c r="D27" s="11" t="s">
        <v>114</v>
      </c>
      <c r="E27" s="10"/>
      <c r="F27" s="16"/>
      <c r="G27" s="13"/>
      <c r="H27" s="10"/>
      <c r="I27" s="14"/>
      <c r="J27" s="7"/>
      <c r="K27" s="7"/>
      <c r="L27" s="7"/>
      <c r="M27" s="7"/>
      <c r="N27" s="7">
        <f t="shared" si="1"/>
        <v>0</v>
      </c>
      <c r="O27" s="7"/>
    </row>
    <row r="28">
      <c r="A28" s="8" t="s">
        <v>115</v>
      </c>
      <c r="B28" s="9" t="s">
        <v>117</v>
      </c>
      <c r="C28" s="10"/>
      <c r="D28" s="21" t="s">
        <v>160</v>
      </c>
      <c r="E28" s="10"/>
      <c r="F28" s="12" t="s">
        <v>121</v>
      </c>
      <c r="G28" s="13"/>
      <c r="H28" s="10"/>
      <c r="I28" s="17" t="s">
        <v>122</v>
      </c>
      <c r="J28" s="7"/>
      <c r="K28" s="7"/>
      <c r="L28" s="7"/>
      <c r="M28" s="7"/>
      <c r="N28" s="7">
        <f t="shared" si="1"/>
        <v>1</v>
      </c>
      <c r="O28" s="7"/>
    </row>
    <row r="29">
      <c r="A29" s="20" t="s">
        <v>123</v>
      </c>
      <c r="B29" s="9" t="s">
        <v>124</v>
      </c>
      <c r="C29" s="10"/>
      <c r="D29" s="19" t="s">
        <v>167</v>
      </c>
      <c r="E29" s="10"/>
      <c r="F29" s="12" t="s">
        <v>126</v>
      </c>
      <c r="G29" s="13"/>
      <c r="H29" s="10"/>
      <c r="I29" s="17" t="s">
        <v>127</v>
      </c>
      <c r="J29" s="7"/>
      <c r="K29" s="7"/>
      <c r="L29" s="7"/>
      <c r="M29" s="7"/>
      <c r="N29" s="7">
        <f t="shared" si="1"/>
        <v>1</v>
      </c>
      <c r="O29" s="7"/>
    </row>
    <row r="30">
      <c r="A30" s="8" t="s">
        <v>128</v>
      </c>
      <c r="B30" s="9" t="s">
        <v>130</v>
      </c>
      <c r="C30" s="10"/>
      <c r="D30" s="18" t="s">
        <v>131</v>
      </c>
      <c r="E30" s="10"/>
      <c r="F30" s="12" t="s">
        <v>132</v>
      </c>
      <c r="G30" s="13"/>
      <c r="H30" s="10"/>
      <c r="I30" s="14"/>
      <c r="J30" s="7"/>
      <c r="K30" s="7"/>
      <c r="L30" s="7"/>
      <c r="M30" s="7"/>
      <c r="N30" s="7">
        <f t="shared" si="1"/>
        <v>1</v>
      </c>
      <c r="O30" s="7"/>
    </row>
    <row r="31">
      <c r="A31" s="8" t="s">
        <v>133</v>
      </c>
      <c r="B31" s="15" t="s">
        <v>134</v>
      </c>
      <c r="C31" s="10"/>
      <c r="D31" s="19" t="s">
        <v>179</v>
      </c>
      <c r="E31" s="10"/>
      <c r="F31" s="12"/>
      <c r="G31" s="13"/>
      <c r="H31" s="10"/>
      <c r="I31" s="14"/>
      <c r="J31" s="7"/>
      <c r="K31" s="7"/>
      <c r="L31" s="7"/>
      <c r="M31" s="7"/>
      <c r="N31" s="7">
        <f t="shared" si="1"/>
        <v>0</v>
      </c>
      <c r="O31" s="7"/>
    </row>
    <row r="32">
      <c r="A32" s="8" t="s">
        <v>139</v>
      </c>
      <c r="B32" s="9" t="s">
        <v>140</v>
      </c>
      <c r="C32" s="10"/>
      <c r="D32" s="11" t="s">
        <v>141</v>
      </c>
      <c r="E32" s="10"/>
      <c r="F32" s="12" t="s">
        <v>144</v>
      </c>
      <c r="G32" s="13"/>
      <c r="H32" s="10"/>
      <c r="I32" s="14"/>
      <c r="J32" s="7"/>
      <c r="K32" s="7"/>
      <c r="L32" s="7"/>
      <c r="M32" s="7"/>
      <c r="N32" s="7">
        <f t="shared" si="1"/>
        <v>1</v>
      </c>
      <c r="O32" s="7"/>
    </row>
    <row r="33">
      <c r="A33" s="8" t="s">
        <v>145</v>
      </c>
      <c r="B33" s="15" t="s">
        <v>147</v>
      </c>
      <c r="C33" s="10"/>
      <c r="D33" s="11" t="s">
        <v>7</v>
      </c>
      <c r="E33" s="10"/>
      <c r="F33" s="12" t="s">
        <v>148</v>
      </c>
      <c r="G33" s="13"/>
      <c r="H33" s="10"/>
      <c r="I33" s="14"/>
      <c r="J33" s="7"/>
      <c r="K33" s="7"/>
      <c r="L33" s="7"/>
      <c r="M33" s="7"/>
      <c r="N33" s="7">
        <f t="shared" si="1"/>
        <v>1</v>
      </c>
      <c r="O33" s="7"/>
    </row>
    <row r="34">
      <c r="A34" s="8" t="s">
        <v>150</v>
      </c>
      <c r="B34" s="9" t="s">
        <v>151</v>
      </c>
      <c r="C34" s="10"/>
      <c r="D34" s="18" t="s">
        <v>152</v>
      </c>
      <c r="E34" s="10"/>
      <c r="F34" s="12" t="s">
        <v>154</v>
      </c>
      <c r="G34" s="13"/>
      <c r="H34" s="10"/>
      <c r="I34" s="14"/>
      <c r="J34" s="7"/>
      <c r="K34" s="7"/>
      <c r="L34" s="7"/>
      <c r="M34" s="7"/>
      <c r="N34" s="7">
        <f t="shared" si="1"/>
        <v>1</v>
      </c>
      <c r="O34" s="7"/>
    </row>
    <row r="35">
      <c r="A35" s="8" t="s">
        <v>155</v>
      </c>
      <c r="B35" s="9" t="s">
        <v>156</v>
      </c>
      <c r="C35" s="10"/>
      <c r="D35" s="11" t="s">
        <v>7</v>
      </c>
      <c r="E35" s="10"/>
      <c r="F35" s="16"/>
      <c r="G35" s="13"/>
      <c r="H35" s="10"/>
      <c r="I35" s="14"/>
      <c r="J35" s="7"/>
      <c r="K35" s="7"/>
      <c r="L35" s="7"/>
      <c r="M35" s="7"/>
      <c r="N35" s="7">
        <f t="shared" si="1"/>
        <v>0</v>
      </c>
      <c r="O35" s="7"/>
    </row>
    <row r="36">
      <c r="A36" s="8" t="s">
        <v>157</v>
      </c>
      <c r="B36" s="15" t="s">
        <v>159</v>
      </c>
      <c r="C36" s="10"/>
      <c r="D36" s="11" t="s">
        <v>7</v>
      </c>
      <c r="E36" s="10"/>
      <c r="F36" s="12" t="s">
        <v>161</v>
      </c>
      <c r="G36" s="13"/>
      <c r="H36" s="10"/>
      <c r="I36" s="14"/>
      <c r="J36" s="7"/>
      <c r="K36" s="7"/>
      <c r="L36" s="7"/>
      <c r="M36" s="7"/>
      <c r="N36" s="7">
        <f t="shared" si="1"/>
        <v>1</v>
      </c>
      <c r="O36" s="7"/>
    </row>
    <row r="37">
      <c r="A37" s="8" t="s">
        <v>162</v>
      </c>
      <c r="B37" s="9" t="s">
        <v>163</v>
      </c>
      <c r="C37" s="10"/>
      <c r="D37" s="11" t="s">
        <v>7</v>
      </c>
      <c r="E37" s="10"/>
      <c r="F37" s="16"/>
      <c r="G37" s="13"/>
      <c r="H37" s="10"/>
      <c r="I37" s="14"/>
      <c r="J37" s="7"/>
      <c r="K37" s="7"/>
      <c r="L37" s="7"/>
      <c r="M37" s="22" t="s">
        <v>166</v>
      </c>
      <c r="N37" s="7">
        <f t="shared" si="1"/>
        <v>0</v>
      </c>
      <c r="O37" s="7"/>
    </row>
    <row r="38">
      <c r="A38" s="8" t="s">
        <v>169</v>
      </c>
      <c r="B38" s="9" t="s">
        <v>170</v>
      </c>
      <c r="C38" s="10"/>
      <c r="D38" s="18" t="s">
        <v>171</v>
      </c>
      <c r="E38" s="10"/>
      <c r="F38" s="12" t="s">
        <v>173</v>
      </c>
      <c r="G38" s="13"/>
      <c r="H38" s="10"/>
      <c r="I38" s="14"/>
      <c r="J38" s="7"/>
      <c r="K38" s="7"/>
      <c r="L38" s="7"/>
      <c r="M38" s="7"/>
      <c r="N38" s="7">
        <f t="shared" si="1"/>
        <v>1</v>
      </c>
      <c r="O38" s="7"/>
    </row>
    <row r="39">
      <c r="A39" s="8" t="s">
        <v>174</v>
      </c>
      <c r="B39" s="9" t="s">
        <v>175</v>
      </c>
      <c r="C39" s="10"/>
      <c r="D39" s="18" t="s">
        <v>176</v>
      </c>
      <c r="E39" s="10"/>
      <c r="F39" s="16"/>
      <c r="G39" s="13"/>
      <c r="H39" s="10"/>
      <c r="I39" s="14"/>
      <c r="J39" s="7"/>
      <c r="K39" s="7"/>
      <c r="L39" s="7"/>
      <c r="M39" s="7"/>
      <c r="N39" s="7">
        <f t="shared" si="1"/>
        <v>0</v>
      </c>
      <c r="O39" s="7"/>
    </row>
    <row r="40">
      <c r="A40" s="8" t="s">
        <v>178</v>
      </c>
      <c r="B40" s="9" t="s">
        <v>181</v>
      </c>
      <c r="C40" s="10"/>
      <c r="D40" s="11" t="s">
        <v>7</v>
      </c>
      <c r="E40" s="10"/>
      <c r="F40" s="12" t="s">
        <v>182</v>
      </c>
      <c r="G40" s="13"/>
      <c r="H40" s="10"/>
      <c r="I40" s="14"/>
      <c r="J40" s="7"/>
      <c r="K40" s="7"/>
      <c r="L40" s="7"/>
      <c r="M40" s="7"/>
      <c r="N40" s="7">
        <f t="shared" si="1"/>
        <v>1</v>
      </c>
      <c r="O40" s="7"/>
    </row>
    <row r="41">
      <c r="A41" s="8" t="s">
        <v>183</v>
      </c>
      <c r="B41" s="9" t="s">
        <v>184</v>
      </c>
      <c r="C41" s="10"/>
      <c r="D41" s="18" t="s">
        <v>185</v>
      </c>
      <c r="E41" s="10"/>
      <c r="F41" s="16"/>
      <c r="G41" s="13"/>
      <c r="H41" s="10"/>
      <c r="I41" s="14"/>
      <c r="J41" s="7"/>
      <c r="K41" s="7"/>
      <c r="L41" s="7"/>
      <c r="M41" s="7"/>
      <c r="N41" s="7">
        <f t="shared" si="1"/>
        <v>0</v>
      </c>
      <c r="O41" s="7"/>
    </row>
    <row r="42">
      <c r="A42" s="8" t="s">
        <v>186</v>
      </c>
      <c r="B42" s="9" t="s">
        <v>187</v>
      </c>
      <c r="C42" s="10"/>
      <c r="D42" s="11" t="s">
        <v>7</v>
      </c>
      <c r="E42" s="10"/>
      <c r="F42" s="12" t="s">
        <v>188</v>
      </c>
      <c r="G42" s="13"/>
      <c r="H42" s="10"/>
      <c r="I42" s="14"/>
      <c r="J42" s="7"/>
      <c r="K42" s="7"/>
      <c r="L42" s="7"/>
      <c r="M42" s="7"/>
      <c r="N42" s="7">
        <f t="shared" si="1"/>
        <v>1</v>
      </c>
      <c r="O42" s="7"/>
    </row>
    <row r="43">
      <c r="A43" s="8" t="s">
        <v>186</v>
      </c>
      <c r="B43" s="9" t="s">
        <v>189</v>
      </c>
      <c r="C43" s="10"/>
      <c r="D43" s="11" t="s">
        <v>7</v>
      </c>
      <c r="E43" s="10"/>
      <c r="F43" s="12"/>
      <c r="G43" s="13"/>
      <c r="H43" s="10"/>
      <c r="I43" s="14"/>
      <c r="J43" s="7"/>
      <c r="K43" s="7"/>
      <c r="L43" s="7"/>
      <c r="M43" s="7"/>
      <c r="N43" s="7">
        <f t="shared" si="1"/>
        <v>0</v>
      </c>
      <c r="O43" s="7"/>
    </row>
    <row r="44">
      <c r="A44" s="8" t="s">
        <v>186</v>
      </c>
      <c r="B44" s="9" t="s">
        <v>190</v>
      </c>
      <c r="C44" s="10"/>
      <c r="D44" s="11" t="s">
        <v>7</v>
      </c>
      <c r="E44" s="10"/>
      <c r="F44" s="12"/>
      <c r="G44" s="13"/>
      <c r="H44" s="10"/>
      <c r="I44" s="14"/>
      <c r="J44" s="7"/>
      <c r="K44" s="7"/>
      <c r="L44" s="7"/>
      <c r="M44" s="7"/>
      <c r="N44" s="7">
        <f t="shared" si="1"/>
        <v>0</v>
      </c>
      <c r="O44" s="7"/>
    </row>
    <row r="45">
      <c r="A45" s="8" t="s">
        <v>192</v>
      </c>
      <c r="B45" s="9" t="s">
        <v>193</v>
      </c>
      <c r="C45" s="10"/>
      <c r="D45" s="18" t="s">
        <v>194</v>
      </c>
      <c r="E45" s="10"/>
      <c r="F45" s="16"/>
      <c r="G45" s="13"/>
      <c r="H45" s="10"/>
      <c r="I45" s="14"/>
      <c r="J45" s="7"/>
      <c r="K45" s="7"/>
      <c r="L45" s="7"/>
      <c r="M45" s="7"/>
      <c r="N45" s="7">
        <f t="shared" si="1"/>
        <v>0</v>
      </c>
      <c r="O45" s="7"/>
    </row>
    <row r="46">
      <c r="A46" s="8" t="s">
        <v>195</v>
      </c>
      <c r="B46" s="9" t="s">
        <v>196</v>
      </c>
      <c r="C46" s="10"/>
      <c r="D46" s="23" t="s">
        <v>197</v>
      </c>
      <c r="E46" s="10"/>
      <c r="F46" s="16"/>
      <c r="G46" s="13"/>
      <c r="H46" s="10"/>
      <c r="I46" s="14"/>
      <c r="J46" s="7"/>
      <c r="K46" s="7"/>
      <c r="L46" s="7"/>
      <c r="M46" s="7"/>
      <c r="N46" s="7">
        <f t="shared" si="1"/>
        <v>0</v>
      </c>
      <c r="O46" s="7"/>
    </row>
    <row r="47">
      <c r="A47" s="8" t="s">
        <v>198</v>
      </c>
      <c r="B47" s="15" t="s">
        <v>199</v>
      </c>
      <c r="C47" s="10"/>
      <c r="D47" s="18" t="s">
        <v>200</v>
      </c>
      <c r="E47" s="10"/>
      <c r="F47" s="12" t="s">
        <v>201</v>
      </c>
      <c r="G47" s="13"/>
      <c r="H47" s="10"/>
      <c r="I47" s="14"/>
      <c r="J47" s="7"/>
      <c r="K47" s="7"/>
      <c r="L47" s="7"/>
      <c r="M47" s="7"/>
      <c r="N47" s="7">
        <f t="shared" si="1"/>
        <v>1</v>
      </c>
      <c r="O47" s="7"/>
    </row>
    <row r="48">
      <c r="A48" s="8" t="s">
        <v>203</v>
      </c>
      <c r="B48" s="15" t="s">
        <v>204</v>
      </c>
      <c r="C48" s="10"/>
      <c r="D48" s="18" t="s">
        <v>205</v>
      </c>
      <c r="E48" s="10"/>
      <c r="F48" s="12" t="s">
        <v>206</v>
      </c>
      <c r="G48" s="13"/>
      <c r="H48" s="10"/>
      <c r="I48" s="14"/>
      <c r="J48" s="7"/>
      <c r="K48" s="7"/>
      <c r="L48" s="7"/>
      <c r="M48" s="7"/>
      <c r="N48" s="7">
        <f t="shared" si="1"/>
        <v>1</v>
      </c>
      <c r="O48" s="7"/>
    </row>
    <row r="49">
      <c r="A49" s="8" t="s">
        <v>207</v>
      </c>
      <c r="B49" s="9" t="s">
        <v>208</v>
      </c>
      <c r="C49" s="10"/>
      <c r="D49" s="11" t="s">
        <v>209</v>
      </c>
      <c r="E49" s="10"/>
      <c r="F49" s="16"/>
      <c r="G49" s="13"/>
      <c r="H49" s="10"/>
      <c r="I49" s="14"/>
      <c r="J49" s="7"/>
      <c r="K49" s="7"/>
      <c r="L49" s="7"/>
      <c r="M49" s="7"/>
      <c r="N49" s="7">
        <f t="shared" si="1"/>
        <v>0</v>
      </c>
      <c r="O49" s="7"/>
    </row>
    <row r="50">
      <c r="A50" s="8" t="s">
        <v>211</v>
      </c>
      <c r="B50" s="9" t="s">
        <v>212</v>
      </c>
      <c r="C50" s="10"/>
      <c r="D50" s="19" t="s">
        <v>243</v>
      </c>
      <c r="E50" s="10"/>
      <c r="F50" s="12" t="s">
        <v>215</v>
      </c>
      <c r="G50" s="13"/>
      <c r="H50" s="10"/>
      <c r="I50" s="14"/>
      <c r="J50" s="7"/>
      <c r="K50" s="7"/>
      <c r="L50" s="7"/>
      <c r="M50" s="7"/>
      <c r="N50" s="7">
        <f t="shared" si="1"/>
        <v>1</v>
      </c>
      <c r="O50" s="7"/>
    </row>
    <row r="51">
      <c r="A51" s="8" t="s">
        <v>216</v>
      </c>
      <c r="B51" s="9" t="s">
        <v>217</v>
      </c>
      <c r="C51" s="10"/>
      <c r="D51" s="19" t="s">
        <v>249</v>
      </c>
      <c r="E51" s="10"/>
      <c r="F51" s="12" t="s">
        <v>219</v>
      </c>
      <c r="G51" s="13"/>
      <c r="H51" s="10"/>
      <c r="I51" s="14"/>
      <c r="J51" s="7"/>
      <c r="K51" s="7"/>
      <c r="L51" s="7"/>
      <c r="M51" s="7"/>
      <c r="N51" s="7">
        <f t="shared" si="1"/>
        <v>1</v>
      </c>
      <c r="O51" s="7"/>
    </row>
    <row r="52">
      <c r="A52" s="8" t="s">
        <v>220</v>
      </c>
      <c r="B52" s="9" t="s">
        <v>221</v>
      </c>
      <c r="C52" s="10"/>
      <c r="D52" s="18" t="s">
        <v>222</v>
      </c>
      <c r="E52" s="10"/>
      <c r="F52" s="16"/>
      <c r="G52" s="13"/>
      <c r="H52" s="10"/>
      <c r="I52" s="14"/>
      <c r="J52" s="7"/>
      <c r="K52" s="7"/>
      <c r="L52" s="7"/>
      <c r="M52" s="7"/>
      <c r="N52" s="7">
        <f t="shared" si="1"/>
        <v>0</v>
      </c>
      <c r="O52" s="7"/>
    </row>
    <row r="53">
      <c r="A53" s="8" t="s">
        <v>224</v>
      </c>
      <c r="B53" s="9" t="s">
        <v>225</v>
      </c>
      <c r="C53" s="10"/>
      <c r="D53" s="18" t="s">
        <v>226</v>
      </c>
      <c r="E53" s="10"/>
      <c r="F53" s="12" t="s">
        <v>227</v>
      </c>
      <c r="G53" s="13"/>
      <c r="H53" s="10"/>
      <c r="I53" s="14"/>
      <c r="J53" s="7"/>
      <c r="K53" s="7"/>
      <c r="L53" s="7"/>
      <c r="M53" s="7"/>
      <c r="N53" s="7">
        <f t="shared" si="1"/>
        <v>1</v>
      </c>
      <c r="O53" s="7"/>
    </row>
    <row r="54">
      <c r="A54" s="8" t="s">
        <v>228</v>
      </c>
      <c r="B54" s="9" t="s">
        <v>229</v>
      </c>
      <c r="C54" s="10"/>
      <c r="D54" s="11" t="s">
        <v>230</v>
      </c>
      <c r="E54" s="10"/>
      <c r="F54" s="12" t="s">
        <v>231</v>
      </c>
      <c r="G54" s="13"/>
      <c r="H54" s="10"/>
      <c r="I54" s="17"/>
      <c r="J54" s="7"/>
      <c r="K54" s="7"/>
      <c r="L54" s="7"/>
      <c r="M54" s="7"/>
      <c r="N54" s="7">
        <f t="shared" si="1"/>
        <v>1</v>
      </c>
      <c r="O54" s="7"/>
    </row>
    <row r="55">
      <c r="A55" s="8" t="s">
        <v>232</v>
      </c>
      <c r="B55" s="9" t="s">
        <v>229</v>
      </c>
      <c r="C55" s="10"/>
      <c r="D55" s="11" t="s">
        <v>233</v>
      </c>
      <c r="E55" s="10"/>
      <c r="F55" s="12" t="s">
        <v>234</v>
      </c>
      <c r="G55" s="13"/>
      <c r="H55" s="10"/>
      <c r="I55" s="14"/>
      <c r="J55" s="7"/>
      <c r="K55" s="7"/>
      <c r="L55" s="7"/>
      <c r="M55" s="7"/>
      <c r="N55" s="7">
        <f t="shared" si="1"/>
        <v>1</v>
      </c>
      <c r="O55" s="7"/>
    </row>
    <row r="56">
      <c r="A56" s="8" t="s">
        <v>236</v>
      </c>
      <c r="B56" s="9" t="s">
        <v>237</v>
      </c>
      <c r="C56" s="10"/>
      <c r="D56" s="9" t="s">
        <v>238</v>
      </c>
      <c r="E56" s="10"/>
      <c r="F56" s="12" t="s">
        <v>239</v>
      </c>
      <c r="G56" s="13"/>
      <c r="H56" s="10"/>
      <c r="I56" s="14"/>
      <c r="J56" s="7"/>
      <c r="K56" s="7"/>
      <c r="L56" s="7"/>
      <c r="M56" s="7"/>
      <c r="N56" s="7">
        <f t="shared" si="1"/>
        <v>1</v>
      </c>
      <c r="O56" s="7"/>
    </row>
    <row r="57">
      <c r="A57" s="8" t="s">
        <v>240</v>
      </c>
      <c r="B57" s="9" t="s">
        <v>241</v>
      </c>
      <c r="C57" s="10"/>
      <c r="D57" s="11" t="s">
        <v>7</v>
      </c>
      <c r="E57" s="10"/>
      <c r="F57" s="16"/>
      <c r="G57" s="13"/>
      <c r="H57" s="10"/>
      <c r="I57" s="14"/>
      <c r="J57" s="7"/>
      <c r="K57" s="7"/>
      <c r="L57" s="7"/>
      <c r="M57" s="7"/>
      <c r="N57" s="7">
        <f t="shared" si="1"/>
        <v>0</v>
      </c>
      <c r="O57" s="7"/>
    </row>
    <row r="58" ht="15.75" customHeight="1">
      <c r="A58" s="8" t="s">
        <v>242</v>
      </c>
      <c r="B58" s="9" t="s">
        <v>244</v>
      </c>
      <c r="C58" s="10"/>
      <c r="D58" s="19" t="s">
        <v>286</v>
      </c>
      <c r="E58" s="10"/>
      <c r="F58" s="12" t="s">
        <v>246</v>
      </c>
      <c r="G58" s="13"/>
      <c r="H58" s="10"/>
      <c r="I58" s="17" t="s">
        <v>247</v>
      </c>
      <c r="J58" s="7"/>
      <c r="K58" s="7"/>
      <c r="L58" s="7"/>
      <c r="M58" s="7"/>
      <c r="N58" s="7">
        <f t="shared" si="1"/>
        <v>1</v>
      </c>
      <c r="O58" s="7"/>
    </row>
    <row r="59">
      <c r="A59" s="8" t="s">
        <v>248</v>
      </c>
      <c r="B59" s="9" t="s">
        <v>250</v>
      </c>
      <c r="C59" s="10"/>
      <c r="D59" s="19" t="s">
        <v>292</v>
      </c>
      <c r="E59" s="10"/>
      <c r="F59" s="12" t="s">
        <v>253</v>
      </c>
      <c r="G59" s="13"/>
      <c r="H59" s="10"/>
      <c r="I59" s="17" t="s">
        <v>254</v>
      </c>
      <c r="J59" s="7"/>
      <c r="K59" s="7"/>
      <c r="L59" s="7"/>
      <c r="M59" s="7"/>
      <c r="N59" s="7">
        <f t="shared" si="1"/>
        <v>1</v>
      </c>
      <c r="O59" s="7"/>
    </row>
    <row r="60">
      <c r="A60" s="8" t="s">
        <v>255</v>
      </c>
      <c r="B60" s="9" t="s">
        <v>256</v>
      </c>
      <c r="C60" s="10"/>
      <c r="D60" s="18" t="s">
        <v>257</v>
      </c>
      <c r="E60" s="10"/>
      <c r="F60" s="12" t="s">
        <v>258</v>
      </c>
      <c r="G60" s="13"/>
      <c r="H60" s="10"/>
      <c r="I60" s="17" t="s">
        <v>260</v>
      </c>
      <c r="J60" s="7"/>
      <c r="K60" s="7"/>
      <c r="L60" s="7"/>
      <c r="M60" s="7"/>
      <c r="N60" s="7">
        <f t="shared" si="1"/>
        <v>1</v>
      </c>
      <c r="O60" s="7"/>
    </row>
    <row r="61">
      <c r="A61" s="8" t="s">
        <v>261</v>
      </c>
      <c r="B61" s="9" t="s">
        <v>262</v>
      </c>
      <c r="C61" s="10"/>
      <c r="D61" s="21" t="s">
        <v>303</v>
      </c>
      <c r="E61" s="10"/>
      <c r="F61" s="12" t="s">
        <v>265</v>
      </c>
      <c r="G61" s="13"/>
      <c r="H61" s="10"/>
      <c r="I61" s="14"/>
      <c r="J61" s="7"/>
      <c r="K61" s="7"/>
      <c r="L61" s="7"/>
      <c r="M61" s="7"/>
      <c r="N61" s="7">
        <f t="shared" si="1"/>
        <v>1</v>
      </c>
      <c r="O61" s="7"/>
    </row>
    <row r="62">
      <c r="A62" s="8" t="s">
        <v>266</v>
      </c>
      <c r="B62" s="9" t="s">
        <v>269</v>
      </c>
      <c r="C62" s="10"/>
      <c r="D62" s="18" t="s">
        <v>270</v>
      </c>
      <c r="E62" s="10"/>
      <c r="F62" s="12" t="s">
        <v>271</v>
      </c>
      <c r="G62" s="13"/>
      <c r="H62" s="10"/>
      <c r="I62" s="14"/>
      <c r="J62" s="7"/>
      <c r="K62" s="7"/>
      <c r="L62" s="7"/>
      <c r="M62" s="7"/>
      <c r="N62" s="7">
        <f t="shared" si="1"/>
        <v>1</v>
      </c>
      <c r="O62" s="7"/>
    </row>
    <row r="63">
      <c r="A63" s="8" t="s">
        <v>272</v>
      </c>
      <c r="B63" s="9" t="s">
        <v>274</v>
      </c>
      <c r="C63" s="10"/>
      <c r="D63" s="18" t="s">
        <v>257</v>
      </c>
      <c r="E63" s="10"/>
      <c r="F63" s="12" t="s">
        <v>275</v>
      </c>
      <c r="G63" s="13"/>
      <c r="H63" s="10"/>
      <c r="I63" s="14"/>
      <c r="J63" s="7"/>
      <c r="K63" s="7"/>
      <c r="L63" s="7"/>
      <c r="M63" s="7"/>
      <c r="N63" s="7">
        <f t="shared" si="1"/>
        <v>1</v>
      </c>
      <c r="O63" s="7"/>
    </row>
    <row r="64">
      <c r="A64" s="8" t="s">
        <v>276</v>
      </c>
      <c r="B64" s="9" t="s">
        <v>277</v>
      </c>
      <c r="C64" s="10"/>
      <c r="D64" s="18" t="s">
        <v>278</v>
      </c>
      <c r="E64" s="10"/>
      <c r="F64" s="12" t="s">
        <v>279</v>
      </c>
      <c r="G64" s="13"/>
      <c r="H64" s="10"/>
      <c r="I64" s="17" t="s">
        <v>280</v>
      </c>
      <c r="J64" s="7"/>
      <c r="K64" s="7"/>
      <c r="L64" s="7"/>
      <c r="M64" s="7"/>
      <c r="N64" s="7">
        <f t="shared" si="1"/>
        <v>1</v>
      </c>
      <c r="O64" s="7"/>
    </row>
    <row r="65">
      <c r="A65" s="8" t="s">
        <v>281</v>
      </c>
      <c r="B65" s="9" t="s">
        <v>282</v>
      </c>
      <c r="C65" s="10"/>
      <c r="D65" s="18" t="s">
        <v>283</v>
      </c>
      <c r="E65" s="10"/>
      <c r="F65" s="12" t="s">
        <v>284</v>
      </c>
      <c r="G65" s="13"/>
      <c r="H65" s="10"/>
      <c r="I65" s="14"/>
      <c r="J65" s="7"/>
      <c r="K65" s="7"/>
      <c r="L65" s="7"/>
      <c r="M65" s="7"/>
      <c r="N65" s="7">
        <f t="shared" si="1"/>
        <v>1</v>
      </c>
      <c r="O65" s="7"/>
    </row>
    <row r="66">
      <c r="A66" s="8" t="s">
        <v>285</v>
      </c>
      <c r="B66" s="9" t="s">
        <v>287</v>
      </c>
      <c r="C66" s="10"/>
      <c r="D66" s="18" t="s">
        <v>288</v>
      </c>
      <c r="E66" s="10"/>
      <c r="F66" s="12" t="s">
        <v>289</v>
      </c>
      <c r="G66" s="13"/>
      <c r="H66" s="10"/>
      <c r="I66" s="17" t="s">
        <v>290</v>
      </c>
      <c r="J66" s="7"/>
      <c r="K66" s="7"/>
      <c r="L66" s="7"/>
      <c r="M66" s="7"/>
      <c r="N66" s="7">
        <f t="shared" si="1"/>
        <v>1</v>
      </c>
      <c r="O66" s="7"/>
    </row>
    <row r="67">
      <c r="A67" s="8" t="s">
        <v>291</v>
      </c>
      <c r="B67" s="9" t="s">
        <v>293</v>
      </c>
      <c r="C67" s="10"/>
      <c r="D67" s="9" t="s">
        <v>294</v>
      </c>
      <c r="E67" s="10"/>
      <c r="F67" s="12" t="s">
        <v>295</v>
      </c>
      <c r="G67" s="13"/>
      <c r="H67" s="10"/>
      <c r="I67" s="14"/>
      <c r="J67" s="7"/>
      <c r="K67" s="7"/>
      <c r="L67" s="7"/>
      <c r="M67" s="7"/>
      <c r="N67" s="7">
        <f t="shared" si="1"/>
        <v>1</v>
      </c>
      <c r="O67" s="7"/>
    </row>
    <row r="68">
      <c r="A68" s="8" t="s">
        <v>296</v>
      </c>
      <c r="B68" s="9" t="s">
        <v>298</v>
      </c>
      <c r="C68" s="10"/>
      <c r="D68" s="11" t="s">
        <v>299</v>
      </c>
      <c r="E68" s="10"/>
      <c r="F68" s="12" t="s">
        <v>300</v>
      </c>
      <c r="G68" s="13"/>
      <c r="H68" s="10"/>
      <c r="I68" s="14"/>
      <c r="J68" s="7"/>
      <c r="K68" s="7"/>
      <c r="L68" s="7"/>
      <c r="M68" s="7"/>
      <c r="N68" s="7">
        <f t="shared" si="1"/>
        <v>1</v>
      </c>
      <c r="O68" s="7"/>
    </row>
    <row r="69">
      <c r="A69" s="8" t="s">
        <v>301</v>
      </c>
      <c r="B69" s="15" t="s">
        <v>302</v>
      </c>
      <c r="C69" s="10"/>
      <c r="D69" s="11" t="s">
        <v>7</v>
      </c>
      <c r="E69" s="10"/>
      <c r="F69" s="12" t="s">
        <v>305</v>
      </c>
      <c r="G69" s="13"/>
      <c r="H69" s="10"/>
      <c r="I69" s="14"/>
      <c r="J69" s="7"/>
      <c r="K69" s="7"/>
      <c r="L69" s="7"/>
      <c r="M69" s="7"/>
      <c r="N69" s="7">
        <f t="shared" si="1"/>
        <v>1</v>
      </c>
      <c r="O69" s="7"/>
    </row>
    <row r="70">
      <c r="A70" s="8" t="s">
        <v>306</v>
      </c>
      <c r="B70" s="9" t="s">
        <v>307</v>
      </c>
      <c r="C70" s="10"/>
      <c r="D70" s="21" t="s">
        <v>346</v>
      </c>
      <c r="E70" s="10"/>
      <c r="F70" s="12" t="s">
        <v>309</v>
      </c>
      <c r="G70" s="13"/>
      <c r="H70" s="10"/>
      <c r="I70" s="14"/>
      <c r="J70" s="7"/>
      <c r="K70" s="7"/>
      <c r="L70" s="7"/>
      <c r="M70" s="7"/>
      <c r="N70" s="7">
        <f t="shared" si="1"/>
        <v>1</v>
      </c>
      <c r="O70" s="7"/>
    </row>
    <row r="71">
      <c r="A71" s="8" t="s">
        <v>310</v>
      </c>
      <c r="B71" s="9" t="s">
        <v>312</v>
      </c>
      <c r="C71" s="10"/>
      <c r="D71" s="11" t="s">
        <v>313</v>
      </c>
      <c r="E71" s="10"/>
      <c r="F71" s="12" t="s">
        <v>315</v>
      </c>
      <c r="G71" s="13"/>
      <c r="H71" s="10"/>
      <c r="I71" s="14"/>
      <c r="J71" s="7"/>
      <c r="K71" s="7"/>
      <c r="L71" s="7"/>
      <c r="M71" s="7"/>
      <c r="N71" s="7">
        <f t="shared" si="1"/>
        <v>1</v>
      </c>
      <c r="O71" s="7"/>
    </row>
    <row r="72">
      <c r="A72" s="8" t="s">
        <v>316</v>
      </c>
      <c r="B72" s="9" t="s">
        <v>317</v>
      </c>
      <c r="C72" s="10"/>
      <c r="D72" s="9" t="s">
        <v>318</v>
      </c>
      <c r="E72" s="10"/>
      <c r="F72" s="16"/>
      <c r="G72" s="13"/>
      <c r="H72" s="10"/>
      <c r="I72" s="14"/>
      <c r="J72" s="7"/>
      <c r="K72" s="7"/>
      <c r="L72" s="7"/>
      <c r="M72" s="7"/>
      <c r="N72" s="7">
        <f t="shared" si="1"/>
        <v>0</v>
      </c>
      <c r="O72" s="7"/>
    </row>
    <row r="73">
      <c r="A73" s="24" t="s">
        <v>319</v>
      </c>
      <c r="B73" s="15" t="s">
        <v>322</v>
      </c>
      <c r="C73" s="10"/>
      <c r="D73" s="11" t="s">
        <v>7</v>
      </c>
      <c r="E73" s="10"/>
      <c r="F73" s="12" t="s">
        <v>323</v>
      </c>
      <c r="G73" s="13"/>
      <c r="H73" s="10"/>
      <c r="I73" s="17" t="s">
        <v>324</v>
      </c>
      <c r="J73" s="7"/>
      <c r="K73" s="7"/>
      <c r="L73" s="7"/>
      <c r="M73" s="7"/>
      <c r="N73" s="7">
        <f t="shared" si="1"/>
        <v>1</v>
      </c>
      <c r="O73" s="7"/>
    </row>
    <row r="74">
      <c r="A74" s="8" t="s">
        <v>325</v>
      </c>
      <c r="B74" s="15" t="s">
        <v>326</v>
      </c>
      <c r="C74" s="10"/>
      <c r="D74" s="11" t="s">
        <v>327</v>
      </c>
      <c r="E74" s="10"/>
      <c r="F74" s="12" t="s">
        <v>328</v>
      </c>
      <c r="G74" s="13"/>
      <c r="H74" s="10"/>
      <c r="I74" s="14"/>
      <c r="J74" s="7"/>
      <c r="K74" s="7"/>
      <c r="L74" s="7"/>
      <c r="M74" s="7"/>
      <c r="N74" s="7">
        <f t="shared" si="1"/>
        <v>1</v>
      </c>
      <c r="O74" s="7"/>
    </row>
    <row r="75">
      <c r="A75" s="8" t="s">
        <v>329</v>
      </c>
      <c r="B75" s="9" t="s">
        <v>331</v>
      </c>
      <c r="C75" s="10"/>
      <c r="D75" s="18" t="s">
        <v>332</v>
      </c>
      <c r="E75" s="10"/>
      <c r="F75" s="12" t="s">
        <v>333</v>
      </c>
      <c r="G75" s="13"/>
      <c r="H75" s="10"/>
      <c r="I75" s="14"/>
      <c r="J75" s="7"/>
      <c r="K75" s="7"/>
      <c r="L75" s="7"/>
      <c r="M75" s="7"/>
      <c r="N75" s="7">
        <f t="shared" si="1"/>
        <v>1</v>
      </c>
      <c r="O75" s="7"/>
    </row>
    <row r="76">
      <c r="A76" s="8" t="s">
        <v>334</v>
      </c>
      <c r="B76" s="9" t="s">
        <v>335</v>
      </c>
      <c r="C76" s="10"/>
      <c r="D76" s="11" t="s">
        <v>7</v>
      </c>
      <c r="E76" s="10"/>
      <c r="F76" s="12"/>
      <c r="G76" s="13"/>
      <c r="H76" s="10"/>
      <c r="I76" s="14"/>
      <c r="J76" s="7"/>
      <c r="K76" s="7"/>
      <c r="L76" s="7"/>
      <c r="M76" s="7"/>
      <c r="N76" s="7">
        <f t="shared" si="1"/>
        <v>0</v>
      </c>
      <c r="O76" s="7"/>
    </row>
    <row r="77">
      <c r="A77" s="8" t="s">
        <v>336</v>
      </c>
      <c r="B77" s="9" t="s">
        <v>337</v>
      </c>
      <c r="C77" s="10"/>
      <c r="D77" s="11" t="s">
        <v>338</v>
      </c>
      <c r="E77" s="10"/>
      <c r="F77" s="12" t="s">
        <v>339</v>
      </c>
      <c r="G77" s="13"/>
      <c r="H77" s="10"/>
      <c r="I77" s="14"/>
      <c r="J77" s="7"/>
      <c r="K77" s="7"/>
      <c r="L77" s="7"/>
      <c r="M77" s="7"/>
      <c r="N77" s="7">
        <f t="shared" si="1"/>
        <v>1</v>
      </c>
      <c r="O77" s="7"/>
    </row>
    <row r="78">
      <c r="A78" s="8" t="s">
        <v>340</v>
      </c>
      <c r="B78" s="9" t="s">
        <v>341</v>
      </c>
      <c r="C78" s="10"/>
      <c r="D78" s="11" t="s">
        <v>342</v>
      </c>
      <c r="E78" s="10"/>
      <c r="F78" s="12" t="s">
        <v>343</v>
      </c>
      <c r="G78" s="13"/>
      <c r="H78" s="10"/>
      <c r="I78" s="17" t="s">
        <v>344</v>
      </c>
      <c r="J78" s="7"/>
      <c r="K78" s="7"/>
      <c r="L78" s="7"/>
      <c r="M78" s="7"/>
      <c r="N78" s="7">
        <f t="shared" si="1"/>
        <v>1</v>
      </c>
      <c r="O78" s="7"/>
    </row>
    <row r="79">
      <c r="A79" s="8" t="s">
        <v>345</v>
      </c>
      <c r="B79" s="9" t="s">
        <v>347</v>
      </c>
      <c r="C79" s="10"/>
      <c r="D79" s="19" t="s">
        <v>380</v>
      </c>
      <c r="E79" s="10"/>
      <c r="F79" s="12" t="s">
        <v>349</v>
      </c>
      <c r="G79" s="13"/>
      <c r="H79" s="10"/>
      <c r="I79" s="17" t="s">
        <v>351</v>
      </c>
      <c r="J79" s="7"/>
      <c r="K79" s="7"/>
      <c r="L79" s="7"/>
      <c r="M79" s="7"/>
      <c r="N79" s="7">
        <f t="shared" si="1"/>
        <v>1</v>
      </c>
      <c r="O79" s="7"/>
    </row>
    <row r="80">
      <c r="A80" s="8" t="s">
        <v>352</v>
      </c>
      <c r="B80" s="9" t="s">
        <v>353</v>
      </c>
      <c r="C80" s="10"/>
      <c r="D80" s="18" t="s">
        <v>354</v>
      </c>
      <c r="E80" s="10"/>
      <c r="F80" s="12" t="s">
        <v>355</v>
      </c>
      <c r="G80" s="13"/>
      <c r="H80" s="10"/>
      <c r="I80" s="17" t="s">
        <v>356</v>
      </c>
      <c r="J80" s="7"/>
      <c r="K80" s="7"/>
      <c r="L80" s="7"/>
      <c r="M80" s="7"/>
      <c r="N80" s="7">
        <f t="shared" si="1"/>
        <v>1</v>
      </c>
      <c r="O80" s="7"/>
    </row>
    <row r="81">
      <c r="A81" s="8" t="s">
        <v>357</v>
      </c>
      <c r="B81" s="9" t="s">
        <v>358</v>
      </c>
      <c r="C81" s="10"/>
      <c r="D81" s="11" t="s">
        <v>359</v>
      </c>
      <c r="E81" s="10"/>
      <c r="F81" s="12" t="s">
        <v>360</v>
      </c>
      <c r="G81" s="13"/>
      <c r="H81" s="10"/>
      <c r="I81" s="14"/>
      <c r="J81" s="7"/>
      <c r="K81" s="7"/>
      <c r="L81" s="7"/>
      <c r="M81" s="7"/>
      <c r="N81" s="7">
        <f t="shared" si="1"/>
        <v>1</v>
      </c>
      <c r="O81" s="7"/>
    </row>
    <row r="82">
      <c r="A82" s="8" t="s">
        <v>361</v>
      </c>
      <c r="B82" s="9" t="s">
        <v>362</v>
      </c>
      <c r="C82" s="10"/>
      <c r="D82" s="11" t="s">
        <v>7</v>
      </c>
      <c r="E82" s="10"/>
      <c r="F82" s="12" t="s">
        <v>363</v>
      </c>
      <c r="G82" s="13"/>
      <c r="H82" s="10"/>
      <c r="I82" s="14"/>
      <c r="J82" s="7"/>
      <c r="K82" s="7"/>
      <c r="L82" s="7"/>
      <c r="M82" s="7"/>
      <c r="N82" s="7">
        <f t="shared" si="1"/>
        <v>1</v>
      </c>
      <c r="O82" s="7"/>
    </row>
    <row r="83">
      <c r="A83" s="8" t="s">
        <v>364</v>
      </c>
      <c r="B83" s="9" t="s">
        <v>366</v>
      </c>
      <c r="C83" s="10"/>
      <c r="D83" s="11" t="s">
        <v>7</v>
      </c>
      <c r="E83" s="10"/>
      <c r="F83" s="12" t="s">
        <v>367</v>
      </c>
      <c r="G83" s="13"/>
      <c r="H83" s="10"/>
      <c r="I83" s="14"/>
      <c r="J83" s="7"/>
      <c r="K83" s="7"/>
      <c r="L83" s="7"/>
      <c r="M83" s="7"/>
      <c r="N83" s="7">
        <f t="shared" si="1"/>
        <v>1</v>
      </c>
      <c r="O83" s="7"/>
    </row>
    <row r="84">
      <c r="A84" s="8" t="s">
        <v>368</v>
      </c>
      <c r="B84" s="9" t="s">
        <v>370</v>
      </c>
      <c r="C84" s="10"/>
      <c r="D84" s="11" t="s">
        <v>7</v>
      </c>
      <c r="E84" s="10"/>
      <c r="F84" s="16"/>
      <c r="G84" s="13"/>
      <c r="H84" s="10"/>
      <c r="I84" s="14"/>
      <c r="J84" s="7"/>
      <c r="K84" s="7"/>
      <c r="L84" s="7"/>
      <c r="M84" s="7"/>
      <c r="N84" s="7">
        <f t="shared" si="1"/>
        <v>0</v>
      </c>
      <c r="O84" s="7"/>
    </row>
    <row r="85">
      <c r="A85" s="8" t="s">
        <v>371</v>
      </c>
      <c r="B85" s="9" t="s">
        <v>372</v>
      </c>
      <c r="C85" s="10"/>
      <c r="D85" s="11" t="s">
        <v>7</v>
      </c>
      <c r="E85" s="10"/>
      <c r="F85" s="12" t="s">
        <v>373</v>
      </c>
      <c r="G85" s="13"/>
      <c r="H85" s="10"/>
      <c r="I85" s="17" t="s">
        <v>374</v>
      </c>
      <c r="J85" s="7"/>
      <c r="K85" s="7"/>
      <c r="L85" s="7"/>
      <c r="M85" s="7"/>
      <c r="N85" s="7">
        <f t="shared" si="1"/>
        <v>1</v>
      </c>
      <c r="O85" s="7"/>
    </row>
    <row r="86">
      <c r="A86" s="8" t="s">
        <v>375</v>
      </c>
      <c r="B86" s="9" t="s">
        <v>376</v>
      </c>
      <c r="C86" s="10"/>
      <c r="D86" s="18" t="s">
        <v>377</v>
      </c>
      <c r="E86" s="10"/>
      <c r="F86" s="16"/>
      <c r="G86" s="13"/>
      <c r="H86" s="10"/>
      <c r="I86" s="14"/>
      <c r="J86" s="7"/>
      <c r="K86" s="7"/>
      <c r="L86" s="7"/>
      <c r="M86" s="7"/>
      <c r="N86" s="7">
        <f t="shared" si="1"/>
        <v>0</v>
      </c>
      <c r="O86" s="7"/>
    </row>
    <row r="87">
      <c r="A87" s="8" t="s">
        <v>379</v>
      </c>
      <c r="B87" s="9" t="s">
        <v>381</v>
      </c>
      <c r="C87" s="10"/>
      <c r="D87" s="11" t="s">
        <v>7</v>
      </c>
      <c r="E87" s="10"/>
      <c r="F87" s="16"/>
      <c r="G87" s="13"/>
      <c r="H87" s="10"/>
      <c r="I87" s="14"/>
      <c r="J87" s="7"/>
      <c r="K87" s="7"/>
      <c r="L87" s="7"/>
      <c r="M87" s="7"/>
      <c r="N87" s="7">
        <f t="shared" si="1"/>
        <v>0</v>
      </c>
      <c r="O87" s="7"/>
    </row>
    <row r="88">
      <c r="A88" s="8" t="s">
        <v>382</v>
      </c>
      <c r="B88" s="9" t="s">
        <v>383</v>
      </c>
      <c r="C88" s="10"/>
      <c r="D88" s="18" t="s">
        <v>385</v>
      </c>
      <c r="E88" s="10"/>
      <c r="F88" s="12" t="s">
        <v>386</v>
      </c>
      <c r="G88" s="13"/>
      <c r="H88" s="10"/>
      <c r="I88" s="17"/>
      <c r="J88" s="7"/>
      <c r="K88" s="7"/>
      <c r="L88" s="7"/>
      <c r="M88" s="7"/>
      <c r="N88" s="7">
        <f t="shared" si="1"/>
        <v>1</v>
      </c>
      <c r="O88" s="7"/>
    </row>
    <row r="89">
      <c r="A89" s="24" t="s">
        <v>387</v>
      </c>
      <c r="B89" s="9" t="s">
        <v>388</v>
      </c>
      <c r="C89" s="10"/>
      <c r="D89" s="18" t="s">
        <v>389</v>
      </c>
      <c r="E89" s="10"/>
      <c r="F89" s="12" t="s">
        <v>390</v>
      </c>
      <c r="G89" s="13"/>
      <c r="H89" s="10"/>
      <c r="I89" s="17" t="s">
        <v>391</v>
      </c>
      <c r="J89" s="7"/>
      <c r="K89" s="7"/>
      <c r="L89" s="7"/>
      <c r="M89" s="7"/>
      <c r="N89" s="7">
        <f t="shared" si="1"/>
        <v>1</v>
      </c>
      <c r="O89" s="7"/>
    </row>
    <row r="90">
      <c r="A90" s="8" t="s">
        <v>392</v>
      </c>
      <c r="B90" s="9" t="s">
        <v>393</v>
      </c>
      <c r="C90" s="10"/>
      <c r="D90" s="18" t="s">
        <v>394</v>
      </c>
      <c r="E90" s="10"/>
      <c r="F90" s="12" t="s">
        <v>395</v>
      </c>
      <c r="G90" s="13"/>
      <c r="H90" s="10"/>
      <c r="I90" s="14"/>
      <c r="J90" s="7"/>
      <c r="K90" s="7"/>
      <c r="L90" s="7"/>
      <c r="M90" s="7"/>
      <c r="N90" s="7">
        <f t="shared" si="1"/>
        <v>1</v>
      </c>
      <c r="O90" s="7"/>
    </row>
    <row r="91">
      <c r="A91" s="8" t="s">
        <v>396</v>
      </c>
      <c r="B91" s="9" t="s">
        <v>397</v>
      </c>
      <c r="C91" s="10"/>
      <c r="D91" s="19" t="s">
        <v>450</v>
      </c>
      <c r="E91" s="10"/>
      <c r="F91" s="12" t="s">
        <v>399</v>
      </c>
      <c r="G91" s="13"/>
      <c r="H91" s="10"/>
      <c r="I91" s="14"/>
      <c r="J91" s="7"/>
      <c r="K91" s="7"/>
      <c r="L91" s="7"/>
      <c r="M91" s="7"/>
      <c r="N91" s="7">
        <f t="shared" si="1"/>
        <v>1</v>
      </c>
      <c r="O91" s="7"/>
    </row>
    <row r="92">
      <c r="A92" s="8" t="s">
        <v>400</v>
      </c>
      <c r="B92" s="9" t="s">
        <v>401</v>
      </c>
      <c r="C92" s="10"/>
      <c r="D92" s="11" t="s">
        <v>7</v>
      </c>
      <c r="E92" s="10"/>
      <c r="F92" s="12" t="s">
        <v>402</v>
      </c>
      <c r="G92" s="13"/>
      <c r="H92" s="10"/>
      <c r="I92" s="17" t="s">
        <v>403</v>
      </c>
      <c r="J92" s="7"/>
      <c r="K92" s="7"/>
      <c r="L92" s="7"/>
      <c r="M92" s="7"/>
      <c r="N92" s="7">
        <f t="shared" si="1"/>
        <v>1</v>
      </c>
      <c r="O92" s="7"/>
    </row>
    <row r="93">
      <c r="A93" s="8" t="s">
        <v>404</v>
      </c>
      <c r="B93" s="9" t="s">
        <v>405</v>
      </c>
      <c r="C93" s="10"/>
      <c r="D93" s="11" t="s">
        <v>406</v>
      </c>
      <c r="E93" s="10"/>
      <c r="F93" s="12" t="s">
        <v>407</v>
      </c>
      <c r="G93" s="13"/>
      <c r="H93" s="10"/>
      <c r="I93" s="14"/>
      <c r="J93" s="7"/>
      <c r="K93" s="7"/>
      <c r="L93" s="7"/>
      <c r="M93" s="7"/>
      <c r="N93" s="7">
        <f t="shared" si="1"/>
        <v>1</v>
      </c>
      <c r="O93" s="7"/>
    </row>
    <row r="94">
      <c r="A94" s="8" t="s">
        <v>408</v>
      </c>
      <c r="B94" s="9" t="s">
        <v>410</v>
      </c>
      <c r="C94" s="10"/>
      <c r="D94" s="11" t="s">
        <v>411</v>
      </c>
      <c r="E94" s="10"/>
      <c r="F94" s="12" t="s">
        <v>144</v>
      </c>
      <c r="G94" s="13"/>
      <c r="H94" s="10"/>
      <c r="I94" s="14"/>
      <c r="J94" s="7"/>
      <c r="K94" s="7"/>
      <c r="L94" s="7"/>
      <c r="M94" s="7"/>
      <c r="N94" s="7">
        <f t="shared" si="1"/>
        <v>1</v>
      </c>
      <c r="O94" s="7"/>
    </row>
    <row r="95">
      <c r="A95" s="8" t="s">
        <v>412</v>
      </c>
      <c r="B95" s="9" t="s">
        <v>413</v>
      </c>
      <c r="C95" s="10"/>
      <c r="D95" s="18" t="s">
        <v>414</v>
      </c>
      <c r="E95" s="10"/>
      <c r="F95" s="16"/>
      <c r="G95" s="13"/>
      <c r="H95" s="10"/>
      <c r="I95" s="14"/>
      <c r="J95" s="7"/>
      <c r="K95" s="7"/>
      <c r="L95" s="7"/>
      <c r="M95" s="7"/>
      <c r="N95" s="7">
        <f t="shared" si="1"/>
        <v>0</v>
      </c>
      <c r="O95" s="7"/>
    </row>
    <row r="96">
      <c r="A96" s="8" t="s">
        <v>415</v>
      </c>
      <c r="B96" s="9" t="s">
        <v>417</v>
      </c>
      <c r="C96" s="10"/>
      <c r="D96" s="18" t="s">
        <v>418</v>
      </c>
      <c r="E96" s="10"/>
      <c r="F96" s="12" t="s">
        <v>419</v>
      </c>
      <c r="G96" s="13"/>
      <c r="H96" s="10"/>
      <c r="I96" s="17" t="s">
        <v>420</v>
      </c>
      <c r="J96" s="7"/>
      <c r="K96" s="7"/>
      <c r="L96" s="7"/>
      <c r="M96" s="7"/>
      <c r="N96" s="7">
        <f t="shared" si="1"/>
        <v>1</v>
      </c>
      <c r="O96" s="7"/>
    </row>
    <row r="97">
      <c r="A97" s="8" t="s">
        <v>421</v>
      </c>
      <c r="B97" s="9" t="s">
        <v>422</v>
      </c>
      <c r="C97" s="10"/>
      <c r="D97" s="11" t="s">
        <v>141</v>
      </c>
      <c r="E97" s="10"/>
      <c r="F97" s="12" t="s">
        <v>144</v>
      </c>
      <c r="G97" s="13"/>
      <c r="H97" s="10"/>
      <c r="I97" s="14"/>
      <c r="J97" s="7"/>
      <c r="K97" s="7"/>
      <c r="L97" s="7"/>
      <c r="M97" s="7"/>
      <c r="N97" s="7">
        <f t="shared" si="1"/>
        <v>1</v>
      </c>
      <c r="O97" s="7"/>
    </row>
    <row r="98">
      <c r="A98" s="8" t="s">
        <v>423</v>
      </c>
      <c r="B98" s="9" t="s">
        <v>424</v>
      </c>
      <c r="C98" s="10"/>
      <c r="D98" s="18" t="s">
        <v>257</v>
      </c>
      <c r="E98" s="10"/>
      <c r="F98" s="12" t="s">
        <v>425</v>
      </c>
      <c r="G98" s="13"/>
      <c r="H98" s="10"/>
      <c r="I98" s="17" t="s">
        <v>427</v>
      </c>
      <c r="J98" s="7"/>
      <c r="K98" s="7"/>
      <c r="L98" s="7"/>
      <c r="M98" s="7"/>
      <c r="N98" s="7">
        <f t="shared" si="1"/>
        <v>1</v>
      </c>
      <c r="O98" s="7"/>
    </row>
    <row r="99">
      <c r="A99" s="8" t="s">
        <v>429</v>
      </c>
      <c r="B99" s="9" t="s">
        <v>430</v>
      </c>
      <c r="C99" s="10"/>
      <c r="D99" s="11" t="s">
        <v>431</v>
      </c>
      <c r="E99" s="10"/>
      <c r="F99" s="16"/>
      <c r="G99" s="13"/>
      <c r="H99" s="10"/>
      <c r="I99" s="14"/>
      <c r="J99" s="7"/>
      <c r="K99" s="7"/>
      <c r="L99" s="7"/>
      <c r="M99" s="7"/>
      <c r="N99" s="7">
        <f t="shared" si="1"/>
        <v>0</v>
      </c>
      <c r="O99" s="7"/>
    </row>
    <row r="100">
      <c r="A100" s="8" t="s">
        <v>432</v>
      </c>
      <c r="B100" s="9" t="s">
        <v>433</v>
      </c>
      <c r="C100" s="10"/>
      <c r="D100" s="11" t="s">
        <v>434</v>
      </c>
      <c r="E100" s="10"/>
      <c r="F100" s="12" t="s">
        <v>435</v>
      </c>
      <c r="G100" s="13"/>
      <c r="H100" s="10"/>
      <c r="I100" s="14"/>
      <c r="J100" s="7"/>
      <c r="K100" s="7"/>
      <c r="L100" s="7"/>
      <c r="M100" s="7"/>
      <c r="N100" s="7">
        <f t="shared" si="1"/>
        <v>1</v>
      </c>
      <c r="O100" s="7"/>
    </row>
    <row r="101">
      <c r="A101" s="8" t="s">
        <v>436</v>
      </c>
      <c r="B101" s="9" t="s">
        <v>437</v>
      </c>
      <c r="C101" s="10"/>
      <c r="D101" s="11" t="s">
        <v>438</v>
      </c>
      <c r="E101" s="10"/>
      <c r="F101" s="12" t="s">
        <v>144</v>
      </c>
      <c r="G101" s="13"/>
      <c r="H101" s="10"/>
      <c r="I101" s="14"/>
      <c r="J101" s="7"/>
      <c r="K101" s="7"/>
      <c r="L101" s="7"/>
      <c r="M101" s="7"/>
      <c r="N101" s="7">
        <f t="shared" si="1"/>
        <v>1</v>
      </c>
      <c r="O101" s="7"/>
    </row>
    <row r="102">
      <c r="A102" s="8" t="s">
        <v>440</v>
      </c>
      <c r="B102" s="9" t="s">
        <v>442</v>
      </c>
      <c r="C102" s="10"/>
      <c r="D102" s="18" t="s">
        <v>443</v>
      </c>
      <c r="E102" s="10"/>
      <c r="F102" s="12" t="s">
        <v>444</v>
      </c>
      <c r="G102" s="13"/>
      <c r="H102" s="10"/>
      <c r="I102" s="17" t="s">
        <v>445</v>
      </c>
      <c r="J102" s="7"/>
      <c r="K102" s="7"/>
      <c r="L102" s="7"/>
      <c r="M102" s="7"/>
      <c r="N102" s="7">
        <f t="shared" si="1"/>
        <v>1</v>
      </c>
      <c r="O102" s="7"/>
    </row>
    <row r="103">
      <c r="A103" s="8" t="s">
        <v>446</v>
      </c>
      <c r="B103" s="9" t="s">
        <v>447</v>
      </c>
      <c r="C103" s="10"/>
      <c r="D103" s="18" t="s">
        <v>448</v>
      </c>
      <c r="E103" s="10"/>
      <c r="F103" s="12" t="s">
        <v>77</v>
      </c>
      <c r="G103" s="13"/>
      <c r="H103" s="10"/>
      <c r="I103" s="14"/>
      <c r="J103" s="7"/>
      <c r="K103" s="7"/>
      <c r="L103" s="7"/>
      <c r="M103" s="7"/>
      <c r="N103" s="7">
        <f t="shared" si="1"/>
        <v>1</v>
      </c>
      <c r="O103" s="7"/>
    </row>
    <row r="104">
      <c r="A104" s="8" t="s">
        <v>449</v>
      </c>
      <c r="B104" s="9" t="s">
        <v>451</v>
      </c>
      <c r="C104" s="10"/>
      <c r="D104" s="9" t="s">
        <v>452</v>
      </c>
      <c r="E104" s="10"/>
      <c r="F104" s="16"/>
      <c r="G104" s="13"/>
      <c r="H104" s="10"/>
      <c r="I104" s="14"/>
      <c r="J104" s="7"/>
      <c r="K104" s="7"/>
      <c r="L104" s="7"/>
      <c r="M104" s="7"/>
      <c r="N104" s="7">
        <f t="shared" si="1"/>
        <v>0</v>
      </c>
      <c r="O104" s="7"/>
    </row>
    <row r="105">
      <c r="A105" s="8" t="s">
        <v>453</v>
      </c>
      <c r="B105" s="9" t="s">
        <v>454</v>
      </c>
      <c r="C105" s="10"/>
      <c r="D105" s="19" t="s">
        <v>511</v>
      </c>
      <c r="E105" s="10"/>
      <c r="F105" s="12" t="s">
        <v>456</v>
      </c>
      <c r="G105" s="13"/>
      <c r="H105" s="10"/>
      <c r="I105" s="14"/>
      <c r="J105" s="7"/>
      <c r="K105" s="7"/>
      <c r="L105" s="7"/>
      <c r="M105" s="7"/>
      <c r="N105" s="7">
        <f t="shared" si="1"/>
        <v>1</v>
      </c>
      <c r="O105" s="7"/>
    </row>
    <row r="106">
      <c r="A106" s="20" t="s">
        <v>457</v>
      </c>
      <c r="B106" s="9" t="s">
        <v>458</v>
      </c>
      <c r="C106" s="10"/>
      <c r="D106" s="18" t="s">
        <v>459</v>
      </c>
      <c r="E106" s="10"/>
      <c r="F106" s="12" t="s">
        <v>460</v>
      </c>
      <c r="G106" s="13"/>
      <c r="H106" s="10"/>
      <c r="I106" s="17" t="s">
        <v>461</v>
      </c>
      <c r="J106" s="7"/>
      <c r="K106" s="7"/>
      <c r="L106" s="7"/>
      <c r="M106" s="7"/>
      <c r="N106" s="7">
        <f t="shared" si="1"/>
        <v>1</v>
      </c>
      <c r="O106" s="7"/>
    </row>
    <row r="107">
      <c r="A107" s="8" t="s">
        <v>462</v>
      </c>
      <c r="B107" s="9" t="s">
        <v>463</v>
      </c>
      <c r="C107" s="10"/>
      <c r="D107" s="18" t="s">
        <v>464</v>
      </c>
      <c r="E107" s="10"/>
      <c r="F107" s="12" t="s">
        <v>465</v>
      </c>
      <c r="G107" s="13"/>
      <c r="H107" s="10"/>
      <c r="I107" s="17" t="s">
        <v>466</v>
      </c>
      <c r="J107" s="7"/>
      <c r="K107" s="7"/>
      <c r="L107" s="7"/>
      <c r="M107" s="7"/>
      <c r="N107" s="7">
        <f t="shared" si="1"/>
        <v>1</v>
      </c>
      <c r="O107" s="7"/>
    </row>
    <row r="108">
      <c r="A108" s="8" t="s">
        <v>467</v>
      </c>
      <c r="B108" s="9" t="s">
        <v>468</v>
      </c>
      <c r="C108" s="10"/>
      <c r="D108" s="19" t="s">
        <v>529</v>
      </c>
      <c r="E108" s="10"/>
      <c r="F108" s="12" t="s">
        <v>470</v>
      </c>
      <c r="G108" s="13"/>
      <c r="H108" s="10"/>
      <c r="I108" s="14"/>
      <c r="J108" s="7"/>
      <c r="K108" s="7"/>
      <c r="L108" s="7"/>
      <c r="M108" s="7"/>
      <c r="N108" s="7">
        <f t="shared" si="1"/>
        <v>1</v>
      </c>
      <c r="O108" s="7"/>
    </row>
    <row r="109">
      <c r="A109" s="8" t="s">
        <v>471</v>
      </c>
      <c r="B109" s="9" t="s">
        <v>472</v>
      </c>
      <c r="C109" s="10"/>
      <c r="D109" s="18" t="s">
        <v>473</v>
      </c>
      <c r="E109" s="10"/>
      <c r="F109" s="12" t="s">
        <v>474</v>
      </c>
      <c r="G109" s="13"/>
      <c r="H109" s="10"/>
      <c r="I109" s="14"/>
      <c r="J109" s="7"/>
      <c r="K109" s="7"/>
      <c r="L109" s="7"/>
      <c r="M109" s="7"/>
      <c r="N109" s="7">
        <f t="shared" si="1"/>
        <v>1</v>
      </c>
      <c r="O109" s="7"/>
    </row>
    <row r="110">
      <c r="A110" s="8" t="s">
        <v>476</v>
      </c>
      <c r="B110" s="9" t="s">
        <v>478</v>
      </c>
      <c r="C110" s="10"/>
      <c r="D110" s="19" t="s">
        <v>549</v>
      </c>
      <c r="E110" s="10"/>
      <c r="F110" s="12" t="s">
        <v>480</v>
      </c>
      <c r="G110" s="13"/>
      <c r="H110" s="10"/>
      <c r="I110" s="14"/>
      <c r="J110" s="7"/>
      <c r="K110" s="7"/>
      <c r="L110" s="7"/>
      <c r="M110" s="7"/>
      <c r="N110" s="7">
        <f t="shared" si="1"/>
        <v>1</v>
      </c>
      <c r="O110" s="7"/>
    </row>
    <row r="111">
      <c r="A111" s="8" t="s">
        <v>482</v>
      </c>
      <c r="B111" s="9" t="s">
        <v>483</v>
      </c>
      <c r="C111" s="10"/>
      <c r="D111" s="11" t="s">
        <v>7</v>
      </c>
      <c r="E111" s="10"/>
      <c r="F111" s="12" t="s">
        <v>484</v>
      </c>
      <c r="G111" s="13"/>
      <c r="H111" s="10"/>
      <c r="I111" s="14"/>
      <c r="J111" s="7"/>
      <c r="K111" s="7"/>
      <c r="L111" s="7"/>
      <c r="M111" s="7"/>
      <c r="N111" s="7">
        <f t="shared" si="1"/>
        <v>1</v>
      </c>
      <c r="O111" s="7"/>
    </row>
    <row r="112">
      <c r="A112" s="8" t="s">
        <v>485</v>
      </c>
      <c r="B112" s="9" t="s">
        <v>487</v>
      </c>
      <c r="C112" s="10"/>
      <c r="D112" s="9" t="s">
        <v>488</v>
      </c>
      <c r="E112" s="10"/>
      <c r="F112" s="16"/>
      <c r="G112" s="13"/>
      <c r="H112" s="10"/>
      <c r="I112" s="14"/>
      <c r="J112" s="7"/>
      <c r="K112" s="7"/>
      <c r="L112" s="7"/>
      <c r="M112" s="7"/>
      <c r="N112" s="7">
        <f t="shared" si="1"/>
        <v>0</v>
      </c>
      <c r="O112" s="7"/>
    </row>
    <row r="113">
      <c r="A113" s="8" t="s">
        <v>489</v>
      </c>
      <c r="B113" s="15" t="s">
        <v>490</v>
      </c>
      <c r="C113" s="10"/>
      <c r="D113" s="11" t="s">
        <v>491</v>
      </c>
      <c r="E113" s="10"/>
      <c r="F113" s="12" t="s">
        <v>493</v>
      </c>
      <c r="G113" s="13"/>
      <c r="H113" s="10"/>
      <c r="I113" s="14"/>
      <c r="J113" s="7"/>
      <c r="K113" s="7"/>
      <c r="L113" s="7"/>
      <c r="M113" s="7"/>
      <c r="N113" s="7">
        <f t="shared" si="1"/>
        <v>1</v>
      </c>
      <c r="O113" s="7"/>
    </row>
    <row r="114">
      <c r="A114" s="8" t="s">
        <v>494</v>
      </c>
      <c r="B114" s="9" t="s">
        <v>495</v>
      </c>
      <c r="C114" s="10"/>
      <c r="D114" s="18" t="s">
        <v>496</v>
      </c>
      <c r="E114" s="10"/>
      <c r="F114" s="16"/>
      <c r="G114" s="13"/>
      <c r="H114" s="10"/>
      <c r="I114" s="14"/>
      <c r="J114" s="7"/>
      <c r="K114" s="7"/>
      <c r="L114" s="7"/>
      <c r="M114" s="7"/>
      <c r="N114" s="7">
        <f t="shared" si="1"/>
        <v>0</v>
      </c>
      <c r="O114" s="7"/>
    </row>
    <row r="115">
      <c r="A115" s="8" t="s">
        <v>497</v>
      </c>
      <c r="B115" s="9" t="s">
        <v>498</v>
      </c>
      <c r="C115" s="10"/>
      <c r="D115" s="11" t="s">
        <v>141</v>
      </c>
      <c r="E115" s="10"/>
      <c r="F115" s="12" t="s">
        <v>144</v>
      </c>
      <c r="G115" s="13"/>
      <c r="H115" s="10"/>
      <c r="I115" s="14"/>
      <c r="J115" s="7"/>
      <c r="K115" s="7"/>
      <c r="L115" s="7"/>
      <c r="M115" s="7"/>
      <c r="N115" s="7">
        <f t="shared" si="1"/>
        <v>1</v>
      </c>
      <c r="O115" s="7"/>
    </row>
    <row r="116">
      <c r="A116" s="8" t="s">
        <v>499</v>
      </c>
      <c r="B116" s="9" t="s">
        <v>184</v>
      </c>
      <c r="C116" s="10"/>
      <c r="D116" s="18" t="s">
        <v>500</v>
      </c>
      <c r="E116" s="10"/>
      <c r="F116" s="16"/>
      <c r="G116" s="13"/>
      <c r="H116" s="10"/>
      <c r="I116" s="14"/>
      <c r="J116" s="7"/>
      <c r="K116" s="7"/>
      <c r="L116" s="7"/>
      <c r="M116" s="7"/>
      <c r="N116" s="7">
        <f t="shared" si="1"/>
        <v>0</v>
      </c>
      <c r="O116" s="7"/>
    </row>
    <row r="117">
      <c r="A117" s="8" t="s">
        <v>501</v>
      </c>
      <c r="B117" s="9" t="s">
        <v>502</v>
      </c>
      <c r="C117" s="10"/>
      <c r="D117" s="19" t="s">
        <v>600</v>
      </c>
      <c r="E117" s="10"/>
      <c r="F117" s="12" t="s">
        <v>504</v>
      </c>
      <c r="G117" s="13"/>
      <c r="H117" s="10"/>
      <c r="I117" s="14"/>
      <c r="J117" s="7"/>
      <c r="K117" s="7"/>
      <c r="L117" s="7"/>
      <c r="M117" s="7"/>
      <c r="N117" s="7">
        <f t="shared" si="1"/>
        <v>1</v>
      </c>
      <c r="O117" s="7"/>
    </row>
    <row r="118">
      <c r="A118" s="8" t="s">
        <v>505</v>
      </c>
      <c r="B118" s="9" t="s">
        <v>506</v>
      </c>
      <c r="C118" s="10"/>
      <c r="D118" s="11" t="s">
        <v>7</v>
      </c>
      <c r="E118" s="10"/>
      <c r="F118" s="12" t="s">
        <v>507</v>
      </c>
      <c r="G118" s="13"/>
      <c r="H118" s="10"/>
      <c r="I118" s="14"/>
      <c r="J118" s="7"/>
      <c r="K118" s="7"/>
      <c r="L118" s="7"/>
      <c r="M118" s="7"/>
      <c r="N118" s="7">
        <f t="shared" si="1"/>
        <v>1</v>
      </c>
      <c r="O118" s="7"/>
    </row>
    <row r="119">
      <c r="A119" s="8" t="s">
        <v>508</v>
      </c>
      <c r="B119" s="9" t="s">
        <v>510</v>
      </c>
      <c r="C119" s="10"/>
      <c r="D119" s="11" t="s">
        <v>7</v>
      </c>
      <c r="E119" s="10"/>
      <c r="F119" s="12" t="s">
        <v>512</v>
      </c>
      <c r="G119" s="13"/>
      <c r="H119" s="10"/>
      <c r="I119" s="14"/>
      <c r="J119" s="7"/>
      <c r="K119" s="7"/>
      <c r="L119" s="7"/>
      <c r="M119" s="7"/>
      <c r="N119" s="7">
        <f t="shared" si="1"/>
        <v>1</v>
      </c>
      <c r="O119" s="7"/>
    </row>
    <row r="120">
      <c r="A120" s="8" t="s">
        <v>513</v>
      </c>
      <c r="B120" s="9" t="s">
        <v>514</v>
      </c>
      <c r="C120" s="10"/>
      <c r="D120" s="18" t="s">
        <v>464</v>
      </c>
      <c r="E120" s="10"/>
      <c r="F120" s="12" t="s">
        <v>515</v>
      </c>
      <c r="G120" s="13"/>
      <c r="H120" s="10"/>
      <c r="I120" s="14"/>
      <c r="J120" s="7"/>
      <c r="K120" s="7"/>
      <c r="L120" s="7"/>
      <c r="M120" s="7"/>
      <c r="N120" s="7">
        <f t="shared" si="1"/>
        <v>1</v>
      </c>
      <c r="O120" s="7"/>
    </row>
    <row r="121">
      <c r="A121" s="8" t="s">
        <v>516</v>
      </c>
      <c r="B121" s="9" t="s">
        <v>517</v>
      </c>
      <c r="C121" s="10"/>
      <c r="D121" s="21" t="s">
        <v>622</v>
      </c>
      <c r="E121" s="10"/>
      <c r="F121" s="12" t="s">
        <v>519</v>
      </c>
      <c r="G121" s="13"/>
      <c r="H121" s="10"/>
      <c r="I121" s="17" t="s">
        <v>520</v>
      </c>
      <c r="J121" s="7"/>
      <c r="K121" s="7"/>
      <c r="L121" s="7"/>
      <c r="M121" s="7"/>
      <c r="N121" s="7">
        <f t="shared" si="1"/>
        <v>1</v>
      </c>
      <c r="O121" s="7"/>
    </row>
    <row r="122">
      <c r="A122" s="8" t="s">
        <v>521</v>
      </c>
      <c r="B122" s="9" t="s">
        <v>522</v>
      </c>
      <c r="C122" s="10"/>
      <c r="D122" s="18" t="s">
        <v>523</v>
      </c>
      <c r="E122" s="10"/>
      <c r="F122" s="12" t="s">
        <v>524</v>
      </c>
      <c r="G122" s="13"/>
      <c r="H122" s="10"/>
      <c r="I122" s="14"/>
      <c r="J122" s="7"/>
      <c r="K122" s="7"/>
      <c r="L122" s="7"/>
      <c r="M122" s="7"/>
      <c r="N122" s="7">
        <f t="shared" si="1"/>
        <v>1</v>
      </c>
      <c r="O122" s="7"/>
    </row>
    <row r="123">
      <c r="A123" s="20" t="s">
        <v>631</v>
      </c>
      <c r="B123" s="15" t="s">
        <v>526</v>
      </c>
      <c r="C123" s="10"/>
      <c r="D123" s="15" t="s">
        <v>527</v>
      </c>
      <c r="E123" s="10"/>
      <c r="F123" s="12" t="s">
        <v>528</v>
      </c>
      <c r="G123" s="13"/>
      <c r="H123" s="10"/>
      <c r="I123" s="14"/>
      <c r="J123" s="7"/>
      <c r="K123" s="7"/>
      <c r="L123" s="7"/>
      <c r="M123" s="7"/>
      <c r="N123" s="7">
        <f t="shared" si="1"/>
        <v>1</v>
      </c>
      <c r="O123" s="7"/>
    </row>
    <row r="124">
      <c r="A124" s="20" t="s">
        <v>530</v>
      </c>
      <c r="B124" s="9"/>
      <c r="C124" s="10"/>
      <c r="D124" s="15" t="s">
        <v>531</v>
      </c>
      <c r="E124" s="10"/>
      <c r="F124" s="12" t="s">
        <v>532</v>
      </c>
      <c r="G124" s="13"/>
      <c r="H124" s="10"/>
      <c r="I124" s="14"/>
      <c r="J124" s="7"/>
      <c r="K124" s="7"/>
      <c r="L124" s="7"/>
      <c r="M124" s="7"/>
      <c r="N124" s="7">
        <f t="shared" si="1"/>
        <v>1</v>
      </c>
      <c r="O124" s="7"/>
    </row>
    <row r="125">
      <c r="A125" s="20" t="s">
        <v>533</v>
      </c>
      <c r="B125" s="9"/>
      <c r="C125" s="10"/>
      <c r="D125" s="15" t="s">
        <v>535</v>
      </c>
      <c r="E125" s="10"/>
      <c r="F125" s="12" t="s">
        <v>536</v>
      </c>
      <c r="G125" s="13"/>
      <c r="H125" s="10"/>
      <c r="I125" s="14"/>
      <c r="J125" s="7"/>
      <c r="K125" s="7"/>
      <c r="L125" s="7"/>
      <c r="M125" s="7"/>
      <c r="N125" s="7">
        <f t="shared" si="1"/>
        <v>1</v>
      </c>
      <c r="O125" s="7"/>
    </row>
    <row r="126">
      <c r="A126" s="20" t="s">
        <v>537</v>
      </c>
      <c r="B126" s="9"/>
      <c r="C126" s="10"/>
      <c r="D126" s="15" t="s">
        <v>538</v>
      </c>
      <c r="E126" s="10"/>
      <c r="F126" s="12" t="s">
        <v>539</v>
      </c>
      <c r="G126" s="13"/>
      <c r="H126" s="10"/>
      <c r="I126" s="14"/>
      <c r="J126" s="7"/>
      <c r="K126" s="7"/>
      <c r="L126" s="7"/>
      <c r="M126" s="7"/>
      <c r="N126" s="7">
        <f t="shared" si="1"/>
        <v>1</v>
      </c>
      <c r="O126" s="7"/>
    </row>
    <row r="127">
      <c r="A127" s="20" t="s">
        <v>540</v>
      </c>
      <c r="B127" s="9"/>
      <c r="C127" s="10"/>
      <c r="D127" s="15" t="s">
        <v>542</v>
      </c>
      <c r="E127" s="10"/>
      <c r="F127" s="12" t="s">
        <v>543</v>
      </c>
      <c r="G127" s="13"/>
      <c r="H127" s="10"/>
      <c r="I127" s="14"/>
      <c r="J127" s="7"/>
      <c r="K127" s="7"/>
      <c r="L127" s="7"/>
      <c r="M127" s="7"/>
      <c r="N127" s="7">
        <f t="shared" si="1"/>
        <v>1</v>
      </c>
      <c r="O127" s="7"/>
    </row>
    <row r="128">
      <c r="A128" s="20" t="s">
        <v>544</v>
      </c>
      <c r="B128" s="9"/>
      <c r="C128" s="10"/>
      <c r="D128" s="15" t="s">
        <v>542</v>
      </c>
      <c r="E128" s="10"/>
      <c r="F128" s="12" t="s">
        <v>545</v>
      </c>
      <c r="G128" s="13"/>
      <c r="H128" s="10"/>
      <c r="I128" s="14"/>
      <c r="J128" s="7"/>
      <c r="K128" s="7"/>
      <c r="L128" s="7"/>
      <c r="M128" s="7"/>
      <c r="N128" s="7">
        <f t="shared" si="1"/>
        <v>1</v>
      </c>
      <c r="O128" s="7"/>
    </row>
    <row r="129">
      <c r="A129" s="20" t="s">
        <v>546</v>
      </c>
      <c r="B129" s="9"/>
      <c r="C129" s="10"/>
      <c r="D129" s="15" t="s">
        <v>547</v>
      </c>
      <c r="E129" s="10"/>
      <c r="F129" s="12" t="s">
        <v>548</v>
      </c>
      <c r="G129" s="13"/>
      <c r="H129" s="10"/>
      <c r="I129" s="14"/>
      <c r="J129" s="7"/>
      <c r="K129" s="7"/>
      <c r="L129" s="7"/>
      <c r="M129" s="7"/>
      <c r="N129" s="7">
        <f t="shared" si="1"/>
        <v>1</v>
      </c>
      <c r="O129" s="7"/>
    </row>
    <row r="130">
      <c r="A130" s="20" t="s">
        <v>550</v>
      </c>
      <c r="B130" s="9"/>
      <c r="C130" s="10"/>
      <c r="D130" s="15" t="s">
        <v>551</v>
      </c>
      <c r="E130" s="10"/>
      <c r="F130" s="12" t="s">
        <v>552</v>
      </c>
      <c r="G130" s="13"/>
      <c r="H130" s="10"/>
      <c r="I130" s="17" t="s">
        <v>20</v>
      </c>
      <c r="J130" s="7"/>
      <c r="K130" s="7"/>
      <c r="L130" s="7"/>
      <c r="M130" s="7"/>
      <c r="N130" s="7">
        <f t="shared" si="1"/>
        <v>1</v>
      </c>
      <c r="O130" s="7"/>
    </row>
    <row r="131">
      <c r="A131" s="20" t="s">
        <v>553</v>
      </c>
      <c r="B131" s="9"/>
      <c r="C131" s="10"/>
      <c r="D131" s="15" t="s">
        <v>554</v>
      </c>
      <c r="E131" s="10"/>
      <c r="F131" s="12" t="s">
        <v>555</v>
      </c>
      <c r="G131" s="13"/>
      <c r="H131" s="10"/>
      <c r="I131" s="17" t="s">
        <v>260</v>
      </c>
      <c r="J131" s="7"/>
      <c r="K131" s="7"/>
      <c r="L131" s="7"/>
      <c r="M131" s="7"/>
      <c r="N131" s="7">
        <f t="shared" si="1"/>
        <v>1</v>
      </c>
      <c r="O131" s="7"/>
    </row>
    <row r="132">
      <c r="A132" s="8" t="s">
        <v>156</v>
      </c>
      <c r="B132" s="9" t="s">
        <v>156</v>
      </c>
      <c r="C132" s="10"/>
      <c r="D132" s="18" t="s">
        <v>573</v>
      </c>
      <c r="E132" s="10"/>
      <c r="F132" s="16"/>
      <c r="G132" s="13"/>
      <c r="H132" s="10"/>
      <c r="I132" s="14"/>
      <c r="J132" s="7"/>
      <c r="K132" s="7"/>
      <c r="L132" s="7"/>
      <c r="M132" s="7"/>
      <c r="N132" s="7">
        <f t="shared" si="1"/>
        <v>0</v>
      </c>
      <c r="O132" s="7"/>
    </row>
    <row r="133">
      <c r="A133" s="7"/>
      <c r="B133" s="7"/>
      <c r="C133" s="7"/>
      <c r="D133" s="7"/>
      <c r="E133" s="7"/>
      <c r="F133" s="7"/>
      <c r="G133" s="7"/>
      <c r="H133" s="7"/>
      <c r="I133" s="7"/>
      <c r="J133" s="7"/>
      <c r="K133" s="7"/>
      <c r="L133" s="7"/>
      <c r="M133" s="7"/>
      <c r="N133" s="7"/>
      <c r="O133" s="7">
        <f>SUM(N3:N133)</f>
        <v>101</v>
      </c>
      <c r="P133" s="7"/>
      <c r="Q133" s="7"/>
      <c r="R133" s="7"/>
      <c r="S133" s="7"/>
      <c r="T133" s="7"/>
      <c r="U133" s="7"/>
      <c r="V133" s="7"/>
      <c r="W133" s="7"/>
      <c r="X133" s="7"/>
      <c r="Y133" s="7"/>
      <c r="Z133" s="7"/>
    </row>
    <row r="134">
      <c r="A134" s="25" t="s">
        <v>576</v>
      </c>
      <c r="B134" s="25" t="s">
        <v>577</v>
      </c>
      <c r="C134" s="25" t="s">
        <v>578</v>
      </c>
      <c r="D134" s="25" t="s">
        <v>579</v>
      </c>
      <c r="E134" s="25" t="s">
        <v>580</v>
      </c>
      <c r="F134" s="25" t="s">
        <v>581</v>
      </c>
      <c r="G134" s="25"/>
      <c r="H134" s="25"/>
      <c r="I134" s="25" t="s">
        <v>4</v>
      </c>
      <c r="J134" s="7"/>
      <c r="K134" s="7"/>
      <c r="L134" s="7"/>
      <c r="M134" s="7"/>
      <c r="N134" s="7"/>
      <c r="O134" s="7"/>
    </row>
    <row r="135">
      <c r="A135" s="26" t="s">
        <v>582</v>
      </c>
      <c r="B135" s="26" t="s">
        <v>583</v>
      </c>
      <c r="C135" s="26" t="s">
        <v>584</v>
      </c>
      <c r="D135" s="27"/>
      <c r="E135" s="28" t="s">
        <v>585</v>
      </c>
      <c r="F135" s="29"/>
      <c r="G135" s="13"/>
      <c r="H135" s="10"/>
      <c r="I135" s="29"/>
      <c r="J135" s="7"/>
      <c r="K135" s="7"/>
      <c r="L135" s="7"/>
      <c r="M135" s="7"/>
      <c r="N135" s="7">
        <f t="shared" ref="N135:N329" si="2"> IF(ISBLANK(F135), 0, 1)</f>
        <v>0</v>
      </c>
      <c r="O135" s="7"/>
    </row>
    <row r="136">
      <c r="A136" s="26" t="s">
        <v>587</v>
      </c>
      <c r="B136" s="26" t="s">
        <v>588</v>
      </c>
      <c r="C136" s="26" t="s">
        <v>589</v>
      </c>
      <c r="D136" s="27"/>
      <c r="E136" s="28" t="s">
        <v>591</v>
      </c>
      <c r="F136" s="30" t="s">
        <v>592</v>
      </c>
      <c r="G136" s="13"/>
      <c r="H136" s="10"/>
      <c r="I136" s="29"/>
      <c r="J136" s="7"/>
      <c r="K136" s="7"/>
      <c r="L136" s="7"/>
      <c r="M136" s="7"/>
      <c r="N136" s="7">
        <f t="shared" si="2"/>
        <v>1</v>
      </c>
      <c r="O136" s="7"/>
    </row>
    <row r="137">
      <c r="A137" s="26" t="s">
        <v>596</v>
      </c>
      <c r="B137" s="26" t="s">
        <v>597</v>
      </c>
      <c r="C137" s="26" t="s">
        <v>589</v>
      </c>
      <c r="D137" s="26" t="s">
        <v>598</v>
      </c>
      <c r="E137" s="28" t="s">
        <v>599</v>
      </c>
      <c r="F137" s="29"/>
      <c r="G137" s="13"/>
      <c r="H137" s="10"/>
      <c r="I137" s="29"/>
      <c r="J137" s="7"/>
      <c r="K137" s="7"/>
      <c r="L137" s="7"/>
      <c r="M137" s="7"/>
      <c r="N137" s="7">
        <f t="shared" si="2"/>
        <v>0</v>
      </c>
      <c r="O137" s="7"/>
    </row>
    <row r="138">
      <c r="A138" s="26" t="s">
        <v>602</v>
      </c>
      <c r="B138" s="31" t="s">
        <v>603</v>
      </c>
      <c r="C138" s="26" t="s">
        <v>589</v>
      </c>
      <c r="D138" s="27"/>
      <c r="E138" s="32" t="s">
        <v>604</v>
      </c>
      <c r="F138" s="30" t="s">
        <v>605</v>
      </c>
      <c r="G138" s="13"/>
      <c r="H138" s="10"/>
      <c r="I138" s="30" t="s">
        <v>520</v>
      </c>
      <c r="J138" s="7"/>
      <c r="K138" s="7"/>
      <c r="L138" s="7"/>
      <c r="M138" s="7"/>
      <c r="N138" s="7">
        <f t="shared" si="2"/>
        <v>1</v>
      </c>
      <c r="O138" s="7"/>
    </row>
    <row r="139">
      <c r="A139" s="26" t="s">
        <v>606</v>
      </c>
      <c r="B139" s="26" t="s">
        <v>607</v>
      </c>
      <c r="C139" s="26" t="s">
        <v>584</v>
      </c>
      <c r="D139" s="27"/>
      <c r="E139" s="32" t="s">
        <v>608</v>
      </c>
      <c r="F139" s="30" t="s">
        <v>609</v>
      </c>
      <c r="G139" s="13"/>
      <c r="H139" s="10"/>
      <c r="I139" s="29"/>
      <c r="J139" s="7"/>
      <c r="K139" s="7"/>
      <c r="L139" s="7"/>
      <c r="M139" s="7"/>
      <c r="N139" s="7">
        <f t="shared" si="2"/>
        <v>1</v>
      </c>
      <c r="O139" s="7"/>
    </row>
    <row r="140">
      <c r="A140" s="26" t="s">
        <v>610</v>
      </c>
      <c r="B140" s="31" t="s">
        <v>611</v>
      </c>
      <c r="C140" s="26" t="s">
        <v>589</v>
      </c>
      <c r="D140" s="27"/>
      <c r="E140" s="28" t="s">
        <v>612</v>
      </c>
      <c r="F140" s="30" t="s">
        <v>613</v>
      </c>
      <c r="G140" s="13"/>
      <c r="H140" s="10"/>
      <c r="I140" s="29"/>
      <c r="J140" s="7"/>
      <c r="K140" s="7"/>
      <c r="L140" s="7"/>
      <c r="M140" s="7"/>
      <c r="N140" s="7">
        <f t="shared" si="2"/>
        <v>1</v>
      </c>
      <c r="O140" s="7"/>
    </row>
    <row r="141">
      <c r="A141" s="26" t="s">
        <v>614</v>
      </c>
      <c r="B141" s="31" t="s">
        <v>615</v>
      </c>
      <c r="C141" s="26" t="s">
        <v>589</v>
      </c>
      <c r="D141" s="27"/>
      <c r="E141" s="28" t="s">
        <v>616</v>
      </c>
      <c r="F141" s="30" t="s">
        <v>617</v>
      </c>
      <c r="G141" s="13"/>
      <c r="H141" s="10"/>
      <c r="I141" s="29"/>
      <c r="J141" s="7"/>
      <c r="K141" s="7"/>
      <c r="L141" s="7"/>
      <c r="M141" s="7"/>
      <c r="N141" s="7">
        <f t="shared" si="2"/>
        <v>1</v>
      </c>
      <c r="O141" s="7"/>
    </row>
    <row r="142">
      <c r="A142" s="31" t="s">
        <v>614</v>
      </c>
      <c r="B142" s="26" t="s">
        <v>618</v>
      </c>
      <c r="C142" s="26" t="s">
        <v>589</v>
      </c>
      <c r="D142" s="27"/>
      <c r="E142" s="28" t="s">
        <v>619</v>
      </c>
      <c r="F142" s="30" t="s">
        <v>617</v>
      </c>
      <c r="G142" s="13"/>
      <c r="H142" s="10"/>
      <c r="I142" s="29"/>
      <c r="J142" s="7"/>
      <c r="K142" s="7"/>
      <c r="L142" s="7"/>
      <c r="M142" s="7"/>
      <c r="N142" s="7">
        <f t="shared" si="2"/>
        <v>1</v>
      </c>
      <c r="O142" s="7"/>
    </row>
    <row r="143">
      <c r="A143" s="31" t="s">
        <v>614</v>
      </c>
      <c r="B143" s="26" t="s">
        <v>615</v>
      </c>
      <c r="C143" s="26" t="s">
        <v>589</v>
      </c>
      <c r="D143" s="27"/>
      <c r="E143" s="28" t="s">
        <v>620</v>
      </c>
      <c r="F143" s="30" t="s">
        <v>617</v>
      </c>
      <c r="G143" s="13"/>
      <c r="H143" s="10"/>
      <c r="I143" s="29"/>
      <c r="J143" s="7"/>
      <c r="K143" s="7"/>
      <c r="L143" s="7"/>
      <c r="M143" s="7"/>
      <c r="N143" s="7">
        <f t="shared" si="2"/>
        <v>1</v>
      </c>
      <c r="O143" s="7"/>
    </row>
    <row r="144">
      <c r="A144" s="26" t="s">
        <v>623</v>
      </c>
      <c r="B144" s="26" t="s">
        <v>624</v>
      </c>
      <c r="C144" s="26" t="s">
        <v>584</v>
      </c>
      <c r="D144" s="33" t="s">
        <v>717</v>
      </c>
      <c r="E144" s="28" t="s">
        <v>626</v>
      </c>
      <c r="F144" s="30" t="s">
        <v>627</v>
      </c>
      <c r="G144" s="13"/>
      <c r="H144" s="10"/>
      <c r="I144" s="29"/>
      <c r="J144" s="7"/>
      <c r="K144" s="7"/>
      <c r="L144" s="7"/>
      <c r="M144" s="7"/>
      <c r="N144" s="7">
        <f t="shared" si="2"/>
        <v>1</v>
      </c>
      <c r="O144" s="7"/>
    </row>
    <row r="145">
      <c r="A145" s="26" t="s">
        <v>628</v>
      </c>
      <c r="B145" s="26" t="s">
        <v>629</v>
      </c>
      <c r="C145" s="26" t="s">
        <v>589</v>
      </c>
      <c r="D145" s="27"/>
      <c r="E145" s="28" t="s">
        <v>630</v>
      </c>
      <c r="F145" s="30" t="s">
        <v>632</v>
      </c>
      <c r="G145" s="13"/>
      <c r="H145" s="10"/>
      <c r="I145" s="29"/>
      <c r="J145" s="7"/>
      <c r="K145" s="7"/>
      <c r="L145" s="7"/>
      <c r="M145" s="7"/>
      <c r="N145" s="7">
        <f t="shared" si="2"/>
        <v>1</v>
      </c>
      <c r="O145" s="7"/>
    </row>
    <row r="146">
      <c r="A146" s="26" t="s">
        <v>633</v>
      </c>
      <c r="B146" s="26" t="s">
        <v>634</v>
      </c>
      <c r="C146" s="26" t="s">
        <v>584</v>
      </c>
      <c r="D146" s="26" t="s">
        <v>635</v>
      </c>
      <c r="E146" s="28" t="s">
        <v>636</v>
      </c>
      <c r="F146" s="29"/>
      <c r="G146" s="13"/>
      <c r="H146" s="10"/>
      <c r="I146" s="29"/>
      <c r="J146" s="7"/>
      <c r="K146" s="7"/>
      <c r="L146" s="7"/>
      <c r="M146" s="7"/>
      <c r="N146" s="7">
        <f t="shared" si="2"/>
        <v>0</v>
      </c>
      <c r="O146" s="7"/>
    </row>
    <row r="147">
      <c r="A147" s="31" t="s">
        <v>637</v>
      </c>
      <c r="B147" s="26" t="s">
        <v>638</v>
      </c>
      <c r="C147" s="26" t="s">
        <v>589</v>
      </c>
      <c r="D147" s="27"/>
      <c r="E147" s="33" t="s">
        <v>732</v>
      </c>
      <c r="F147" s="30" t="s">
        <v>640</v>
      </c>
      <c r="G147" s="13"/>
      <c r="H147" s="10"/>
      <c r="I147" s="29"/>
      <c r="J147" s="7"/>
      <c r="K147" s="7"/>
      <c r="L147" s="7"/>
      <c r="M147" s="7"/>
      <c r="N147" s="7">
        <f t="shared" si="2"/>
        <v>1</v>
      </c>
      <c r="O147" s="7"/>
    </row>
    <row r="148">
      <c r="A148" s="26" t="s">
        <v>641</v>
      </c>
      <c r="B148" s="26" t="s">
        <v>642</v>
      </c>
      <c r="C148" s="26" t="s">
        <v>589</v>
      </c>
      <c r="D148" s="27"/>
      <c r="E148" s="28" t="s">
        <v>643</v>
      </c>
      <c r="F148" s="30" t="s">
        <v>645</v>
      </c>
      <c r="G148" s="13"/>
      <c r="H148" s="10"/>
      <c r="I148" s="29"/>
      <c r="J148" s="7"/>
      <c r="K148" s="7"/>
      <c r="L148" s="7"/>
      <c r="M148" s="7"/>
      <c r="N148" s="7">
        <f t="shared" si="2"/>
        <v>1</v>
      </c>
      <c r="O148" s="7"/>
    </row>
    <row r="149">
      <c r="A149" s="26" t="s">
        <v>646</v>
      </c>
      <c r="B149" s="26" t="s">
        <v>647</v>
      </c>
      <c r="C149" s="26" t="s">
        <v>648</v>
      </c>
      <c r="D149" s="27"/>
      <c r="E149" s="28" t="s">
        <v>649</v>
      </c>
      <c r="F149" s="29"/>
      <c r="G149" s="13"/>
      <c r="H149" s="10"/>
      <c r="I149" s="29"/>
      <c r="J149" s="7"/>
      <c r="K149" s="7"/>
      <c r="L149" s="7"/>
      <c r="M149" s="7"/>
      <c r="N149" s="7">
        <f t="shared" si="2"/>
        <v>0</v>
      </c>
      <c r="O149" s="7"/>
    </row>
    <row r="150">
      <c r="A150" s="26" t="s">
        <v>650</v>
      </c>
      <c r="B150" s="26" t="s">
        <v>651</v>
      </c>
      <c r="C150" s="26" t="s">
        <v>589</v>
      </c>
      <c r="D150" s="27"/>
      <c r="E150" s="28" t="s">
        <v>652</v>
      </c>
      <c r="F150" s="29"/>
      <c r="G150" s="13"/>
      <c r="H150" s="10"/>
      <c r="I150" s="29"/>
      <c r="J150" s="7"/>
      <c r="K150" s="7"/>
      <c r="L150" s="7"/>
      <c r="M150" s="7"/>
      <c r="N150" s="7">
        <f t="shared" si="2"/>
        <v>0</v>
      </c>
      <c r="O150" s="7"/>
    </row>
    <row r="151">
      <c r="A151" s="26" t="s">
        <v>654</v>
      </c>
      <c r="B151" s="26" t="s">
        <v>655</v>
      </c>
      <c r="C151" s="26" t="s">
        <v>589</v>
      </c>
      <c r="D151" s="26" t="s">
        <v>635</v>
      </c>
      <c r="E151" s="28" t="s">
        <v>656</v>
      </c>
      <c r="F151" s="29"/>
      <c r="G151" s="13"/>
      <c r="H151" s="10"/>
      <c r="I151" s="29"/>
      <c r="J151" s="7"/>
      <c r="K151" s="7"/>
      <c r="L151" s="7"/>
      <c r="M151" s="7"/>
      <c r="N151" s="7">
        <f t="shared" si="2"/>
        <v>0</v>
      </c>
      <c r="O151" s="7"/>
    </row>
    <row r="152">
      <c r="A152" s="26" t="s">
        <v>657</v>
      </c>
      <c r="B152" s="26" t="s">
        <v>658</v>
      </c>
      <c r="C152" s="26" t="s">
        <v>589</v>
      </c>
      <c r="D152" s="27"/>
      <c r="E152" s="28" t="s">
        <v>659</v>
      </c>
      <c r="F152" s="29"/>
      <c r="G152" s="13"/>
      <c r="H152" s="10"/>
      <c r="I152" s="29"/>
      <c r="J152" s="7"/>
      <c r="K152" s="7"/>
      <c r="L152" s="7"/>
      <c r="M152" s="7"/>
      <c r="N152" s="7">
        <f t="shared" si="2"/>
        <v>0</v>
      </c>
      <c r="O152" s="7"/>
    </row>
    <row r="153">
      <c r="A153" s="26" t="s">
        <v>660</v>
      </c>
      <c r="B153" s="26" t="s">
        <v>661</v>
      </c>
      <c r="C153" s="26" t="s">
        <v>589</v>
      </c>
      <c r="D153" s="27"/>
      <c r="E153" s="33" t="s">
        <v>765</v>
      </c>
      <c r="F153" s="30" t="s">
        <v>663</v>
      </c>
      <c r="G153" s="13"/>
      <c r="H153" s="10"/>
      <c r="I153" s="29"/>
      <c r="J153" s="7"/>
      <c r="K153" s="7"/>
      <c r="L153" s="7"/>
      <c r="M153" s="7"/>
      <c r="N153" s="7">
        <f t="shared" si="2"/>
        <v>1</v>
      </c>
      <c r="O153" s="7"/>
    </row>
    <row r="154">
      <c r="A154" s="26" t="s">
        <v>664</v>
      </c>
      <c r="B154" s="26" t="s">
        <v>665</v>
      </c>
      <c r="C154" s="26" t="s">
        <v>589</v>
      </c>
      <c r="D154" s="27"/>
      <c r="E154" s="28" t="s">
        <v>666</v>
      </c>
      <c r="F154" s="30" t="s">
        <v>667</v>
      </c>
      <c r="G154" s="13"/>
      <c r="H154" s="10"/>
      <c r="I154" s="29"/>
      <c r="J154" s="7"/>
      <c r="K154" s="7"/>
      <c r="L154" s="7"/>
      <c r="M154" s="7"/>
      <c r="N154" s="7">
        <f t="shared" si="2"/>
        <v>1</v>
      </c>
      <c r="O154" s="7"/>
    </row>
    <row r="155">
      <c r="A155" s="26" t="s">
        <v>668</v>
      </c>
      <c r="B155" s="26" t="s">
        <v>669</v>
      </c>
      <c r="C155" s="26" t="s">
        <v>589</v>
      </c>
      <c r="D155" s="26" t="s">
        <v>598</v>
      </c>
      <c r="E155" s="28" t="s">
        <v>670</v>
      </c>
      <c r="F155" s="30" t="s">
        <v>671</v>
      </c>
      <c r="G155" s="13"/>
      <c r="H155" s="10"/>
      <c r="I155" s="29"/>
      <c r="J155" s="7"/>
      <c r="K155" s="7"/>
      <c r="L155" s="7"/>
      <c r="M155" s="7"/>
      <c r="N155" s="7">
        <f t="shared" si="2"/>
        <v>1</v>
      </c>
      <c r="O155" s="7"/>
    </row>
    <row r="156">
      <c r="A156" s="26" t="s">
        <v>672</v>
      </c>
      <c r="B156" s="26" t="s">
        <v>673</v>
      </c>
      <c r="C156" s="26" t="s">
        <v>589</v>
      </c>
      <c r="D156" s="27"/>
      <c r="E156" s="28" t="s">
        <v>674</v>
      </c>
      <c r="F156" s="29"/>
      <c r="G156" s="13"/>
      <c r="H156" s="10"/>
      <c r="I156" s="29"/>
      <c r="J156" s="7"/>
      <c r="K156" s="7"/>
      <c r="L156" s="7"/>
      <c r="M156" s="7"/>
      <c r="N156" s="7">
        <f t="shared" si="2"/>
        <v>0</v>
      </c>
      <c r="O156" s="7"/>
    </row>
    <row r="157">
      <c r="A157" s="26" t="s">
        <v>676</v>
      </c>
      <c r="B157" s="26" t="s">
        <v>677</v>
      </c>
      <c r="C157" s="26" t="s">
        <v>589</v>
      </c>
      <c r="D157" s="27"/>
      <c r="E157" s="28" t="s">
        <v>678</v>
      </c>
      <c r="F157" s="30" t="s">
        <v>680</v>
      </c>
      <c r="G157" s="13"/>
      <c r="H157" s="10"/>
      <c r="I157" s="29"/>
      <c r="J157" s="7"/>
      <c r="K157" s="7"/>
      <c r="L157" s="7"/>
      <c r="M157" s="7"/>
      <c r="N157" s="7">
        <f t="shared" si="2"/>
        <v>1</v>
      </c>
      <c r="O157" s="7"/>
    </row>
    <row r="158">
      <c r="A158" s="26" t="s">
        <v>681</v>
      </c>
      <c r="B158" s="26" t="s">
        <v>682</v>
      </c>
      <c r="C158" s="26" t="s">
        <v>589</v>
      </c>
      <c r="D158" s="27"/>
      <c r="E158" s="28" t="s">
        <v>683</v>
      </c>
      <c r="F158" s="29"/>
      <c r="G158" s="13"/>
      <c r="H158" s="10"/>
      <c r="I158" s="29"/>
      <c r="J158" s="7"/>
      <c r="K158" s="7"/>
      <c r="L158" s="7"/>
      <c r="M158" s="7"/>
      <c r="N158" s="7">
        <f t="shared" si="2"/>
        <v>0</v>
      </c>
      <c r="O158" s="7"/>
    </row>
    <row r="159">
      <c r="A159" s="31" t="s">
        <v>684</v>
      </c>
      <c r="B159" s="26" t="s">
        <v>685</v>
      </c>
      <c r="C159" s="26" t="s">
        <v>584</v>
      </c>
      <c r="D159" s="27"/>
      <c r="E159" s="31" t="s">
        <v>686</v>
      </c>
      <c r="F159" s="30" t="s">
        <v>687</v>
      </c>
      <c r="G159" s="13"/>
      <c r="H159" s="10"/>
      <c r="I159" s="29"/>
      <c r="J159" s="7"/>
      <c r="K159" s="7"/>
      <c r="L159" s="7"/>
      <c r="M159" s="7"/>
      <c r="N159" s="7">
        <f t="shared" si="2"/>
        <v>1</v>
      </c>
      <c r="O159" s="7"/>
    </row>
    <row r="160">
      <c r="A160" s="26" t="s">
        <v>688</v>
      </c>
      <c r="B160" s="31" t="s">
        <v>689</v>
      </c>
      <c r="C160" s="26" t="s">
        <v>589</v>
      </c>
      <c r="D160" s="27"/>
      <c r="E160" s="28" t="s">
        <v>690</v>
      </c>
      <c r="F160" s="30" t="s">
        <v>691</v>
      </c>
      <c r="G160" s="13"/>
      <c r="H160" s="10"/>
      <c r="I160" s="29"/>
      <c r="J160" s="7"/>
      <c r="K160" s="7"/>
      <c r="L160" s="7"/>
      <c r="M160" s="7"/>
      <c r="N160" s="7">
        <f t="shared" si="2"/>
        <v>1</v>
      </c>
      <c r="O160" s="7"/>
    </row>
    <row r="161">
      <c r="A161" s="31" t="s">
        <v>692</v>
      </c>
      <c r="B161" s="26" t="s">
        <v>693</v>
      </c>
      <c r="C161" s="26" t="s">
        <v>589</v>
      </c>
      <c r="D161" s="27"/>
      <c r="E161" s="28" t="s">
        <v>694</v>
      </c>
      <c r="F161" s="30" t="s">
        <v>695</v>
      </c>
      <c r="G161" s="13"/>
      <c r="H161" s="10"/>
      <c r="I161" s="29"/>
      <c r="J161" s="7"/>
      <c r="K161" s="7"/>
      <c r="L161" s="7"/>
      <c r="M161" s="7"/>
      <c r="N161" s="7">
        <f t="shared" si="2"/>
        <v>1</v>
      </c>
      <c r="O161" s="7"/>
    </row>
    <row r="162">
      <c r="A162" s="31" t="s">
        <v>696</v>
      </c>
      <c r="B162" s="31" t="s">
        <v>697</v>
      </c>
      <c r="C162" s="26" t="s">
        <v>589</v>
      </c>
      <c r="D162" s="27"/>
      <c r="E162" s="28" t="s">
        <v>698</v>
      </c>
      <c r="F162" s="30" t="s">
        <v>699</v>
      </c>
      <c r="G162" s="13"/>
      <c r="H162" s="10"/>
      <c r="I162" s="29"/>
      <c r="J162" s="7"/>
      <c r="K162" s="7"/>
      <c r="L162" s="7"/>
      <c r="M162" s="7"/>
      <c r="N162" s="7">
        <f t="shared" si="2"/>
        <v>1</v>
      </c>
      <c r="O162" s="7"/>
    </row>
    <row r="163">
      <c r="A163" s="26" t="s">
        <v>700</v>
      </c>
      <c r="B163" s="26" t="s">
        <v>701</v>
      </c>
      <c r="C163" s="26" t="s">
        <v>584</v>
      </c>
      <c r="D163" s="27"/>
      <c r="E163" s="28" t="s">
        <v>702</v>
      </c>
      <c r="F163" s="29"/>
      <c r="G163" s="13"/>
      <c r="H163" s="10"/>
      <c r="I163" s="29"/>
      <c r="J163" s="7"/>
      <c r="K163" s="7"/>
      <c r="L163" s="7"/>
      <c r="M163" s="7"/>
      <c r="N163" s="7">
        <f t="shared" si="2"/>
        <v>0</v>
      </c>
      <c r="O163" s="7"/>
    </row>
    <row r="164">
      <c r="A164" s="26" t="s">
        <v>703</v>
      </c>
      <c r="B164" s="26" t="s">
        <v>704</v>
      </c>
      <c r="C164" s="26" t="s">
        <v>589</v>
      </c>
      <c r="D164" s="27"/>
      <c r="E164" s="28" t="s">
        <v>705</v>
      </c>
      <c r="F164" s="30" t="s">
        <v>706</v>
      </c>
      <c r="G164" s="13"/>
      <c r="H164" s="10"/>
      <c r="I164" s="29"/>
      <c r="J164" s="7"/>
      <c r="K164" s="7"/>
      <c r="L164" s="7"/>
      <c r="M164" s="7"/>
      <c r="N164" s="7">
        <f t="shared" si="2"/>
        <v>1</v>
      </c>
      <c r="O164" s="7"/>
    </row>
    <row r="165">
      <c r="A165" s="26" t="s">
        <v>707</v>
      </c>
      <c r="B165" s="26" t="s">
        <v>708</v>
      </c>
      <c r="C165" s="26" t="s">
        <v>589</v>
      </c>
      <c r="D165" s="26" t="s">
        <v>635</v>
      </c>
      <c r="E165" s="28" t="s">
        <v>709</v>
      </c>
      <c r="F165" s="30" t="s">
        <v>710</v>
      </c>
      <c r="G165" s="13"/>
      <c r="H165" s="10"/>
      <c r="I165" s="30"/>
      <c r="J165" s="7"/>
      <c r="K165" s="7"/>
      <c r="L165" s="7"/>
      <c r="M165" s="7"/>
      <c r="N165" s="7">
        <f t="shared" si="2"/>
        <v>1</v>
      </c>
      <c r="O165" s="7"/>
    </row>
    <row r="166">
      <c r="A166" s="26" t="s">
        <v>711</v>
      </c>
      <c r="B166" s="26" t="s">
        <v>712</v>
      </c>
      <c r="C166" s="26" t="s">
        <v>589</v>
      </c>
      <c r="D166" s="27"/>
      <c r="E166" s="28" t="s">
        <v>713</v>
      </c>
      <c r="F166" s="29"/>
      <c r="G166" s="13"/>
      <c r="H166" s="10"/>
      <c r="I166" s="30" t="s">
        <v>466</v>
      </c>
      <c r="J166" s="7"/>
      <c r="K166" s="7"/>
      <c r="L166" s="7"/>
      <c r="M166" s="7"/>
      <c r="N166" s="7">
        <f t="shared" si="2"/>
        <v>0</v>
      </c>
      <c r="O166" s="7"/>
    </row>
    <row r="167">
      <c r="A167" s="31" t="s">
        <v>714</v>
      </c>
      <c r="B167" s="26" t="s">
        <v>715</v>
      </c>
      <c r="C167" s="26" t="s">
        <v>589</v>
      </c>
      <c r="D167" s="27"/>
      <c r="E167" s="28" t="s">
        <v>716</v>
      </c>
      <c r="F167" s="30" t="s">
        <v>718</v>
      </c>
      <c r="G167" s="13"/>
      <c r="H167" s="10"/>
      <c r="I167" s="29"/>
      <c r="J167" s="7"/>
      <c r="K167" s="7"/>
      <c r="L167" s="7"/>
      <c r="M167" s="7"/>
      <c r="N167" s="7">
        <f t="shared" si="2"/>
        <v>1</v>
      </c>
      <c r="O167" s="7"/>
    </row>
    <row r="168">
      <c r="A168" s="26" t="s">
        <v>719</v>
      </c>
      <c r="B168" s="26" t="s">
        <v>720</v>
      </c>
      <c r="C168" s="26" t="s">
        <v>589</v>
      </c>
      <c r="D168" s="26" t="s">
        <v>598</v>
      </c>
      <c r="E168" s="28" t="s">
        <v>721</v>
      </c>
      <c r="F168" s="30" t="s">
        <v>722</v>
      </c>
      <c r="G168" s="13"/>
      <c r="H168" s="10"/>
      <c r="I168" s="29"/>
      <c r="J168" s="7"/>
      <c r="K168" s="7"/>
      <c r="L168" s="7"/>
      <c r="M168" s="7"/>
      <c r="N168" s="7">
        <f t="shared" si="2"/>
        <v>1</v>
      </c>
      <c r="O168" s="7"/>
    </row>
    <row r="169">
      <c r="A169" s="26" t="s">
        <v>723</v>
      </c>
      <c r="B169" s="26" t="s">
        <v>724</v>
      </c>
      <c r="C169" s="26" t="s">
        <v>589</v>
      </c>
      <c r="D169" s="27"/>
      <c r="E169" s="28" t="s">
        <v>725</v>
      </c>
      <c r="F169" s="29"/>
      <c r="G169" s="13"/>
      <c r="H169" s="10"/>
      <c r="I169" s="29"/>
      <c r="J169" s="7"/>
      <c r="K169" s="7"/>
      <c r="L169" s="7"/>
      <c r="M169" s="7"/>
      <c r="N169" s="7">
        <f t="shared" si="2"/>
        <v>0</v>
      </c>
      <c r="O169" s="7"/>
    </row>
    <row r="170">
      <c r="A170" s="26" t="s">
        <v>726</v>
      </c>
      <c r="B170" s="26" t="s">
        <v>727</v>
      </c>
      <c r="C170" s="26" t="s">
        <v>584</v>
      </c>
      <c r="D170" s="27"/>
      <c r="E170" s="28" t="s">
        <v>728</v>
      </c>
      <c r="F170" s="29"/>
      <c r="G170" s="13"/>
      <c r="H170" s="10"/>
      <c r="I170" s="29"/>
      <c r="J170" s="7"/>
      <c r="K170" s="7"/>
      <c r="L170" s="7"/>
      <c r="M170" s="7"/>
      <c r="N170" s="7">
        <f t="shared" si="2"/>
        <v>0</v>
      </c>
      <c r="O170" s="7"/>
    </row>
    <row r="171">
      <c r="A171" s="26" t="s">
        <v>729</v>
      </c>
      <c r="B171" s="26" t="s">
        <v>730</v>
      </c>
      <c r="C171" s="26" t="s">
        <v>589</v>
      </c>
      <c r="D171" s="27"/>
      <c r="E171" s="28" t="s">
        <v>731</v>
      </c>
      <c r="F171" s="30" t="s">
        <v>733</v>
      </c>
      <c r="G171" s="13"/>
      <c r="H171" s="10"/>
      <c r="I171" s="29"/>
      <c r="J171" s="7"/>
      <c r="K171" s="7"/>
      <c r="L171" s="7"/>
      <c r="M171" s="7"/>
      <c r="N171" s="7">
        <f t="shared" si="2"/>
        <v>1</v>
      </c>
      <c r="O171" s="7"/>
    </row>
    <row r="172">
      <c r="A172" s="26" t="s">
        <v>734</v>
      </c>
      <c r="B172" s="26" t="s">
        <v>735</v>
      </c>
      <c r="C172" s="26" t="s">
        <v>736</v>
      </c>
      <c r="D172" s="27"/>
      <c r="E172" s="32" t="s">
        <v>737</v>
      </c>
      <c r="F172" s="30" t="s">
        <v>738</v>
      </c>
      <c r="G172" s="13"/>
      <c r="H172" s="10"/>
      <c r="I172" s="17" t="s">
        <v>445</v>
      </c>
      <c r="J172" s="7"/>
      <c r="K172" s="7"/>
      <c r="L172" s="7"/>
      <c r="M172" s="7"/>
      <c r="N172" s="7">
        <f t="shared" si="2"/>
        <v>1</v>
      </c>
      <c r="O172" s="7"/>
    </row>
    <row r="173">
      <c r="A173" s="26" t="s">
        <v>739</v>
      </c>
      <c r="B173" s="26" t="s">
        <v>740</v>
      </c>
      <c r="C173" s="26" t="s">
        <v>589</v>
      </c>
      <c r="D173" s="27"/>
      <c r="E173" s="28" t="s">
        <v>741</v>
      </c>
      <c r="F173" s="30" t="s">
        <v>742</v>
      </c>
      <c r="G173" s="13"/>
      <c r="H173" s="10"/>
      <c r="I173" s="29"/>
      <c r="J173" s="7"/>
      <c r="K173" s="7"/>
      <c r="L173" s="7"/>
      <c r="M173" s="7"/>
      <c r="N173" s="7">
        <f t="shared" si="2"/>
        <v>1</v>
      </c>
      <c r="O173" s="7"/>
    </row>
    <row r="174">
      <c r="A174" s="26" t="s">
        <v>743</v>
      </c>
      <c r="B174" s="26" t="s">
        <v>744</v>
      </c>
      <c r="C174" s="26" t="s">
        <v>584</v>
      </c>
      <c r="D174" s="26" t="s">
        <v>635</v>
      </c>
      <c r="E174" s="28" t="s">
        <v>745</v>
      </c>
      <c r="F174" s="29"/>
      <c r="G174" s="13"/>
      <c r="H174" s="10"/>
      <c r="I174" s="29"/>
      <c r="J174" s="7"/>
      <c r="K174" s="7"/>
      <c r="L174" s="7"/>
      <c r="M174" s="7"/>
      <c r="N174" s="7">
        <f t="shared" si="2"/>
        <v>0</v>
      </c>
      <c r="O174" s="7"/>
    </row>
    <row r="175">
      <c r="A175" s="26" t="s">
        <v>747</v>
      </c>
      <c r="B175" s="26" t="s">
        <v>748</v>
      </c>
      <c r="C175" s="26" t="s">
        <v>584</v>
      </c>
      <c r="D175" s="27"/>
      <c r="E175" s="28" t="s">
        <v>749</v>
      </c>
      <c r="F175" s="29"/>
      <c r="G175" s="13"/>
      <c r="H175" s="10"/>
      <c r="I175" s="29"/>
      <c r="J175" s="7"/>
      <c r="K175" s="7"/>
      <c r="L175" s="7"/>
      <c r="M175" s="7"/>
      <c r="N175" s="7">
        <f t="shared" si="2"/>
        <v>0</v>
      </c>
      <c r="O175" s="7"/>
    </row>
    <row r="176">
      <c r="A176" s="26" t="s">
        <v>750</v>
      </c>
      <c r="B176" s="26" t="s">
        <v>751</v>
      </c>
      <c r="C176" s="26" t="s">
        <v>752</v>
      </c>
      <c r="D176" s="28" t="s">
        <v>753</v>
      </c>
      <c r="E176" s="33" t="s">
        <v>873</v>
      </c>
      <c r="F176" s="30" t="s">
        <v>755</v>
      </c>
      <c r="G176" s="13"/>
      <c r="H176" s="10"/>
      <c r="I176" s="29"/>
      <c r="J176" s="7"/>
      <c r="K176" s="7"/>
      <c r="L176" s="7"/>
      <c r="M176" s="7"/>
      <c r="N176" s="7">
        <f t="shared" si="2"/>
        <v>1</v>
      </c>
      <c r="O176" s="7"/>
    </row>
    <row r="177">
      <c r="A177" s="26" t="s">
        <v>756</v>
      </c>
      <c r="B177" s="26" t="s">
        <v>757</v>
      </c>
      <c r="C177" s="26" t="s">
        <v>758</v>
      </c>
      <c r="D177" s="28" t="s">
        <v>753</v>
      </c>
      <c r="E177" s="33" t="s">
        <v>879</v>
      </c>
      <c r="F177" s="30" t="s">
        <v>761</v>
      </c>
      <c r="G177" s="13"/>
      <c r="H177" s="10"/>
      <c r="I177" s="29"/>
      <c r="J177" s="7"/>
      <c r="K177" s="7"/>
      <c r="L177" s="7"/>
      <c r="M177" s="7"/>
      <c r="N177" s="7">
        <f t="shared" si="2"/>
        <v>1</v>
      </c>
      <c r="O177" s="7"/>
    </row>
    <row r="178">
      <c r="A178" s="26" t="s">
        <v>762</v>
      </c>
      <c r="B178" s="26" t="s">
        <v>763</v>
      </c>
      <c r="C178" s="26" t="s">
        <v>589</v>
      </c>
      <c r="D178" s="27"/>
      <c r="E178" s="28" t="s">
        <v>764</v>
      </c>
      <c r="F178" s="29"/>
      <c r="G178" s="13"/>
      <c r="H178" s="10"/>
      <c r="I178" s="29"/>
      <c r="J178" s="7"/>
      <c r="K178" s="7"/>
      <c r="L178" s="7"/>
      <c r="M178" s="7"/>
      <c r="N178" s="7">
        <f t="shared" si="2"/>
        <v>0</v>
      </c>
      <c r="O178" s="7"/>
    </row>
    <row r="179">
      <c r="A179" s="26" t="s">
        <v>766</v>
      </c>
      <c r="B179" s="26" t="s">
        <v>767</v>
      </c>
      <c r="C179" s="26" t="s">
        <v>589</v>
      </c>
      <c r="D179" s="26" t="s">
        <v>598</v>
      </c>
      <c r="E179" s="28" t="s">
        <v>768</v>
      </c>
      <c r="F179" s="29"/>
      <c r="G179" s="13"/>
      <c r="H179" s="10"/>
      <c r="I179" s="29"/>
      <c r="J179" s="7"/>
      <c r="K179" s="7"/>
      <c r="L179" s="7"/>
      <c r="M179" s="7"/>
      <c r="N179" s="7">
        <f t="shared" si="2"/>
        <v>0</v>
      </c>
      <c r="O179" s="7"/>
    </row>
    <row r="180">
      <c r="A180" s="26" t="s">
        <v>770</v>
      </c>
      <c r="B180" s="26" t="s">
        <v>771</v>
      </c>
      <c r="C180" s="26" t="s">
        <v>772</v>
      </c>
      <c r="D180" s="27"/>
      <c r="E180" s="28" t="s">
        <v>773</v>
      </c>
      <c r="F180" s="30" t="s">
        <v>774</v>
      </c>
      <c r="G180" s="13"/>
      <c r="H180" s="10"/>
      <c r="I180" s="29"/>
      <c r="J180" s="7"/>
      <c r="K180" s="7"/>
      <c r="L180" s="7"/>
      <c r="M180" s="7"/>
      <c r="N180" s="7">
        <f t="shared" si="2"/>
        <v>1</v>
      </c>
      <c r="O180" s="7"/>
    </row>
    <row r="181">
      <c r="A181" s="26" t="s">
        <v>775</v>
      </c>
      <c r="B181" s="26" t="s">
        <v>776</v>
      </c>
      <c r="C181" s="26" t="s">
        <v>589</v>
      </c>
      <c r="D181" s="27"/>
      <c r="E181" s="28" t="s">
        <v>777</v>
      </c>
      <c r="F181" s="30" t="s">
        <v>779</v>
      </c>
      <c r="G181" s="13"/>
      <c r="H181" s="10"/>
      <c r="I181" s="30" t="s">
        <v>420</v>
      </c>
      <c r="J181" s="7"/>
      <c r="K181" s="7"/>
      <c r="L181" s="7"/>
      <c r="M181" s="7"/>
      <c r="N181" s="7">
        <f t="shared" si="2"/>
        <v>1</v>
      </c>
      <c r="O181" s="7"/>
    </row>
    <row r="182">
      <c r="A182" s="26" t="s">
        <v>780</v>
      </c>
      <c r="B182" s="26" t="s">
        <v>781</v>
      </c>
      <c r="C182" s="26" t="s">
        <v>589</v>
      </c>
      <c r="D182" s="27"/>
      <c r="E182" s="28" t="s">
        <v>782</v>
      </c>
      <c r="F182" s="29"/>
      <c r="G182" s="13"/>
      <c r="H182" s="10"/>
      <c r="I182" s="29"/>
      <c r="J182" s="7"/>
      <c r="K182" s="7"/>
      <c r="L182" s="7"/>
      <c r="M182" s="7"/>
      <c r="N182" s="7">
        <f t="shared" si="2"/>
        <v>0</v>
      </c>
      <c r="O182" s="7"/>
    </row>
    <row r="183">
      <c r="A183" s="26" t="s">
        <v>783</v>
      </c>
      <c r="B183" s="26" t="s">
        <v>784</v>
      </c>
      <c r="C183" s="26" t="s">
        <v>589</v>
      </c>
      <c r="D183" s="27"/>
      <c r="E183" s="28" t="s">
        <v>785</v>
      </c>
      <c r="F183" s="30" t="s">
        <v>786</v>
      </c>
      <c r="G183" s="13"/>
      <c r="H183" s="10"/>
      <c r="I183" s="29"/>
      <c r="J183" s="7"/>
      <c r="K183" s="7"/>
      <c r="L183" s="7"/>
      <c r="M183" s="7"/>
      <c r="N183" s="7">
        <f t="shared" si="2"/>
        <v>1</v>
      </c>
      <c r="O183" s="7"/>
    </row>
    <row r="184">
      <c r="A184" s="26" t="s">
        <v>787</v>
      </c>
      <c r="B184" s="26" t="s">
        <v>788</v>
      </c>
      <c r="C184" s="26" t="s">
        <v>589</v>
      </c>
      <c r="D184" s="27"/>
      <c r="E184" s="28" t="s">
        <v>790</v>
      </c>
      <c r="F184" s="29"/>
      <c r="G184" s="13"/>
      <c r="H184" s="10"/>
      <c r="I184" s="29"/>
      <c r="J184" s="7"/>
      <c r="K184" s="7"/>
      <c r="L184" s="7"/>
      <c r="M184" s="7"/>
      <c r="N184" s="7">
        <f t="shared" si="2"/>
        <v>0</v>
      </c>
      <c r="O184" s="7"/>
    </row>
    <row r="185">
      <c r="A185" s="26" t="s">
        <v>791</v>
      </c>
      <c r="B185" s="26" t="s">
        <v>792</v>
      </c>
      <c r="C185" s="26" t="s">
        <v>589</v>
      </c>
      <c r="D185" s="27"/>
      <c r="E185" s="31" t="s">
        <v>793</v>
      </c>
      <c r="F185" s="30" t="s">
        <v>794</v>
      </c>
      <c r="G185" s="13"/>
      <c r="H185" s="10"/>
      <c r="I185" s="29"/>
      <c r="J185" s="7"/>
      <c r="K185" s="7"/>
      <c r="L185" s="7"/>
      <c r="M185" s="7"/>
      <c r="N185" s="7">
        <f t="shared" si="2"/>
        <v>1</v>
      </c>
      <c r="O185" s="7"/>
    </row>
    <row r="186">
      <c r="A186" s="26" t="s">
        <v>795</v>
      </c>
      <c r="B186" s="26" t="s">
        <v>796</v>
      </c>
      <c r="C186" s="26" t="s">
        <v>589</v>
      </c>
      <c r="D186" s="27"/>
      <c r="E186" s="28" t="s">
        <v>797</v>
      </c>
      <c r="F186" s="29"/>
      <c r="G186" s="13"/>
      <c r="H186" s="10"/>
      <c r="I186" s="29"/>
      <c r="J186" s="7"/>
      <c r="K186" s="7"/>
      <c r="L186" s="7"/>
      <c r="M186" s="7"/>
      <c r="N186" s="7">
        <f t="shared" si="2"/>
        <v>0</v>
      </c>
      <c r="O186" s="7"/>
    </row>
    <row r="187">
      <c r="A187" s="26" t="s">
        <v>799</v>
      </c>
      <c r="B187" s="31" t="s">
        <v>800</v>
      </c>
      <c r="C187" s="26" t="s">
        <v>584</v>
      </c>
      <c r="D187" s="27"/>
      <c r="E187" s="34" t="s">
        <v>801</v>
      </c>
      <c r="F187" s="30" t="s">
        <v>802</v>
      </c>
      <c r="G187" s="13"/>
      <c r="H187" s="10"/>
      <c r="I187" s="29"/>
      <c r="J187" s="7"/>
      <c r="K187" s="7"/>
      <c r="L187" s="7"/>
      <c r="M187" s="7"/>
      <c r="N187" s="7">
        <f t="shared" si="2"/>
        <v>1</v>
      </c>
      <c r="O187" s="7"/>
    </row>
    <row r="188">
      <c r="A188" s="26" t="s">
        <v>803</v>
      </c>
      <c r="B188" s="26" t="s">
        <v>804</v>
      </c>
      <c r="C188" s="26" t="s">
        <v>589</v>
      </c>
      <c r="D188" s="26" t="s">
        <v>598</v>
      </c>
      <c r="E188" s="28" t="s">
        <v>806</v>
      </c>
      <c r="F188" s="29"/>
      <c r="G188" s="13"/>
      <c r="H188" s="10"/>
      <c r="I188" s="29"/>
      <c r="J188" s="7"/>
      <c r="K188" s="7"/>
      <c r="L188" s="7"/>
      <c r="M188" s="7"/>
      <c r="N188" s="7">
        <f t="shared" si="2"/>
        <v>0</v>
      </c>
      <c r="O188" s="7"/>
    </row>
    <row r="189">
      <c r="A189" s="26" t="s">
        <v>807</v>
      </c>
      <c r="B189" s="26" t="s">
        <v>808</v>
      </c>
      <c r="C189" s="26" t="s">
        <v>809</v>
      </c>
      <c r="D189" s="27"/>
      <c r="E189" s="33" t="s">
        <v>924</v>
      </c>
      <c r="F189" s="30" t="s">
        <v>812</v>
      </c>
      <c r="G189" s="13"/>
      <c r="H189" s="10"/>
      <c r="I189" s="29"/>
      <c r="J189" s="7"/>
      <c r="K189" s="7"/>
      <c r="L189" s="7"/>
      <c r="M189" s="7"/>
      <c r="N189" s="7">
        <f t="shared" si="2"/>
        <v>1</v>
      </c>
      <c r="O189" s="7"/>
    </row>
    <row r="190">
      <c r="A190" s="26" t="s">
        <v>813</v>
      </c>
      <c r="B190" s="26" t="s">
        <v>814</v>
      </c>
      <c r="C190" s="26" t="s">
        <v>589</v>
      </c>
      <c r="D190" s="27"/>
      <c r="E190" s="31" t="s">
        <v>815</v>
      </c>
      <c r="F190" s="30" t="s">
        <v>816</v>
      </c>
      <c r="G190" s="13"/>
      <c r="H190" s="10"/>
      <c r="I190" s="30" t="s">
        <v>374</v>
      </c>
      <c r="J190" s="7"/>
      <c r="K190" s="7"/>
      <c r="L190" s="7"/>
      <c r="M190" s="7"/>
      <c r="N190" s="7">
        <f t="shared" si="2"/>
        <v>1</v>
      </c>
      <c r="O190" s="7"/>
    </row>
    <row r="191">
      <c r="A191" s="26" t="s">
        <v>817</v>
      </c>
      <c r="B191" s="26" t="s">
        <v>818</v>
      </c>
      <c r="C191" s="26" t="s">
        <v>589</v>
      </c>
      <c r="D191" s="27"/>
      <c r="E191" s="28" t="s">
        <v>819</v>
      </c>
      <c r="F191" s="30" t="s">
        <v>820</v>
      </c>
      <c r="G191" s="13"/>
      <c r="H191" s="10"/>
      <c r="I191" s="29"/>
      <c r="J191" s="7"/>
      <c r="K191" s="7"/>
      <c r="L191" s="7"/>
      <c r="M191" s="7"/>
      <c r="N191" s="7">
        <f t="shared" si="2"/>
        <v>1</v>
      </c>
      <c r="O191" s="7"/>
    </row>
    <row r="192">
      <c r="A192" s="26" t="s">
        <v>821</v>
      </c>
      <c r="B192" s="26" t="s">
        <v>822</v>
      </c>
      <c r="C192" s="26" t="s">
        <v>584</v>
      </c>
      <c r="D192" s="27"/>
      <c r="E192" s="28" t="s">
        <v>823</v>
      </c>
      <c r="F192" s="29"/>
      <c r="G192" s="13"/>
      <c r="H192" s="10"/>
      <c r="I192" s="29"/>
      <c r="J192" s="7"/>
      <c r="K192" s="7"/>
      <c r="L192" s="7"/>
      <c r="M192" s="7"/>
      <c r="N192" s="7">
        <f t="shared" si="2"/>
        <v>0</v>
      </c>
      <c r="O192" s="7"/>
    </row>
    <row r="193">
      <c r="A193" s="26" t="s">
        <v>824</v>
      </c>
      <c r="B193" s="26" t="s">
        <v>825</v>
      </c>
      <c r="C193" s="26" t="s">
        <v>589</v>
      </c>
      <c r="D193" s="27"/>
      <c r="E193" s="28" t="s">
        <v>826</v>
      </c>
      <c r="F193" s="30" t="s">
        <v>827</v>
      </c>
      <c r="G193" s="13"/>
      <c r="H193" s="10"/>
      <c r="I193" s="30" t="s">
        <v>828</v>
      </c>
      <c r="J193" s="7"/>
      <c r="K193" s="7"/>
      <c r="L193" s="7"/>
      <c r="M193" s="7"/>
      <c r="N193" s="7">
        <f t="shared" si="2"/>
        <v>1</v>
      </c>
      <c r="O193" s="7"/>
    </row>
    <row r="194">
      <c r="A194" s="26" t="s">
        <v>829</v>
      </c>
      <c r="B194" s="26" t="s">
        <v>830</v>
      </c>
      <c r="C194" s="26" t="s">
        <v>589</v>
      </c>
      <c r="D194" s="27"/>
      <c r="E194" s="28" t="s">
        <v>831</v>
      </c>
      <c r="F194" s="30" t="s">
        <v>832</v>
      </c>
      <c r="G194" s="13"/>
      <c r="H194" s="10"/>
      <c r="I194" s="29"/>
      <c r="J194" s="7"/>
      <c r="K194" s="7"/>
      <c r="L194" s="7"/>
      <c r="M194" s="7"/>
      <c r="N194" s="7">
        <f t="shared" si="2"/>
        <v>1</v>
      </c>
      <c r="O194" s="7"/>
    </row>
    <row r="195">
      <c r="A195" s="26" t="s">
        <v>833</v>
      </c>
      <c r="B195" s="26" t="s">
        <v>834</v>
      </c>
      <c r="C195" s="26" t="s">
        <v>835</v>
      </c>
      <c r="D195" s="26" t="s">
        <v>635</v>
      </c>
      <c r="E195" s="28" t="s">
        <v>836</v>
      </c>
      <c r="F195" s="30" t="s">
        <v>837</v>
      </c>
      <c r="G195" s="13"/>
      <c r="H195" s="10"/>
      <c r="I195" s="29"/>
      <c r="J195" s="7"/>
      <c r="K195" s="7"/>
      <c r="L195" s="7"/>
      <c r="M195" s="7"/>
      <c r="N195" s="7">
        <f t="shared" si="2"/>
        <v>1</v>
      </c>
      <c r="O195" s="7"/>
    </row>
    <row r="196">
      <c r="A196" s="26" t="s">
        <v>838</v>
      </c>
      <c r="B196" s="26" t="s">
        <v>839</v>
      </c>
      <c r="C196" s="26" t="s">
        <v>589</v>
      </c>
      <c r="D196" s="27"/>
      <c r="E196" s="32" t="s">
        <v>840</v>
      </c>
      <c r="F196" s="30" t="s">
        <v>841</v>
      </c>
      <c r="G196" s="13"/>
      <c r="H196" s="10"/>
      <c r="I196" s="29"/>
      <c r="J196" s="7"/>
      <c r="K196" s="7"/>
      <c r="L196" s="7"/>
      <c r="M196" s="7"/>
      <c r="N196" s="7">
        <f t="shared" si="2"/>
        <v>1</v>
      </c>
      <c r="O196" s="7"/>
    </row>
    <row r="197">
      <c r="A197" s="26" t="s">
        <v>842</v>
      </c>
      <c r="B197" s="26" t="s">
        <v>843</v>
      </c>
      <c r="C197" s="26" t="s">
        <v>589</v>
      </c>
      <c r="D197" s="27"/>
      <c r="E197" s="28" t="s">
        <v>844</v>
      </c>
      <c r="F197" s="30" t="s">
        <v>845</v>
      </c>
      <c r="G197" s="13"/>
      <c r="H197" s="10"/>
      <c r="I197" s="29"/>
      <c r="J197" s="7"/>
      <c r="K197" s="7"/>
      <c r="L197" s="7"/>
      <c r="M197" s="7"/>
      <c r="N197" s="7">
        <f t="shared" si="2"/>
        <v>1</v>
      </c>
      <c r="O197" s="7"/>
    </row>
    <row r="198">
      <c r="A198" s="26" t="s">
        <v>846</v>
      </c>
      <c r="B198" s="31" t="s">
        <v>848</v>
      </c>
      <c r="C198" s="26" t="s">
        <v>584</v>
      </c>
      <c r="D198" s="27"/>
      <c r="E198" s="28" t="s">
        <v>849</v>
      </c>
      <c r="F198" s="30" t="s">
        <v>850</v>
      </c>
      <c r="G198" s="13"/>
      <c r="H198" s="10"/>
      <c r="I198" s="29"/>
      <c r="J198" s="7"/>
      <c r="K198" s="7"/>
      <c r="L198" s="7"/>
      <c r="M198" s="7"/>
      <c r="N198" s="7">
        <f t="shared" si="2"/>
        <v>1</v>
      </c>
      <c r="O198" s="7"/>
    </row>
    <row r="199">
      <c r="A199" s="26" t="s">
        <v>851</v>
      </c>
      <c r="B199" s="26" t="s">
        <v>852</v>
      </c>
      <c r="C199" s="26" t="s">
        <v>589</v>
      </c>
      <c r="D199" s="27"/>
      <c r="E199" s="28" t="s">
        <v>853</v>
      </c>
      <c r="F199" s="30" t="s">
        <v>854</v>
      </c>
      <c r="G199" s="13"/>
      <c r="H199" s="10"/>
      <c r="I199" s="29"/>
      <c r="J199" s="7"/>
      <c r="K199" s="7"/>
      <c r="L199" s="7"/>
      <c r="M199" s="7"/>
      <c r="N199" s="7">
        <f t="shared" si="2"/>
        <v>1</v>
      </c>
      <c r="O199" s="7"/>
    </row>
    <row r="200">
      <c r="A200" s="26" t="s">
        <v>855</v>
      </c>
      <c r="B200" s="26" t="s">
        <v>856</v>
      </c>
      <c r="C200" s="26" t="s">
        <v>584</v>
      </c>
      <c r="D200" s="27"/>
      <c r="E200" s="31" t="s">
        <v>857</v>
      </c>
      <c r="F200" s="30" t="s">
        <v>858</v>
      </c>
      <c r="G200" s="13"/>
      <c r="H200" s="10"/>
      <c r="I200" s="29"/>
      <c r="J200" s="7"/>
      <c r="K200" s="7"/>
      <c r="L200" s="7"/>
      <c r="M200" s="7"/>
      <c r="N200" s="7">
        <f t="shared" si="2"/>
        <v>1</v>
      </c>
      <c r="O200" s="7"/>
    </row>
    <row r="201">
      <c r="A201" s="26" t="s">
        <v>859</v>
      </c>
      <c r="B201" s="26" t="s">
        <v>860</v>
      </c>
      <c r="C201" s="26" t="s">
        <v>589</v>
      </c>
      <c r="D201" s="27"/>
      <c r="E201" s="28" t="s">
        <v>861</v>
      </c>
      <c r="F201" s="30" t="s">
        <v>862</v>
      </c>
      <c r="G201" s="13"/>
      <c r="H201" s="10"/>
      <c r="I201" s="29"/>
      <c r="J201" s="7"/>
      <c r="K201" s="7"/>
      <c r="L201" s="7"/>
      <c r="M201" s="7"/>
      <c r="N201" s="7">
        <f t="shared" si="2"/>
        <v>1</v>
      </c>
      <c r="O201" s="7"/>
    </row>
    <row r="202">
      <c r="A202" s="26" t="s">
        <v>863</v>
      </c>
      <c r="B202" s="26" t="s">
        <v>864</v>
      </c>
      <c r="C202" s="26" t="s">
        <v>589</v>
      </c>
      <c r="D202" s="28" t="s">
        <v>865</v>
      </c>
      <c r="E202" s="28" t="s">
        <v>866</v>
      </c>
      <c r="F202" s="30" t="s">
        <v>867</v>
      </c>
      <c r="G202" s="13"/>
      <c r="H202" s="10"/>
      <c r="I202" s="30" t="s">
        <v>82</v>
      </c>
      <c r="J202" s="7"/>
      <c r="K202" s="7"/>
      <c r="L202" s="7"/>
      <c r="M202" s="7"/>
      <c r="N202" s="7">
        <f t="shared" si="2"/>
        <v>1</v>
      </c>
      <c r="O202" s="7"/>
    </row>
    <row r="203">
      <c r="A203" s="26" t="s">
        <v>868</v>
      </c>
      <c r="B203" s="26" t="s">
        <v>869</v>
      </c>
      <c r="C203" s="26" t="s">
        <v>589</v>
      </c>
      <c r="D203" s="27"/>
      <c r="E203" s="28" t="s">
        <v>870</v>
      </c>
      <c r="F203" s="29"/>
      <c r="G203" s="13"/>
      <c r="H203" s="10"/>
      <c r="I203" s="29"/>
      <c r="J203" s="7"/>
      <c r="K203" s="7"/>
      <c r="L203" s="7"/>
      <c r="M203" s="7"/>
      <c r="N203" s="7">
        <f t="shared" si="2"/>
        <v>0</v>
      </c>
      <c r="O203" s="7"/>
    </row>
    <row r="204">
      <c r="A204" s="26" t="s">
        <v>871</v>
      </c>
      <c r="B204" s="26" t="s">
        <v>872</v>
      </c>
      <c r="C204" s="26" t="s">
        <v>589</v>
      </c>
      <c r="D204" s="27"/>
      <c r="E204" s="28" t="s">
        <v>874</v>
      </c>
      <c r="F204" s="30" t="s">
        <v>875</v>
      </c>
      <c r="G204" s="13"/>
      <c r="H204" s="10"/>
      <c r="I204" s="29"/>
      <c r="J204" s="7"/>
      <c r="K204" s="7"/>
      <c r="L204" s="7"/>
      <c r="M204" s="7"/>
      <c r="N204" s="7">
        <f t="shared" si="2"/>
        <v>1</v>
      </c>
      <c r="O204" s="7"/>
    </row>
    <row r="205">
      <c r="A205" s="26" t="s">
        <v>876</v>
      </c>
      <c r="B205" s="26" t="s">
        <v>877</v>
      </c>
      <c r="C205" s="26" t="s">
        <v>589</v>
      </c>
      <c r="D205" s="27"/>
      <c r="E205" s="28" t="s">
        <v>878</v>
      </c>
      <c r="F205" s="29"/>
      <c r="G205" s="13"/>
      <c r="H205" s="10"/>
      <c r="I205" s="29"/>
      <c r="J205" s="7"/>
      <c r="K205" s="7"/>
      <c r="L205" s="7"/>
      <c r="M205" s="7"/>
      <c r="N205" s="7">
        <f t="shared" si="2"/>
        <v>0</v>
      </c>
      <c r="O205" s="7"/>
    </row>
    <row r="206">
      <c r="A206" s="26" t="s">
        <v>880</v>
      </c>
      <c r="B206" s="26" t="s">
        <v>881</v>
      </c>
      <c r="C206" s="26" t="s">
        <v>589</v>
      </c>
      <c r="D206" s="26" t="s">
        <v>598</v>
      </c>
      <c r="E206" s="28" t="s">
        <v>882</v>
      </c>
      <c r="F206" s="30" t="s">
        <v>884</v>
      </c>
      <c r="G206" s="13"/>
      <c r="H206" s="10"/>
      <c r="I206" s="30"/>
      <c r="J206" s="7"/>
      <c r="K206" s="7"/>
      <c r="L206" s="7"/>
      <c r="M206" s="7"/>
      <c r="N206" s="7">
        <f t="shared" si="2"/>
        <v>1</v>
      </c>
      <c r="O206" s="7"/>
    </row>
    <row r="207">
      <c r="A207" s="26" t="s">
        <v>880</v>
      </c>
      <c r="B207" s="26" t="s">
        <v>885</v>
      </c>
      <c r="C207" s="26" t="s">
        <v>589</v>
      </c>
      <c r="D207" s="27"/>
      <c r="E207" s="28" t="s">
        <v>886</v>
      </c>
      <c r="F207" s="29"/>
      <c r="G207" s="13"/>
      <c r="H207" s="10"/>
      <c r="I207" s="30" t="s">
        <v>254</v>
      </c>
      <c r="J207" s="7"/>
      <c r="K207" s="7"/>
      <c r="L207" s="7"/>
      <c r="M207" s="7"/>
      <c r="N207" s="7">
        <f t="shared" si="2"/>
        <v>0</v>
      </c>
      <c r="O207" s="7"/>
    </row>
    <row r="208">
      <c r="A208" s="26" t="s">
        <v>887</v>
      </c>
      <c r="B208" s="26" t="s">
        <v>888</v>
      </c>
      <c r="C208" s="26" t="s">
        <v>648</v>
      </c>
      <c r="D208" s="27"/>
      <c r="E208" s="28" t="s">
        <v>889</v>
      </c>
      <c r="F208" s="29"/>
      <c r="G208" s="13"/>
      <c r="H208" s="10"/>
      <c r="I208" s="29"/>
      <c r="J208" s="7"/>
      <c r="K208" s="7"/>
      <c r="L208" s="7"/>
      <c r="M208" s="7"/>
      <c r="N208" s="7">
        <f t="shared" si="2"/>
        <v>0</v>
      </c>
      <c r="O208" s="7"/>
    </row>
    <row r="209">
      <c r="A209" s="26" t="s">
        <v>891</v>
      </c>
      <c r="B209" s="26" t="s">
        <v>892</v>
      </c>
      <c r="C209" s="26" t="s">
        <v>589</v>
      </c>
      <c r="D209" s="27"/>
      <c r="E209" s="28" t="s">
        <v>893</v>
      </c>
      <c r="F209" s="30"/>
      <c r="G209" s="13"/>
      <c r="H209" s="10"/>
      <c r="I209" s="29"/>
      <c r="J209" s="7"/>
      <c r="K209" s="7"/>
      <c r="L209" s="7"/>
      <c r="M209" s="7"/>
      <c r="N209" s="7">
        <f t="shared" si="2"/>
        <v>0</v>
      </c>
      <c r="O209" s="7"/>
    </row>
    <row r="210">
      <c r="A210" s="31" t="s">
        <v>894</v>
      </c>
      <c r="B210" s="31" t="s">
        <v>895</v>
      </c>
      <c r="C210" s="26" t="s">
        <v>835</v>
      </c>
      <c r="D210" s="27"/>
      <c r="E210" s="32" t="s">
        <v>896</v>
      </c>
      <c r="F210" s="30" t="s">
        <v>897</v>
      </c>
      <c r="G210" s="13"/>
      <c r="H210" s="10"/>
      <c r="I210" s="29"/>
      <c r="J210" s="7"/>
      <c r="K210" s="7"/>
      <c r="L210" s="7"/>
      <c r="M210" s="7"/>
      <c r="N210" s="7">
        <f t="shared" si="2"/>
        <v>1</v>
      </c>
      <c r="O210" s="7"/>
    </row>
    <row r="211">
      <c r="A211" s="26" t="s">
        <v>898</v>
      </c>
      <c r="B211" s="26" t="s">
        <v>899</v>
      </c>
      <c r="C211" s="26" t="s">
        <v>589</v>
      </c>
      <c r="D211" s="26" t="s">
        <v>598</v>
      </c>
      <c r="E211" s="28" t="s">
        <v>900</v>
      </c>
      <c r="F211" s="30" t="s">
        <v>154</v>
      </c>
      <c r="G211" s="13"/>
      <c r="H211" s="10"/>
      <c r="I211" s="29"/>
      <c r="J211" s="7"/>
      <c r="K211" s="7"/>
      <c r="L211" s="7"/>
      <c r="M211" s="7"/>
      <c r="N211" s="7">
        <f t="shared" si="2"/>
        <v>1</v>
      </c>
      <c r="O211" s="7"/>
    </row>
    <row r="212">
      <c r="A212" s="26" t="s">
        <v>901</v>
      </c>
      <c r="B212" s="26" t="s">
        <v>902</v>
      </c>
      <c r="C212" s="26" t="s">
        <v>589</v>
      </c>
      <c r="D212" s="27"/>
      <c r="E212" s="28" t="s">
        <v>903</v>
      </c>
      <c r="F212" s="30" t="s">
        <v>904</v>
      </c>
      <c r="G212" s="13"/>
      <c r="H212" s="10"/>
      <c r="I212" s="29"/>
      <c r="J212" s="7"/>
      <c r="K212" s="7"/>
      <c r="L212" s="7"/>
      <c r="M212" s="7"/>
      <c r="N212" s="7">
        <f t="shared" si="2"/>
        <v>1</v>
      </c>
      <c r="O212" s="7"/>
    </row>
    <row r="213">
      <c r="A213" s="26" t="s">
        <v>905</v>
      </c>
      <c r="B213" s="26" t="s">
        <v>906</v>
      </c>
      <c r="C213" s="26" t="s">
        <v>589</v>
      </c>
      <c r="D213" s="26" t="s">
        <v>598</v>
      </c>
      <c r="E213" s="28" t="s">
        <v>907</v>
      </c>
      <c r="F213" s="30" t="s">
        <v>908</v>
      </c>
      <c r="G213" s="13"/>
      <c r="H213" s="10"/>
      <c r="I213" s="30" t="s">
        <v>344</v>
      </c>
      <c r="J213" s="7"/>
      <c r="K213" s="7"/>
      <c r="L213" s="7"/>
      <c r="M213" s="7"/>
      <c r="N213" s="7">
        <f t="shared" si="2"/>
        <v>1</v>
      </c>
      <c r="O213" s="7"/>
    </row>
    <row r="214">
      <c r="A214" s="26" t="s">
        <v>909</v>
      </c>
      <c r="B214" s="26" t="s">
        <v>910</v>
      </c>
      <c r="C214" s="26" t="s">
        <v>589</v>
      </c>
      <c r="D214" s="26" t="s">
        <v>598</v>
      </c>
      <c r="E214" s="28" t="s">
        <v>911</v>
      </c>
      <c r="F214" s="30" t="s">
        <v>912</v>
      </c>
      <c r="G214" s="13"/>
      <c r="H214" s="10"/>
      <c r="I214" s="29"/>
      <c r="J214" s="7"/>
      <c r="K214" s="7"/>
      <c r="L214" s="7"/>
      <c r="M214" s="7"/>
      <c r="N214" s="7">
        <f t="shared" si="2"/>
        <v>1</v>
      </c>
      <c r="O214" s="7"/>
    </row>
    <row r="215">
      <c r="A215" s="26" t="s">
        <v>913</v>
      </c>
      <c r="B215" s="26" t="s">
        <v>914</v>
      </c>
      <c r="C215" s="26" t="s">
        <v>589</v>
      </c>
      <c r="D215" s="27"/>
      <c r="E215" s="28" t="s">
        <v>915</v>
      </c>
      <c r="F215" s="29"/>
      <c r="G215" s="13"/>
      <c r="H215" s="10"/>
      <c r="I215" s="29"/>
      <c r="J215" s="7"/>
      <c r="K215" s="7"/>
      <c r="L215" s="7"/>
      <c r="M215" s="7"/>
      <c r="N215" s="7">
        <f t="shared" si="2"/>
        <v>0</v>
      </c>
      <c r="O215" s="7"/>
    </row>
    <row r="216" ht="18.0" customHeight="1">
      <c r="A216" s="26" t="s">
        <v>916</v>
      </c>
      <c r="B216" s="26" t="s">
        <v>917</v>
      </c>
      <c r="C216" s="26" t="s">
        <v>589</v>
      </c>
      <c r="D216" s="28" t="s">
        <v>918</v>
      </c>
      <c r="E216" s="27"/>
      <c r="F216" s="29"/>
      <c r="G216" s="13"/>
      <c r="H216" s="10"/>
      <c r="I216" s="29"/>
      <c r="J216" s="7"/>
      <c r="K216" s="7"/>
      <c r="L216" s="7"/>
      <c r="M216" s="7"/>
      <c r="N216" s="7">
        <f t="shared" si="2"/>
        <v>0</v>
      </c>
      <c r="O216" s="7"/>
    </row>
    <row r="217">
      <c r="A217" s="26" t="s">
        <v>916</v>
      </c>
      <c r="B217" s="26" t="s">
        <v>917</v>
      </c>
      <c r="C217" s="26" t="s">
        <v>919</v>
      </c>
      <c r="D217" s="31" t="s">
        <v>920</v>
      </c>
      <c r="E217" s="28" t="s">
        <v>921</v>
      </c>
      <c r="F217" s="30" t="s">
        <v>923</v>
      </c>
      <c r="G217" s="13"/>
      <c r="H217" s="10"/>
      <c r="I217" s="29"/>
      <c r="J217" s="7"/>
      <c r="K217" s="7"/>
      <c r="L217" s="7"/>
      <c r="M217" s="7"/>
      <c r="N217" s="7">
        <f t="shared" si="2"/>
        <v>1</v>
      </c>
      <c r="O217" s="7"/>
    </row>
    <row r="218">
      <c r="A218" s="26" t="s">
        <v>925</v>
      </c>
      <c r="B218" s="26" t="s">
        <v>926</v>
      </c>
      <c r="C218" s="26" t="s">
        <v>589</v>
      </c>
      <c r="D218" s="27"/>
      <c r="E218" s="28" t="s">
        <v>927</v>
      </c>
      <c r="F218" s="30" t="s">
        <v>928</v>
      </c>
      <c r="G218" s="13"/>
      <c r="H218" s="10"/>
      <c r="I218" s="29"/>
      <c r="J218" s="7"/>
      <c r="K218" s="7"/>
      <c r="L218" s="7"/>
      <c r="M218" s="7"/>
      <c r="N218" s="7">
        <f t="shared" si="2"/>
        <v>1</v>
      </c>
      <c r="O218" s="7"/>
    </row>
    <row r="219">
      <c r="A219" s="26" t="s">
        <v>929</v>
      </c>
      <c r="B219" s="26" t="s">
        <v>930</v>
      </c>
      <c r="C219" s="26" t="s">
        <v>931</v>
      </c>
      <c r="D219" s="27"/>
      <c r="E219" s="28" t="s">
        <v>932</v>
      </c>
      <c r="F219" s="29"/>
      <c r="G219" s="13"/>
      <c r="H219" s="10"/>
      <c r="I219" s="29"/>
      <c r="J219" s="7"/>
      <c r="K219" s="7"/>
      <c r="L219" s="7"/>
      <c r="M219" s="7"/>
      <c r="N219" s="7">
        <f t="shared" si="2"/>
        <v>0</v>
      </c>
      <c r="O219" s="7"/>
    </row>
    <row r="220">
      <c r="A220" s="26" t="s">
        <v>929</v>
      </c>
      <c r="B220" s="26" t="s">
        <v>934</v>
      </c>
      <c r="C220" s="26" t="s">
        <v>935</v>
      </c>
      <c r="D220" s="27"/>
      <c r="E220" s="28" t="s">
        <v>936</v>
      </c>
      <c r="F220" s="29"/>
      <c r="G220" s="13"/>
      <c r="H220" s="10"/>
      <c r="I220" s="29"/>
      <c r="J220" s="7"/>
      <c r="K220" s="7"/>
      <c r="L220" s="7"/>
      <c r="M220" s="7"/>
      <c r="N220" s="7">
        <f t="shared" si="2"/>
        <v>0</v>
      </c>
      <c r="O220" s="7"/>
    </row>
    <row r="221">
      <c r="A221" s="26" t="s">
        <v>937</v>
      </c>
      <c r="B221" s="31" t="s">
        <v>938</v>
      </c>
      <c r="C221" s="26" t="s">
        <v>589</v>
      </c>
      <c r="D221" s="27"/>
      <c r="E221" s="28" t="s">
        <v>939</v>
      </c>
      <c r="F221" s="30" t="s">
        <v>940</v>
      </c>
      <c r="G221" s="13"/>
      <c r="H221" s="10"/>
      <c r="I221" s="30" t="s">
        <v>127</v>
      </c>
      <c r="J221" s="7"/>
      <c r="K221" s="7"/>
      <c r="L221" s="7"/>
      <c r="M221" s="7"/>
      <c r="N221" s="7">
        <f t="shared" si="2"/>
        <v>1</v>
      </c>
      <c r="O221" s="7"/>
    </row>
    <row r="222">
      <c r="A222" s="26" t="s">
        <v>941</v>
      </c>
      <c r="B222" s="26" t="s">
        <v>942</v>
      </c>
      <c r="C222" s="26" t="s">
        <v>589</v>
      </c>
      <c r="D222" s="27"/>
      <c r="E222" s="28" t="s">
        <v>943</v>
      </c>
      <c r="F222" s="29"/>
      <c r="G222" s="13"/>
      <c r="H222" s="10"/>
      <c r="I222" s="29"/>
      <c r="J222" s="7"/>
      <c r="K222" s="7"/>
      <c r="L222" s="7"/>
      <c r="M222" s="7"/>
      <c r="N222" s="7">
        <f t="shared" si="2"/>
        <v>0</v>
      </c>
      <c r="O222" s="7"/>
    </row>
    <row r="223">
      <c r="A223" s="26" t="s">
        <v>945</v>
      </c>
      <c r="B223" s="26" t="s">
        <v>946</v>
      </c>
      <c r="C223" s="26" t="s">
        <v>589</v>
      </c>
      <c r="D223" s="27"/>
      <c r="E223" s="28" t="s">
        <v>947</v>
      </c>
      <c r="F223" s="30" t="s">
        <v>948</v>
      </c>
      <c r="G223" s="13"/>
      <c r="H223" s="10"/>
      <c r="I223" s="30" t="s">
        <v>290</v>
      </c>
      <c r="J223" s="7"/>
      <c r="K223" s="7"/>
      <c r="L223" s="7"/>
      <c r="M223" s="7"/>
      <c r="N223" s="7">
        <f t="shared" si="2"/>
        <v>1</v>
      </c>
      <c r="O223" s="7"/>
    </row>
    <row r="224">
      <c r="A224" s="26" t="s">
        <v>949</v>
      </c>
      <c r="B224" s="26" t="s">
        <v>950</v>
      </c>
      <c r="C224" s="26" t="s">
        <v>589</v>
      </c>
      <c r="D224" s="27"/>
      <c r="E224" s="28" t="s">
        <v>951</v>
      </c>
      <c r="F224" s="30" t="s">
        <v>952</v>
      </c>
      <c r="G224" s="13"/>
      <c r="H224" s="10"/>
      <c r="I224" s="29"/>
      <c r="J224" s="7"/>
      <c r="K224" s="7"/>
      <c r="L224" s="7"/>
      <c r="M224" s="7"/>
      <c r="N224" s="7">
        <f t="shared" si="2"/>
        <v>1</v>
      </c>
      <c r="O224" s="7"/>
    </row>
    <row r="225">
      <c r="A225" s="26" t="s">
        <v>953</v>
      </c>
      <c r="B225" s="26" t="s">
        <v>954</v>
      </c>
      <c r="C225" s="26" t="s">
        <v>584</v>
      </c>
      <c r="D225" s="26" t="s">
        <v>955</v>
      </c>
      <c r="E225" s="34" t="s">
        <v>956</v>
      </c>
      <c r="F225" s="30" t="s">
        <v>957</v>
      </c>
      <c r="G225" s="13"/>
      <c r="H225" s="10"/>
      <c r="I225" s="29"/>
      <c r="J225" s="7"/>
      <c r="K225" s="7"/>
      <c r="L225" s="7"/>
      <c r="M225" s="7"/>
      <c r="N225" s="7">
        <f t="shared" si="2"/>
        <v>1</v>
      </c>
      <c r="O225" s="7"/>
    </row>
    <row r="226">
      <c r="A226" s="26" t="s">
        <v>958</v>
      </c>
      <c r="B226" s="26" t="s">
        <v>277</v>
      </c>
      <c r="C226" s="26" t="s">
        <v>589</v>
      </c>
      <c r="D226" s="27"/>
      <c r="E226" s="28" t="s">
        <v>959</v>
      </c>
      <c r="F226" s="30" t="s">
        <v>188</v>
      </c>
      <c r="G226" s="13"/>
      <c r="H226" s="10"/>
      <c r="I226" s="30" t="s">
        <v>280</v>
      </c>
      <c r="J226" s="7"/>
      <c r="K226" s="7"/>
      <c r="L226" s="7"/>
      <c r="M226" s="7"/>
      <c r="N226" s="7">
        <f t="shared" si="2"/>
        <v>1</v>
      </c>
      <c r="O226" s="7"/>
    </row>
    <row r="227">
      <c r="A227" s="26" t="s">
        <v>960</v>
      </c>
      <c r="B227" s="26" t="s">
        <v>961</v>
      </c>
      <c r="C227" s="26" t="s">
        <v>589</v>
      </c>
      <c r="D227" s="27"/>
      <c r="E227" s="28" t="s">
        <v>962</v>
      </c>
      <c r="F227" s="30" t="s">
        <v>963</v>
      </c>
      <c r="G227" s="13"/>
      <c r="H227" s="10"/>
      <c r="I227" s="30" t="s">
        <v>20</v>
      </c>
      <c r="J227" s="7"/>
      <c r="K227" s="7"/>
      <c r="L227" s="7"/>
      <c r="M227" s="7"/>
      <c r="N227" s="7">
        <f t="shared" si="2"/>
        <v>1</v>
      </c>
      <c r="O227" s="7"/>
    </row>
    <row r="228">
      <c r="A228" s="26" t="s">
        <v>964</v>
      </c>
      <c r="B228" s="26" t="s">
        <v>965</v>
      </c>
      <c r="C228" s="26" t="s">
        <v>589</v>
      </c>
      <c r="D228" s="26" t="s">
        <v>635</v>
      </c>
      <c r="E228" s="28" t="s">
        <v>966</v>
      </c>
      <c r="F228" s="30"/>
      <c r="G228" s="13"/>
      <c r="H228" s="10"/>
      <c r="I228" s="29"/>
      <c r="J228" s="7"/>
      <c r="K228" s="7"/>
      <c r="L228" s="7"/>
      <c r="M228" s="7"/>
      <c r="N228" s="7">
        <f t="shared" si="2"/>
        <v>0</v>
      </c>
      <c r="O228" s="7"/>
    </row>
    <row r="229">
      <c r="A229" s="26" t="s">
        <v>968</v>
      </c>
      <c r="B229" s="31" t="s">
        <v>969</v>
      </c>
      <c r="C229" s="26" t="s">
        <v>589</v>
      </c>
      <c r="D229" s="27"/>
      <c r="E229" s="34" t="s">
        <v>970</v>
      </c>
      <c r="F229" s="30" t="s">
        <v>971</v>
      </c>
      <c r="G229" s="13"/>
      <c r="H229" s="10"/>
      <c r="I229" s="30" t="s">
        <v>247</v>
      </c>
      <c r="J229" s="7"/>
      <c r="K229" s="7"/>
      <c r="L229" s="7"/>
      <c r="M229" s="7"/>
      <c r="N229" s="7">
        <f t="shared" si="2"/>
        <v>1</v>
      </c>
      <c r="O229" s="7"/>
    </row>
    <row r="230">
      <c r="A230" s="26" t="s">
        <v>972</v>
      </c>
      <c r="B230" s="26" t="s">
        <v>973</v>
      </c>
      <c r="C230" s="26" t="s">
        <v>974</v>
      </c>
      <c r="D230" s="27"/>
      <c r="E230" s="28" t="s">
        <v>976</v>
      </c>
      <c r="F230" s="30" t="s">
        <v>977</v>
      </c>
      <c r="G230" s="13"/>
      <c r="H230" s="10"/>
      <c r="I230" s="29"/>
      <c r="J230" s="7"/>
      <c r="K230" s="7"/>
      <c r="L230" s="7"/>
      <c r="M230" s="7"/>
      <c r="N230" s="7">
        <f t="shared" si="2"/>
        <v>1</v>
      </c>
      <c r="O230" s="7"/>
    </row>
    <row r="231">
      <c r="A231" s="26" t="s">
        <v>978</v>
      </c>
      <c r="B231" s="26" t="s">
        <v>979</v>
      </c>
      <c r="C231" s="26" t="s">
        <v>589</v>
      </c>
      <c r="D231" s="26" t="s">
        <v>598</v>
      </c>
      <c r="E231" s="28" t="s">
        <v>980</v>
      </c>
      <c r="F231" s="29"/>
      <c r="G231" s="13"/>
      <c r="H231" s="10"/>
      <c r="I231" s="29"/>
      <c r="J231" s="7"/>
      <c r="K231" s="7"/>
      <c r="L231" s="7"/>
      <c r="M231" s="7"/>
      <c r="N231" s="7">
        <f t="shared" si="2"/>
        <v>0</v>
      </c>
      <c r="O231" s="7"/>
    </row>
    <row r="232">
      <c r="A232" s="26" t="s">
        <v>981</v>
      </c>
      <c r="B232" s="26" t="s">
        <v>982</v>
      </c>
      <c r="C232" s="26" t="s">
        <v>589</v>
      </c>
      <c r="D232" s="26" t="s">
        <v>598</v>
      </c>
      <c r="E232" s="28" t="s">
        <v>983</v>
      </c>
      <c r="F232" s="30" t="s">
        <v>984</v>
      </c>
      <c r="G232" s="13"/>
      <c r="H232" s="10"/>
      <c r="I232" s="29"/>
      <c r="J232" s="7"/>
      <c r="K232" s="7"/>
      <c r="L232" s="7"/>
      <c r="M232" s="7"/>
      <c r="N232" s="7">
        <f t="shared" si="2"/>
        <v>1</v>
      </c>
      <c r="O232" s="7"/>
    </row>
    <row r="233">
      <c r="A233" s="26" t="s">
        <v>985</v>
      </c>
      <c r="B233" s="26" t="s">
        <v>986</v>
      </c>
      <c r="C233" s="26" t="s">
        <v>589</v>
      </c>
      <c r="D233" s="26" t="s">
        <v>598</v>
      </c>
      <c r="E233" s="28" t="s">
        <v>987</v>
      </c>
      <c r="F233" s="29"/>
      <c r="G233" s="13"/>
      <c r="H233" s="10"/>
      <c r="I233" s="29"/>
      <c r="J233" s="7"/>
      <c r="K233" s="7"/>
      <c r="L233" s="7"/>
      <c r="M233" s="7"/>
      <c r="N233" s="7">
        <f t="shared" si="2"/>
        <v>0</v>
      </c>
      <c r="O233" s="7"/>
    </row>
    <row r="234">
      <c r="A234" s="26" t="s">
        <v>988</v>
      </c>
      <c r="B234" s="26" t="s">
        <v>989</v>
      </c>
      <c r="C234" s="26" t="s">
        <v>589</v>
      </c>
      <c r="D234" s="26" t="s">
        <v>598</v>
      </c>
      <c r="E234" s="28" t="s">
        <v>990</v>
      </c>
      <c r="F234" s="30" t="s">
        <v>991</v>
      </c>
      <c r="G234" s="13"/>
      <c r="H234" s="10"/>
      <c r="I234" s="30" t="s">
        <v>344</v>
      </c>
      <c r="J234" s="7"/>
      <c r="K234" s="7"/>
      <c r="L234" s="7"/>
      <c r="M234" s="7"/>
      <c r="N234" s="7">
        <f t="shared" si="2"/>
        <v>1</v>
      </c>
      <c r="O234" s="7"/>
    </row>
    <row r="235">
      <c r="A235" s="26" t="s">
        <v>992</v>
      </c>
      <c r="B235" s="26" t="s">
        <v>993</v>
      </c>
      <c r="C235" s="26" t="s">
        <v>589</v>
      </c>
      <c r="D235" s="27"/>
      <c r="E235" s="28" t="s">
        <v>994</v>
      </c>
      <c r="F235" s="29"/>
      <c r="G235" s="13"/>
      <c r="H235" s="10"/>
      <c r="I235" s="29"/>
      <c r="J235" s="7"/>
      <c r="K235" s="7"/>
      <c r="L235" s="7"/>
      <c r="M235" s="7"/>
      <c r="N235" s="7">
        <f t="shared" si="2"/>
        <v>0</v>
      </c>
      <c r="O235" s="7"/>
    </row>
    <row r="236">
      <c r="A236" s="26" t="s">
        <v>995</v>
      </c>
      <c r="B236" s="26" t="s">
        <v>996</v>
      </c>
      <c r="C236" s="26" t="s">
        <v>589</v>
      </c>
      <c r="D236" s="26" t="s">
        <v>997</v>
      </c>
      <c r="E236" s="28" t="s">
        <v>998</v>
      </c>
      <c r="F236" s="30"/>
      <c r="G236" s="13"/>
      <c r="H236" s="10"/>
      <c r="I236" s="30"/>
      <c r="J236" s="7"/>
      <c r="K236" s="7"/>
      <c r="L236" s="7"/>
      <c r="M236" s="7"/>
      <c r="N236" s="7">
        <f t="shared" si="2"/>
        <v>0</v>
      </c>
      <c r="O236" s="7"/>
    </row>
    <row r="237">
      <c r="A237" s="26" t="s">
        <v>999</v>
      </c>
      <c r="B237" s="26" t="s">
        <v>1000</v>
      </c>
      <c r="C237" s="26" t="s">
        <v>589</v>
      </c>
      <c r="D237" s="26" t="s">
        <v>598</v>
      </c>
      <c r="E237" s="28" t="s">
        <v>1001</v>
      </c>
      <c r="F237" s="30" t="s">
        <v>1002</v>
      </c>
      <c r="G237" s="13"/>
      <c r="H237" s="10"/>
      <c r="I237" s="29"/>
      <c r="J237" s="7"/>
      <c r="K237" s="7"/>
      <c r="L237" s="7"/>
      <c r="M237" s="7"/>
      <c r="N237" s="7">
        <f t="shared" si="2"/>
        <v>1</v>
      </c>
      <c r="O237" s="7"/>
    </row>
    <row r="238">
      <c r="A238" s="26" t="s">
        <v>1003</v>
      </c>
      <c r="B238" s="31" t="s">
        <v>1004</v>
      </c>
      <c r="C238" s="26" t="s">
        <v>589</v>
      </c>
      <c r="D238" s="27"/>
      <c r="E238" s="28" t="s">
        <v>1005</v>
      </c>
      <c r="F238" s="30" t="s">
        <v>1007</v>
      </c>
      <c r="G238" s="13"/>
      <c r="H238" s="10"/>
      <c r="I238" s="29"/>
      <c r="J238" s="7"/>
      <c r="K238" s="7"/>
      <c r="L238" s="7"/>
      <c r="M238" s="7"/>
      <c r="N238" s="7">
        <f t="shared" si="2"/>
        <v>1</v>
      </c>
      <c r="O238" s="7"/>
    </row>
    <row r="239">
      <c r="A239" s="26" t="s">
        <v>1008</v>
      </c>
      <c r="B239" s="31" t="s">
        <v>1009</v>
      </c>
      <c r="C239" s="26" t="s">
        <v>589</v>
      </c>
      <c r="D239" s="27"/>
      <c r="E239" s="28" t="s">
        <v>1010</v>
      </c>
      <c r="F239" s="30" t="s">
        <v>1011</v>
      </c>
      <c r="G239" s="13"/>
      <c r="H239" s="10"/>
      <c r="I239" s="29"/>
      <c r="J239" s="7"/>
      <c r="K239" s="7"/>
      <c r="L239" s="7"/>
      <c r="M239" s="7"/>
      <c r="N239" s="7">
        <f t="shared" si="2"/>
        <v>1</v>
      </c>
      <c r="O239" s="7"/>
    </row>
    <row r="240">
      <c r="A240" s="26" t="s">
        <v>1013</v>
      </c>
      <c r="B240" s="26" t="s">
        <v>1014</v>
      </c>
      <c r="C240" s="26" t="s">
        <v>589</v>
      </c>
      <c r="D240" s="26" t="s">
        <v>598</v>
      </c>
      <c r="E240" s="28" t="s">
        <v>1015</v>
      </c>
      <c r="F240" s="29"/>
      <c r="G240" s="13"/>
      <c r="H240" s="10"/>
      <c r="I240" s="29"/>
      <c r="J240" s="7"/>
      <c r="K240" s="7"/>
      <c r="L240" s="7"/>
      <c r="M240" s="7"/>
      <c r="N240" s="7">
        <f t="shared" si="2"/>
        <v>0</v>
      </c>
      <c r="O240" s="7"/>
    </row>
    <row r="241">
      <c r="A241" s="26" t="s">
        <v>1016</v>
      </c>
      <c r="B241" s="26" t="s">
        <v>1017</v>
      </c>
      <c r="C241" s="26" t="s">
        <v>589</v>
      </c>
      <c r="D241" s="27"/>
      <c r="E241" s="28" t="s">
        <v>1018</v>
      </c>
      <c r="F241" s="30" t="s">
        <v>154</v>
      </c>
      <c r="G241" s="13"/>
      <c r="H241" s="10"/>
      <c r="I241" s="29"/>
      <c r="J241" s="7"/>
      <c r="K241" s="7"/>
      <c r="L241" s="7"/>
      <c r="M241" s="7"/>
      <c r="N241" s="7">
        <f t="shared" si="2"/>
        <v>1</v>
      </c>
      <c r="O241" s="7"/>
    </row>
    <row r="242">
      <c r="A242" s="26" t="s">
        <v>1019</v>
      </c>
      <c r="B242" s="31" t="s">
        <v>1020</v>
      </c>
      <c r="C242" s="26" t="s">
        <v>589</v>
      </c>
      <c r="D242" s="27"/>
      <c r="E242" s="26" t="s">
        <v>1021</v>
      </c>
      <c r="F242" s="30" t="s">
        <v>1022</v>
      </c>
      <c r="G242" s="13"/>
      <c r="H242" s="10"/>
      <c r="I242" s="30" t="s">
        <v>427</v>
      </c>
      <c r="J242" s="7"/>
      <c r="K242" s="7"/>
      <c r="L242" s="7"/>
      <c r="M242" s="7"/>
      <c r="N242" s="7">
        <f t="shared" si="2"/>
        <v>1</v>
      </c>
      <c r="O242" s="7"/>
    </row>
    <row r="243">
      <c r="A243" s="31" t="s">
        <v>1023</v>
      </c>
      <c r="B243" s="26" t="s">
        <v>1024</v>
      </c>
      <c r="C243" s="26" t="s">
        <v>589</v>
      </c>
      <c r="D243" s="26" t="s">
        <v>598</v>
      </c>
      <c r="E243" s="27"/>
      <c r="F243" s="29"/>
      <c r="G243" s="13"/>
      <c r="H243" s="10"/>
      <c r="I243" s="29"/>
      <c r="J243" s="7"/>
      <c r="K243" s="7"/>
      <c r="L243" s="7"/>
      <c r="M243" s="7"/>
      <c r="N243" s="7">
        <f t="shared" si="2"/>
        <v>0</v>
      </c>
      <c r="O243" s="7"/>
    </row>
    <row r="244">
      <c r="A244" s="31" t="s">
        <v>1023</v>
      </c>
      <c r="B244" s="26" t="s">
        <v>1024</v>
      </c>
      <c r="C244" s="26" t="s">
        <v>1025</v>
      </c>
      <c r="D244" s="26" t="s">
        <v>1026</v>
      </c>
      <c r="E244" s="27"/>
      <c r="F244" s="30" t="s">
        <v>1027</v>
      </c>
      <c r="G244" s="13"/>
      <c r="H244" s="10"/>
      <c r="I244" s="29"/>
      <c r="J244" s="7"/>
      <c r="K244" s="7"/>
      <c r="L244" s="7"/>
      <c r="M244" s="7"/>
      <c r="N244" s="7">
        <f t="shared" si="2"/>
        <v>1</v>
      </c>
      <c r="O244" s="7"/>
    </row>
    <row r="245">
      <c r="A245" s="26" t="s">
        <v>1028</v>
      </c>
      <c r="B245" s="26" t="s">
        <v>1029</v>
      </c>
      <c r="C245" s="26" t="s">
        <v>584</v>
      </c>
      <c r="D245" s="27"/>
      <c r="E245" s="32" t="s">
        <v>1030</v>
      </c>
      <c r="F245" s="29"/>
      <c r="G245" s="13"/>
      <c r="H245" s="10"/>
      <c r="I245" s="29"/>
      <c r="J245" s="7"/>
      <c r="K245" s="7"/>
      <c r="L245" s="7"/>
      <c r="M245" s="7"/>
      <c r="N245" s="7">
        <f t="shared" si="2"/>
        <v>0</v>
      </c>
      <c r="O245" s="7"/>
    </row>
    <row r="246">
      <c r="A246" s="26" t="s">
        <v>1031</v>
      </c>
      <c r="B246" s="26" t="s">
        <v>1032</v>
      </c>
      <c r="C246" s="26" t="s">
        <v>589</v>
      </c>
      <c r="D246" s="26" t="s">
        <v>598</v>
      </c>
      <c r="E246" s="28" t="s">
        <v>1033</v>
      </c>
      <c r="F246" s="29"/>
      <c r="G246" s="13"/>
      <c r="H246" s="10"/>
      <c r="I246" s="29"/>
      <c r="J246" s="7"/>
      <c r="K246" s="7"/>
      <c r="L246" s="7"/>
      <c r="M246" s="7"/>
      <c r="N246" s="7">
        <f t="shared" si="2"/>
        <v>0</v>
      </c>
      <c r="O246" s="7"/>
    </row>
    <row r="247">
      <c r="A247" s="26" t="s">
        <v>1035</v>
      </c>
      <c r="B247" s="26" t="s">
        <v>1036</v>
      </c>
      <c r="C247" s="26" t="s">
        <v>589</v>
      </c>
      <c r="D247" s="26" t="s">
        <v>635</v>
      </c>
      <c r="E247" s="28" t="s">
        <v>1037</v>
      </c>
      <c r="F247" s="30" t="s">
        <v>1038</v>
      </c>
      <c r="G247" s="13"/>
      <c r="H247" s="10"/>
      <c r="I247" s="29"/>
      <c r="J247" s="7"/>
      <c r="K247" s="7"/>
      <c r="L247" s="7"/>
      <c r="M247" s="7"/>
      <c r="N247" s="7">
        <f t="shared" si="2"/>
        <v>1</v>
      </c>
      <c r="O247" s="7"/>
    </row>
    <row r="248">
      <c r="A248" s="26" t="s">
        <v>1039</v>
      </c>
      <c r="B248" s="26" t="s">
        <v>1040</v>
      </c>
      <c r="C248" s="26" t="s">
        <v>589</v>
      </c>
      <c r="D248" s="27"/>
      <c r="E248" s="28" t="s">
        <v>1041</v>
      </c>
      <c r="F248" s="30" t="s">
        <v>1042</v>
      </c>
      <c r="G248" s="13"/>
      <c r="H248" s="10"/>
      <c r="I248" s="29"/>
      <c r="J248" s="7"/>
      <c r="K248" s="7"/>
      <c r="L248" s="7"/>
      <c r="M248" s="7"/>
      <c r="N248" s="7">
        <f t="shared" si="2"/>
        <v>1</v>
      </c>
      <c r="O248" s="7"/>
    </row>
    <row r="249">
      <c r="A249" s="26" t="s">
        <v>1043</v>
      </c>
      <c r="B249" s="26" t="s">
        <v>1044</v>
      </c>
      <c r="C249" s="26" t="s">
        <v>589</v>
      </c>
      <c r="D249" s="27"/>
      <c r="E249" s="28" t="s">
        <v>1045</v>
      </c>
      <c r="F249" s="29"/>
      <c r="G249" s="13"/>
      <c r="H249" s="10"/>
      <c r="I249" s="29"/>
      <c r="J249" s="7"/>
      <c r="K249" s="7"/>
      <c r="L249" s="7"/>
      <c r="M249" s="7"/>
      <c r="N249" s="7">
        <f t="shared" si="2"/>
        <v>0</v>
      </c>
      <c r="O249" s="7"/>
    </row>
    <row r="250">
      <c r="A250" s="26" t="s">
        <v>1047</v>
      </c>
      <c r="B250" s="26" t="s">
        <v>1048</v>
      </c>
      <c r="C250" s="26" t="s">
        <v>589</v>
      </c>
      <c r="D250" s="26" t="s">
        <v>635</v>
      </c>
      <c r="E250" s="28" t="s">
        <v>1049</v>
      </c>
      <c r="F250" s="29"/>
      <c r="G250" s="13"/>
      <c r="H250" s="10"/>
      <c r="I250" s="29"/>
      <c r="J250" s="7"/>
      <c r="K250" s="7"/>
      <c r="L250" s="7"/>
      <c r="M250" s="7"/>
      <c r="N250" s="7">
        <f t="shared" si="2"/>
        <v>0</v>
      </c>
      <c r="O250" s="7"/>
    </row>
    <row r="251">
      <c r="A251" s="26" t="s">
        <v>1050</v>
      </c>
      <c r="B251" s="26" t="s">
        <v>1051</v>
      </c>
      <c r="C251" s="26" t="s">
        <v>589</v>
      </c>
      <c r="D251" s="27"/>
      <c r="E251" s="28" t="s">
        <v>1052</v>
      </c>
      <c r="F251" s="30" t="s">
        <v>1053</v>
      </c>
      <c r="G251" s="13"/>
      <c r="H251" s="10"/>
      <c r="I251" s="29"/>
      <c r="J251" s="7"/>
      <c r="K251" s="7"/>
      <c r="L251" s="7"/>
      <c r="M251" s="7"/>
      <c r="N251" s="7">
        <f t="shared" si="2"/>
        <v>1</v>
      </c>
      <c r="O251" s="7"/>
    </row>
    <row r="252">
      <c r="A252" s="26" t="s">
        <v>1054</v>
      </c>
      <c r="B252" s="26" t="s">
        <v>1055</v>
      </c>
      <c r="C252" s="26" t="s">
        <v>589</v>
      </c>
      <c r="D252" s="27"/>
      <c r="E252" s="28" t="s">
        <v>1056</v>
      </c>
      <c r="F252" s="29"/>
      <c r="G252" s="13"/>
      <c r="H252" s="10"/>
      <c r="I252" s="29"/>
      <c r="J252" s="7"/>
      <c r="K252" s="7"/>
      <c r="L252" s="7"/>
      <c r="M252" s="7"/>
      <c r="N252" s="7">
        <f t="shared" si="2"/>
        <v>0</v>
      </c>
      <c r="O252" s="7"/>
    </row>
    <row r="253">
      <c r="A253" s="26" t="s">
        <v>1057</v>
      </c>
      <c r="B253" s="26" t="s">
        <v>1058</v>
      </c>
      <c r="C253" s="26" t="s">
        <v>1059</v>
      </c>
      <c r="D253" s="26" t="s">
        <v>635</v>
      </c>
      <c r="E253" s="28" t="s">
        <v>1060</v>
      </c>
      <c r="F253" s="30" t="s">
        <v>1061</v>
      </c>
      <c r="G253" s="13"/>
      <c r="H253" s="10"/>
      <c r="I253" s="29"/>
      <c r="J253" s="7"/>
      <c r="K253" s="7"/>
      <c r="L253" s="7"/>
      <c r="M253" s="7"/>
      <c r="N253" s="7">
        <f t="shared" si="2"/>
        <v>1</v>
      </c>
      <c r="O253" s="7"/>
    </row>
    <row r="254">
      <c r="A254" s="26" t="s">
        <v>1062</v>
      </c>
      <c r="B254" s="26" t="s">
        <v>1063</v>
      </c>
      <c r="C254" s="26" t="s">
        <v>589</v>
      </c>
      <c r="D254" s="26" t="s">
        <v>598</v>
      </c>
      <c r="E254" s="28" t="s">
        <v>1064</v>
      </c>
      <c r="F254" s="29"/>
      <c r="G254" s="13"/>
      <c r="H254" s="10"/>
      <c r="I254" s="29"/>
      <c r="J254" s="7"/>
      <c r="K254" s="7"/>
      <c r="L254" s="7"/>
      <c r="M254" s="7"/>
      <c r="N254" s="7">
        <f t="shared" si="2"/>
        <v>0</v>
      </c>
      <c r="O254" s="7"/>
    </row>
    <row r="255">
      <c r="A255" s="26" t="s">
        <v>1065</v>
      </c>
      <c r="B255" s="26" t="s">
        <v>1066</v>
      </c>
      <c r="C255" s="26" t="s">
        <v>584</v>
      </c>
      <c r="D255" s="27"/>
      <c r="E255" s="32" t="s">
        <v>1067</v>
      </c>
      <c r="F255" s="30" t="s">
        <v>1068</v>
      </c>
      <c r="G255" s="13"/>
      <c r="H255" s="10"/>
      <c r="I255" s="29"/>
      <c r="J255" s="7"/>
      <c r="K255" s="7"/>
      <c r="L255" s="7"/>
      <c r="M255" s="7"/>
      <c r="N255" s="7">
        <f t="shared" si="2"/>
        <v>1</v>
      </c>
      <c r="O255" s="7"/>
    </row>
    <row r="256">
      <c r="A256" s="26" t="s">
        <v>1070</v>
      </c>
      <c r="B256" s="26" t="s">
        <v>1071</v>
      </c>
      <c r="C256" s="26" t="s">
        <v>589</v>
      </c>
      <c r="D256" s="26" t="s">
        <v>598</v>
      </c>
      <c r="E256" s="28" t="s">
        <v>1072</v>
      </c>
      <c r="F256" s="29"/>
      <c r="G256" s="13"/>
      <c r="H256" s="10"/>
      <c r="I256" s="29"/>
      <c r="J256" s="7"/>
      <c r="K256" s="7"/>
      <c r="L256" s="7"/>
      <c r="M256" s="7"/>
      <c r="N256" s="7">
        <f t="shared" si="2"/>
        <v>0</v>
      </c>
      <c r="O256" s="7"/>
    </row>
    <row r="257">
      <c r="A257" s="26" t="s">
        <v>1073</v>
      </c>
      <c r="B257" s="26" t="s">
        <v>1074</v>
      </c>
      <c r="C257" s="26" t="s">
        <v>835</v>
      </c>
      <c r="D257" s="27"/>
      <c r="E257" s="28" t="s">
        <v>1075</v>
      </c>
      <c r="F257" s="29"/>
      <c r="G257" s="13"/>
      <c r="H257" s="10"/>
      <c r="I257" s="29"/>
      <c r="J257" s="7"/>
      <c r="K257" s="7"/>
      <c r="L257" s="7"/>
      <c r="M257" s="7"/>
      <c r="N257" s="7">
        <f t="shared" si="2"/>
        <v>0</v>
      </c>
      <c r="O257" s="7"/>
    </row>
    <row r="258">
      <c r="A258" s="26" t="s">
        <v>1076</v>
      </c>
      <c r="B258" s="26" t="s">
        <v>1077</v>
      </c>
      <c r="C258" s="26" t="s">
        <v>589</v>
      </c>
      <c r="D258" s="26" t="s">
        <v>598</v>
      </c>
      <c r="E258" s="28" t="s">
        <v>1078</v>
      </c>
      <c r="F258" s="29"/>
      <c r="G258" s="13"/>
      <c r="H258" s="10"/>
      <c r="I258" s="29"/>
      <c r="J258" s="7"/>
      <c r="K258" s="7"/>
      <c r="L258" s="7"/>
      <c r="M258" s="7"/>
      <c r="N258" s="7">
        <f t="shared" si="2"/>
        <v>0</v>
      </c>
      <c r="O258" s="7"/>
    </row>
    <row r="259">
      <c r="A259" s="26" t="s">
        <v>1079</v>
      </c>
      <c r="B259" s="26" t="s">
        <v>1080</v>
      </c>
      <c r="C259" s="26" t="s">
        <v>584</v>
      </c>
      <c r="D259" s="27"/>
      <c r="E259" s="28" t="s">
        <v>1081</v>
      </c>
      <c r="F259" s="29"/>
      <c r="G259" s="13"/>
      <c r="H259" s="10"/>
      <c r="I259" s="29"/>
      <c r="J259" s="7"/>
      <c r="K259" s="7"/>
      <c r="L259" s="7"/>
      <c r="M259" s="7"/>
      <c r="N259" s="7">
        <f t="shared" si="2"/>
        <v>0</v>
      </c>
      <c r="O259" s="7"/>
    </row>
    <row r="260">
      <c r="A260" s="26" t="s">
        <v>1082</v>
      </c>
      <c r="B260" s="26" t="s">
        <v>1083</v>
      </c>
      <c r="C260" s="26" t="s">
        <v>589</v>
      </c>
      <c r="D260" s="27"/>
      <c r="E260" s="28" t="s">
        <v>1084</v>
      </c>
      <c r="F260" s="29"/>
      <c r="G260" s="13"/>
      <c r="H260" s="10"/>
      <c r="I260" s="29"/>
      <c r="J260" s="7"/>
      <c r="K260" s="7"/>
      <c r="L260" s="7"/>
      <c r="M260" s="7"/>
      <c r="N260" s="7">
        <f t="shared" si="2"/>
        <v>0</v>
      </c>
      <c r="O260" s="7"/>
    </row>
    <row r="261">
      <c r="A261" s="26" t="s">
        <v>1085</v>
      </c>
      <c r="B261" s="26" t="s">
        <v>1086</v>
      </c>
      <c r="C261" s="26" t="s">
        <v>589</v>
      </c>
      <c r="D261" s="26" t="s">
        <v>1087</v>
      </c>
      <c r="E261" s="28" t="s">
        <v>1088</v>
      </c>
      <c r="F261" s="30" t="s">
        <v>1089</v>
      </c>
      <c r="G261" s="13"/>
      <c r="H261" s="10"/>
      <c r="I261" s="29"/>
      <c r="J261" s="7"/>
      <c r="K261" s="7"/>
      <c r="L261" s="7"/>
      <c r="M261" s="7"/>
      <c r="N261" s="7">
        <f t="shared" si="2"/>
        <v>1</v>
      </c>
      <c r="O261" s="7"/>
    </row>
    <row r="262">
      <c r="A262" s="26" t="s">
        <v>1090</v>
      </c>
      <c r="B262" s="26" t="s">
        <v>1091</v>
      </c>
      <c r="C262" s="26" t="s">
        <v>589</v>
      </c>
      <c r="D262" s="26" t="s">
        <v>235</v>
      </c>
      <c r="E262" s="28" t="s">
        <v>1088</v>
      </c>
      <c r="F262" s="30" t="s">
        <v>1092</v>
      </c>
      <c r="G262" s="13"/>
      <c r="H262" s="10"/>
      <c r="I262" s="29"/>
      <c r="J262" s="7"/>
      <c r="K262" s="7"/>
      <c r="L262" s="7"/>
      <c r="M262" s="7"/>
      <c r="N262" s="7">
        <f t="shared" si="2"/>
        <v>1</v>
      </c>
      <c r="O262" s="7"/>
    </row>
    <row r="263">
      <c r="A263" s="26" t="s">
        <v>1093</v>
      </c>
      <c r="B263" s="26" t="s">
        <v>1094</v>
      </c>
      <c r="C263" s="26" t="s">
        <v>589</v>
      </c>
      <c r="D263" s="26" t="s">
        <v>235</v>
      </c>
      <c r="E263" s="28" t="s">
        <v>1088</v>
      </c>
      <c r="F263" s="30" t="s">
        <v>1095</v>
      </c>
      <c r="G263" s="13"/>
      <c r="H263" s="10"/>
      <c r="I263" s="29"/>
      <c r="J263" s="7"/>
      <c r="K263" s="7"/>
      <c r="L263" s="7"/>
      <c r="M263" s="7"/>
      <c r="N263" s="7">
        <f t="shared" si="2"/>
        <v>1</v>
      </c>
      <c r="O263" s="7"/>
    </row>
    <row r="264">
      <c r="A264" s="26" t="s">
        <v>1096</v>
      </c>
      <c r="B264" s="26" t="s">
        <v>1097</v>
      </c>
      <c r="C264" s="26" t="s">
        <v>589</v>
      </c>
      <c r="D264" s="27"/>
      <c r="E264" s="32" t="s">
        <v>1098</v>
      </c>
      <c r="F264" s="30" t="s">
        <v>1099</v>
      </c>
      <c r="G264" s="13"/>
      <c r="H264" s="10"/>
      <c r="I264" s="29"/>
      <c r="J264" s="7"/>
      <c r="K264" s="7"/>
      <c r="L264" s="7"/>
      <c r="M264" s="7"/>
      <c r="N264" s="7">
        <f t="shared" si="2"/>
        <v>1</v>
      </c>
      <c r="O264" s="7"/>
    </row>
    <row r="265">
      <c r="A265" s="26" t="s">
        <v>1100</v>
      </c>
      <c r="B265" s="26" t="s">
        <v>1101</v>
      </c>
      <c r="C265" s="26" t="s">
        <v>589</v>
      </c>
      <c r="D265" s="27"/>
      <c r="E265" s="28" t="s">
        <v>1102</v>
      </c>
      <c r="F265" s="30" t="s">
        <v>1103</v>
      </c>
      <c r="G265" s="13"/>
      <c r="H265" s="10"/>
      <c r="I265" s="29"/>
      <c r="J265" s="7"/>
      <c r="K265" s="7"/>
      <c r="L265" s="7"/>
      <c r="M265" s="7"/>
      <c r="N265" s="7">
        <f t="shared" si="2"/>
        <v>1</v>
      </c>
      <c r="O265" s="7"/>
    </row>
    <row r="266">
      <c r="A266" s="26" t="s">
        <v>1104</v>
      </c>
      <c r="B266" s="26" t="s">
        <v>1105</v>
      </c>
      <c r="C266" s="26" t="s">
        <v>589</v>
      </c>
      <c r="D266" s="27"/>
      <c r="E266" s="28" t="s">
        <v>1106</v>
      </c>
      <c r="F266" s="30" t="s">
        <v>1107</v>
      </c>
      <c r="G266" s="13"/>
      <c r="H266" s="10"/>
      <c r="I266" s="29"/>
      <c r="J266" s="7"/>
      <c r="K266" s="7"/>
      <c r="L266" s="7"/>
      <c r="M266" s="7"/>
      <c r="N266" s="7">
        <f t="shared" si="2"/>
        <v>1</v>
      </c>
      <c r="O266" s="7"/>
    </row>
    <row r="267">
      <c r="A267" s="26" t="s">
        <v>1108</v>
      </c>
      <c r="B267" s="26" t="s">
        <v>1109</v>
      </c>
      <c r="C267" s="26" t="s">
        <v>648</v>
      </c>
      <c r="D267" s="26" t="s">
        <v>1026</v>
      </c>
      <c r="E267" s="27"/>
      <c r="F267" s="30" t="s">
        <v>1110</v>
      </c>
      <c r="G267" s="13"/>
      <c r="H267" s="10"/>
      <c r="I267" s="29"/>
      <c r="J267" s="7"/>
      <c r="K267" s="7"/>
      <c r="L267" s="7"/>
      <c r="M267" s="7"/>
      <c r="N267" s="7">
        <f t="shared" si="2"/>
        <v>1</v>
      </c>
      <c r="O267" s="7"/>
    </row>
    <row r="268">
      <c r="A268" s="26" t="s">
        <v>1111</v>
      </c>
      <c r="B268" s="26" t="s">
        <v>1112</v>
      </c>
      <c r="C268" s="26" t="s">
        <v>589</v>
      </c>
      <c r="D268" s="27"/>
      <c r="E268" s="28" t="s">
        <v>1113</v>
      </c>
      <c r="F268" s="29"/>
      <c r="G268" s="13"/>
      <c r="H268" s="10"/>
      <c r="I268" s="29"/>
      <c r="J268" s="7"/>
      <c r="K268" s="7"/>
      <c r="L268" s="7"/>
      <c r="M268" s="7"/>
      <c r="N268" s="7">
        <f t="shared" si="2"/>
        <v>0</v>
      </c>
      <c r="O268" s="7"/>
    </row>
    <row r="269">
      <c r="A269" s="26" t="s">
        <v>1114</v>
      </c>
      <c r="B269" s="26" t="s">
        <v>1115</v>
      </c>
      <c r="C269" s="26" t="s">
        <v>589</v>
      </c>
      <c r="D269" s="27"/>
      <c r="E269" s="28" t="s">
        <v>1116</v>
      </c>
      <c r="F269" s="29"/>
      <c r="G269" s="13"/>
      <c r="H269" s="10"/>
      <c r="I269" s="29"/>
      <c r="J269" s="7"/>
      <c r="K269" s="7"/>
      <c r="L269" s="7"/>
      <c r="M269" s="7"/>
      <c r="N269" s="7">
        <f t="shared" si="2"/>
        <v>0</v>
      </c>
      <c r="O269" s="7"/>
    </row>
    <row r="270">
      <c r="A270" s="26" t="s">
        <v>1117</v>
      </c>
      <c r="B270" s="26" t="s">
        <v>1118</v>
      </c>
      <c r="C270" s="26" t="s">
        <v>589</v>
      </c>
      <c r="D270" s="26" t="s">
        <v>598</v>
      </c>
      <c r="E270" s="28" t="s">
        <v>1119</v>
      </c>
      <c r="F270" s="29"/>
      <c r="G270" s="13"/>
      <c r="H270" s="10"/>
      <c r="I270" s="29"/>
      <c r="J270" s="7"/>
      <c r="K270" s="7"/>
      <c r="L270" s="7"/>
      <c r="M270" s="7"/>
      <c r="N270" s="7">
        <f t="shared" si="2"/>
        <v>0</v>
      </c>
      <c r="O270" s="7"/>
    </row>
    <row r="271">
      <c r="A271" s="26" t="s">
        <v>1120</v>
      </c>
      <c r="B271" s="26" t="s">
        <v>1020</v>
      </c>
      <c r="C271" s="26" t="s">
        <v>589</v>
      </c>
      <c r="D271" s="27"/>
      <c r="E271" s="28" t="s">
        <v>1121</v>
      </c>
      <c r="F271" s="30" t="s">
        <v>1122</v>
      </c>
      <c r="G271" s="13"/>
      <c r="H271" s="10"/>
      <c r="I271" s="30" t="s">
        <v>351</v>
      </c>
      <c r="J271" s="7"/>
      <c r="K271" s="7"/>
      <c r="L271" s="7"/>
      <c r="M271" s="7"/>
      <c r="N271" s="7">
        <f t="shared" si="2"/>
        <v>1</v>
      </c>
      <c r="O271" s="7"/>
    </row>
    <row r="272">
      <c r="A272" s="26" t="s">
        <v>1123</v>
      </c>
      <c r="B272" s="26" t="s">
        <v>1124</v>
      </c>
      <c r="C272" s="26" t="s">
        <v>589</v>
      </c>
      <c r="D272" s="27"/>
      <c r="E272" s="28" t="s">
        <v>1125</v>
      </c>
      <c r="F272" s="30" t="s">
        <v>1126</v>
      </c>
      <c r="G272" s="13"/>
      <c r="H272" s="10"/>
      <c r="I272" s="30" t="s">
        <v>260</v>
      </c>
      <c r="J272" s="7"/>
      <c r="K272" s="7"/>
      <c r="L272" s="7"/>
      <c r="M272" s="7"/>
      <c r="N272" s="7">
        <f t="shared" si="2"/>
        <v>1</v>
      </c>
      <c r="O272" s="7"/>
    </row>
    <row r="273">
      <c r="A273" s="26" t="s">
        <v>1127</v>
      </c>
      <c r="B273" s="26" t="s">
        <v>1128</v>
      </c>
      <c r="C273" s="26" t="s">
        <v>589</v>
      </c>
      <c r="D273" s="27"/>
      <c r="E273" s="28" t="s">
        <v>1129</v>
      </c>
      <c r="F273" s="30" t="s">
        <v>1130</v>
      </c>
      <c r="G273" s="13"/>
      <c r="H273" s="10"/>
      <c r="I273" s="30" t="s">
        <v>324</v>
      </c>
      <c r="J273" s="7"/>
      <c r="K273" s="7"/>
      <c r="L273" s="7"/>
      <c r="M273" s="7"/>
      <c r="N273" s="7">
        <f t="shared" si="2"/>
        <v>1</v>
      </c>
      <c r="O273" s="7"/>
    </row>
    <row r="274">
      <c r="A274" s="26" t="s">
        <v>1131</v>
      </c>
      <c r="B274" s="31" t="s">
        <v>1132</v>
      </c>
      <c r="C274" s="26" t="s">
        <v>589</v>
      </c>
      <c r="D274" s="26" t="s">
        <v>598</v>
      </c>
      <c r="E274" s="28" t="s">
        <v>1133</v>
      </c>
      <c r="F274" s="29"/>
      <c r="G274" s="13"/>
      <c r="H274" s="10"/>
      <c r="I274" s="29"/>
      <c r="J274" s="7"/>
      <c r="K274" s="7"/>
      <c r="L274" s="7"/>
      <c r="M274" s="7"/>
      <c r="N274" s="7">
        <f t="shared" si="2"/>
        <v>0</v>
      </c>
      <c r="O274" s="7"/>
    </row>
    <row r="275">
      <c r="A275" s="26" t="s">
        <v>1134</v>
      </c>
      <c r="B275" s="31" t="s">
        <v>1135</v>
      </c>
      <c r="C275" s="26" t="s">
        <v>589</v>
      </c>
      <c r="D275" s="27"/>
      <c r="E275" s="28" t="s">
        <v>1136</v>
      </c>
      <c r="F275" s="29"/>
      <c r="G275" s="13"/>
      <c r="H275" s="10"/>
      <c r="I275" s="29"/>
      <c r="J275" s="7"/>
      <c r="K275" s="7"/>
      <c r="L275" s="7"/>
      <c r="M275" s="7"/>
      <c r="N275" s="7">
        <f t="shared" si="2"/>
        <v>0</v>
      </c>
      <c r="O275" s="7"/>
    </row>
    <row r="276">
      <c r="A276" s="31" t="s">
        <v>1138</v>
      </c>
      <c r="B276" s="26" t="s">
        <v>1139</v>
      </c>
      <c r="C276" s="26" t="s">
        <v>589</v>
      </c>
      <c r="D276" s="26" t="s">
        <v>598</v>
      </c>
      <c r="E276" s="27"/>
      <c r="F276" s="30" t="s">
        <v>1140</v>
      </c>
      <c r="G276" s="13"/>
      <c r="H276" s="10"/>
      <c r="I276" s="29"/>
      <c r="J276" s="7"/>
      <c r="K276" s="7"/>
      <c r="L276" s="7"/>
      <c r="M276" s="7"/>
      <c r="N276" s="7">
        <f t="shared" si="2"/>
        <v>1</v>
      </c>
      <c r="O276" s="7"/>
    </row>
    <row r="277">
      <c r="A277" s="26" t="s">
        <v>1141</v>
      </c>
      <c r="B277" s="26" t="s">
        <v>1142</v>
      </c>
      <c r="C277" s="26" t="s">
        <v>589</v>
      </c>
      <c r="D277" s="27"/>
      <c r="E277" s="28" t="s">
        <v>1143</v>
      </c>
      <c r="F277" s="30" t="s">
        <v>1144</v>
      </c>
      <c r="G277" s="13"/>
      <c r="H277" s="10"/>
      <c r="I277" s="29"/>
      <c r="J277" s="7"/>
      <c r="K277" s="7"/>
      <c r="L277" s="7"/>
      <c r="M277" s="7"/>
      <c r="N277" s="7">
        <f t="shared" si="2"/>
        <v>1</v>
      </c>
      <c r="O277" s="7"/>
    </row>
    <row r="278">
      <c r="A278" s="26" t="s">
        <v>1145</v>
      </c>
      <c r="B278" s="26" t="s">
        <v>1146</v>
      </c>
      <c r="C278" s="26" t="s">
        <v>584</v>
      </c>
      <c r="D278" s="27"/>
      <c r="E278" s="33" t="s">
        <v>1318</v>
      </c>
      <c r="F278" s="30" t="s">
        <v>1148</v>
      </c>
      <c r="G278" s="13"/>
      <c r="H278" s="10"/>
      <c r="I278" s="29"/>
      <c r="J278" s="7"/>
      <c r="K278" s="7"/>
      <c r="L278" s="7"/>
      <c r="M278" s="7"/>
      <c r="N278" s="7">
        <f t="shared" si="2"/>
        <v>1</v>
      </c>
      <c r="O278" s="7"/>
    </row>
    <row r="279">
      <c r="A279" s="26" t="s">
        <v>1149</v>
      </c>
      <c r="B279" s="26" t="s">
        <v>1150</v>
      </c>
      <c r="C279" s="26" t="s">
        <v>1151</v>
      </c>
      <c r="D279" s="27"/>
      <c r="E279" s="28" t="s">
        <v>1152</v>
      </c>
      <c r="F279" s="29"/>
      <c r="G279" s="13"/>
      <c r="H279" s="10"/>
      <c r="I279" s="29"/>
      <c r="J279" s="7"/>
      <c r="K279" s="7"/>
      <c r="L279" s="7"/>
      <c r="M279" s="7"/>
      <c r="N279" s="7">
        <f t="shared" si="2"/>
        <v>0</v>
      </c>
      <c r="O279" s="7"/>
    </row>
    <row r="280">
      <c r="A280" s="31" t="s">
        <v>1153</v>
      </c>
      <c r="B280" s="26" t="s">
        <v>1154</v>
      </c>
      <c r="C280" s="26" t="s">
        <v>589</v>
      </c>
      <c r="D280" s="27"/>
      <c r="E280" s="28" t="s">
        <v>1155</v>
      </c>
      <c r="F280" s="30" t="s">
        <v>1156</v>
      </c>
      <c r="G280" s="13"/>
      <c r="H280" s="10"/>
      <c r="I280" s="30" t="s">
        <v>39</v>
      </c>
      <c r="J280" s="7"/>
      <c r="K280" s="7"/>
      <c r="L280" s="7"/>
      <c r="M280" s="7"/>
      <c r="N280" s="7">
        <f t="shared" si="2"/>
        <v>1</v>
      </c>
      <c r="O280" s="7"/>
    </row>
    <row r="281">
      <c r="A281" s="26" t="s">
        <v>1157</v>
      </c>
      <c r="B281" s="26" t="s">
        <v>1158</v>
      </c>
      <c r="C281" s="26" t="s">
        <v>584</v>
      </c>
      <c r="D281" s="27"/>
      <c r="E281" s="28" t="s">
        <v>1159</v>
      </c>
      <c r="F281" s="29"/>
      <c r="G281" s="13"/>
      <c r="H281" s="10"/>
      <c r="I281" s="29"/>
      <c r="J281" s="7"/>
      <c r="K281" s="7"/>
      <c r="L281" s="7"/>
      <c r="M281" s="7"/>
      <c r="N281" s="7">
        <f t="shared" si="2"/>
        <v>0</v>
      </c>
      <c r="O281" s="7"/>
    </row>
    <row r="282">
      <c r="A282" s="26" t="s">
        <v>1160</v>
      </c>
      <c r="B282" s="26" t="s">
        <v>1161</v>
      </c>
      <c r="C282" s="26" t="s">
        <v>1162</v>
      </c>
      <c r="D282" s="27"/>
      <c r="E282" s="28" t="s">
        <v>1163</v>
      </c>
      <c r="F282" s="29"/>
      <c r="G282" s="13"/>
      <c r="H282" s="10"/>
      <c r="I282" s="29"/>
      <c r="J282" s="7"/>
      <c r="K282" s="7"/>
      <c r="L282" s="7"/>
      <c r="M282" s="7"/>
      <c r="N282" s="7">
        <f t="shared" si="2"/>
        <v>0</v>
      </c>
      <c r="O282" s="7"/>
    </row>
    <row r="283">
      <c r="A283" s="26" t="s">
        <v>1164</v>
      </c>
      <c r="B283" s="26" t="s">
        <v>1165</v>
      </c>
      <c r="C283" s="26" t="s">
        <v>589</v>
      </c>
      <c r="D283" s="27"/>
      <c r="E283" s="28" t="s">
        <v>1166</v>
      </c>
      <c r="F283" s="30" t="s">
        <v>1167</v>
      </c>
      <c r="G283" s="13"/>
      <c r="H283" s="10"/>
      <c r="I283" s="29"/>
      <c r="J283" s="7"/>
      <c r="K283" s="7"/>
      <c r="L283" s="7"/>
      <c r="M283" s="7"/>
      <c r="N283" s="7">
        <f t="shared" si="2"/>
        <v>1</v>
      </c>
      <c r="O283" s="7"/>
    </row>
    <row r="284">
      <c r="A284" s="26" t="s">
        <v>1168</v>
      </c>
      <c r="B284" s="26" t="s">
        <v>1169</v>
      </c>
      <c r="C284" s="26" t="s">
        <v>1059</v>
      </c>
      <c r="D284" s="27"/>
      <c r="E284" s="28" t="s">
        <v>1170</v>
      </c>
      <c r="F284" s="30" t="s">
        <v>1171</v>
      </c>
      <c r="G284" s="13"/>
      <c r="H284" s="10"/>
      <c r="I284" s="29"/>
      <c r="J284" s="7"/>
      <c r="K284" s="7"/>
      <c r="L284" s="7"/>
      <c r="M284" s="7"/>
      <c r="N284" s="7">
        <f t="shared" si="2"/>
        <v>1</v>
      </c>
      <c r="O284" s="7"/>
    </row>
    <row r="285" ht="16.5" customHeight="1">
      <c r="A285" s="26" t="s">
        <v>1172</v>
      </c>
      <c r="B285" s="26" t="s">
        <v>1173</v>
      </c>
      <c r="C285" s="26" t="s">
        <v>589</v>
      </c>
      <c r="D285" s="28" t="s">
        <v>1174</v>
      </c>
      <c r="E285" s="33" t="s">
        <v>1348</v>
      </c>
      <c r="F285" s="30" t="s">
        <v>1176</v>
      </c>
      <c r="G285" s="13"/>
      <c r="H285" s="10"/>
      <c r="I285" s="30" t="s">
        <v>122</v>
      </c>
      <c r="J285" s="7"/>
      <c r="K285" s="7"/>
      <c r="L285" s="7"/>
      <c r="M285" s="7"/>
      <c r="N285" s="7">
        <f t="shared" si="2"/>
        <v>1</v>
      </c>
      <c r="O285" s="7"/>
    </row>
    <row r="286" ht="15.75" customHeight="1">
      <c r="A286" s="26" t="s">
        <v>1177</v>
      </c>
      <c r="B286" s="26" t="s">
        <v>1178</v>
      </c>
      <c r="C286" s="26" t="s">
        <v>589</v>
      </c>
      <c r="D286" s="28" t="s">
        <v>1174</v>
      </c>
      <c r="E286" s="28" t="s">
        <v>1179</v>
      </c>
      <c r="F286" s="30" t="s">
        <v>1180</v>
      </c>
      <c r="G286" s="13"/>
      <c r="H286" s="10"/>
      <c r="I286" s="30" t="s">
        <v>122</v>
      </c>
      <c r="J286" s="7"/>
      <c r="K286" s="7"/>
      <c r="L286" s="7"/>
      <c r="M286" s="7"/>
      <c r="N286" s="7">
        <f t="shared" si="2"/>
        <v>1</v>
      </c>
      <c r="O286" s="7"/>
    </row>
    <row r="287">
      <c r="A287" s="26" t="s">
        <v>1181</v>
      </c>
      <c r="B287" s="31" t="s">
        <v>1182</v>
      </c>
      <c r="C287" s="26" t="s">
        <v>589</v>
      </c>
      <c r="D287" s="26"/>
      <c r="E287" s="28" t="s">
        <v>1358</v>
      </c>
      <c r="F287" s="29"/>
      <c r="G287" s="13"/>
      <c r="H287" s="10"/>
      <c r="I287" s="30" t="s">
        <v>403</v>
      </c>
      <c r="J287" s="7"/>
      <c r="K287" s="7"/>
      <c r="L287" s="7"/>
      <c r="M287" s="7"/>
      <c r="N287" s="7">
        <f t="shared" si="2"/>
        <v>0</v>
      </c>
      <c r="O287" s="7"/>
    </row>
    <row r="288">
      <c r="A288" s="26" t="s">
        <v>1184</v>
      </c>
      <c r="B288" s="26" t="s">
        <v>1185</v>
      </c>
      <c r="C288" s="26" t="s">
        <v>835</v>
      </c>
      <c r="D288" s="26" t="s">
        <v>635</v>
      </c>
      <c r="E288" s="28" t="s">
        <v>1186</v>
      </c>
      <c r="F288" s="29"/>
      <c r="G288" s="13"/>
      <c r="H288" s="10"/>
      <c r="I288" s="29"/>
      <c r="J288" s="7"/>
      <c r="K288" s="7"/>
      <c r="L288" s="7"/>
      <c r="M288" s="7"/>
      <c r="N288" s="7">
        <f t="shared" si="2"/>
        <v>0</v>
      </c>
      <c r="O288" s="7"/>
    </row>
    <row r="289">
      <c r="A289" s="26" t="s">
        <v>1187</v>
      </c>
      <c r="B289" s="26" t="s">
        <v>1188</v>
      </c>
      <c r="C289" s="26" t="s">
        <v>589</v>
      </c>
      <c r="D289" s="27"/>
      <c r="E289" s="28" t="s">
        <v>1189</v>
      </c>
      <c r="F289" s="30" t="s">
        <v>1190</v>
      </c>
      <c r="G289" s="13"/>
      <c r="H289" s="10"/>
      <c r="I289" s="30" t="s">
        <v>52</v>
      </c>
      <c r="J289" s="7"/>
      <c r="K289" s="7"/>
      <c r="L289" s="7"/>
      <c r="M289" s="7"/>
      <c r="N289" s="7">
        <f t="shared" si="2"/>
        <v>1</v>
      </c>
      <c r="O289" s="7"/>
    </row>
    <row r="290">
      <c r="A290" s="26" t="s">
        <v>1191</v>
      </c>
      <c r="B290" s="26" t="s">
        <v>1192</v>
      </c>
      <c r="C290" s="26" t="s">
        <v>589</v>
      </c>
      <c r="D290" s="27"/>
      <c r="E290" s="28" t="s">
        <v>1193</v>
      </c>
      <c r="F290" s="30" t="s">
        <v>1194</v>
      </c>
      <c r="G290" s="13"/>
      <c r="H290" s="10"/>
      <c r="I290" s="29"/>
      <c r="J290" s="7"/>
      <c r="K290" s="7"/>
      <c r="L290" s="7"/>
      <c r="M290" s="7"/>
      <c r="N290" s="7">
        <f t="shared" si="2"/>
        <v>1</v>
      </c>
      <c r="O290" s="7"/>
    </row>
    <row r="291">
      <c r="A291" s="26" t="s">
        <v>1195</v>
      </c>
      <c r="B291" s="26" t="s">
        <v>1196</v>
      </c>
      <c r="C291" s="26" t="s">
        <v>648</v>
      </c>
      <c r="D291" s="27"/>
      <c r="E291" s="28" t="s">
        <v>1197</v>
      </c>
      <c r="F291" s="29"/>
      <c r="G291" s="13"/>
      <c r="H291" s="10"/>
      <c r="I291" s="29"/>
      <c r="J291" s="7"/>
      <c r="K291" s="7"/>
      <c r="L291" s="7"/>
      <c r="M291" s="7"/>
      <c r="N291" s="7">
        <f t="shared" si="2"/>
        <v>0</v>
      </c>
      <c r="O291" s="7"/>
    </row>
    <row r="292">
      <c r="A292" s="26" t="s">
        <v>1198</v>
      </c>
      <c r="B292" s="26" t="s">
        <v>1199</v>
      </c>
      <c r="C292" s="26" t="s">
        <v>589</v>
      </c>
      <c r="D292" s="27"/>
      <c r="E292" s="32" t="s">
        <v>1200</v>
      </c>
      <c r="F292" s="30" t="s">
        <v>1201</v>
      </c>
      <c r="G292" s="13"/>
      <c r="H292" s="10"/>
      <c r="I292" s="29"/>
      <c r="J292" s="7"/>
      <c r="K292" s="7"/>
      <c r="L292" s="7"/>
      <c r="M292" s="7"/>
      <c r="N292" s="7">
        <f t="shared" si="2"/>
        <v>1</v>
      </c>
      <c r="O292" s="7"/>
    </row>
    <row r="293">
      <c r="A293" s="26" t="s">
        <v>1202</v>
      </c>
      <c r="B293" s="26" t="s">
        <v>1203</v>
      </c>
      <c r="C293" s="26" t="s">
        <v>1204</v>
      </c>
      <c r="D293" s="27"/>
      <c r="E293" s="28" t="s">
        <v>1205</v>
      </c>
      <c r="F293" s="30" t="s">
        <v>1206</v>
      </c>
      <c r="G293" s="13"/>
      <c r="H293" s="10"/>
      <c r="I293" s="29"/>
      <c r="J293" s="7"/>
      <c r="K293" s="7"/>
      <c r="L293" s="7"/>
      <c r="M293" s="7"/>
      <c r="N293" s="7">
        <f t="shared" si="2"/>
        <v>1</v>
      </c>
      <c r="O293" s="7"/>
    </row>
    <row r="294">
      <c r="A294" s="26" t="s">
        <v>1207</v>
      </c>
      <c r="B294" s="26" t="s">
        <v>1208</v>
      </c>
      <c r="C294" s="26" t="s">
        <v>589</v>
      </c>
      <c r="D294" s="27"/>
      <c r="E294" s="28" t="s">
        <v>1209</v>
      </c>
      <c r="F294" s="30" t="s">
        <v>1210</v>
      </c>
      <c r="G294" s="13"/>
      <c r="H294" s="10"/>
      <c r="I294" s="29"/>
      <c r="J294" s="7"/>
      <c r="K294" s="7"/>
      <c r="L294" s="7"/>
      <c r="M294" s="7"/>
      <c r="N294" s="7">
        <f t="shared" si="2"/>
        <v>1</v>
      </c>
      <c r="O294" s="7"/>
    </row>
    <row r="295">
      <c r="A295" s="31" t="s">
        <v>1212</v>
      </c>
      <c r="B295" s="26" t="s">
        <v>1213</v>
      </c>
      <c r="C295" s="26" t="s">
        <v>589</v>
      </c>
      <c r="D295" s="26" t="s">
        <v>598</v>
      </c>
      <c r="E295" s="28" t="s">
        <v>1214</v>
      </c>
      <c r="F295" s="30" t="s">
        <v>1215</v>
      </c>
      <c r="G295" s="13"/>
      <c r="H295" s="10"/>
      <c r="I295" s="29"/>
      <c r="J295" s="7"/>
      <c r="K295" s="7"/>
      <c r="L295" s="7"/>
      <c r="M295" s="7"/>
      <c r="N295" s="7">
        <f t="shared" si="2"/>
        <v>1</v>
      </c>
      <c r="O295" s="7"/>
    </row>
    <row r="296">
      <c r="A296" s="26" t="s">
        <v>1216</v>
      </c>
      <c r="B296" s="26" t="s">
        <v>1217</v>
      </c>
      <c r="C296" s="26" t="s">
        <v>584</v>
      </c>
      <c r="D296" s="26" t="s">
        <v>635</v>
      </c>
      <c r="E296" s="28" t="s">
        <v>1218</v>
      </c>
      <c r="F296" s="29"/>
      <c r="G296" s="13"/>
      <c r="H296" s="10"/>
      <c r="I296" s="29"/>
      <c r="J296" s="7"/>
      <c r="K296" s="7"/>
      <c r="L296" s="7"/>
      <c r="M296" s="7"/>
      <c r="N296" s="7">
        <f t="shared" si="2"/>
        <v>0</v>
      </c>
      <c r="O296" s="7"/>
    </row>
    <row r="297">
      <c r="A297" s="26" t="s">
        <v>1219</v>
      </c>
      <c r="B297" s="26" t="s">
        <v>1220</v>
      </c>
      <c r="C297" s="26" t="s">
        <v>584</v>
      </c>
      <c r="D297" s="27"/>
      <c r="E297" s="28" t="s">
        <v>1221</v>
      </c>
      <c r="F297" s="29"/>
      <c r="G297" s="13"/>
      <c r="H297" s="10"/>
      <c r="I297" s="29"/>
      <c r="J297" s="7"/>
      <c r="K297" s="7"/>
      <c r="L297" s="7"/>
      <c r="M297" s="7"/>
      <c r="N297" s="7">
        <f t="shared" si="2"/>
        <v>0</v>
      </c>
      <c r="O297" s="7"/>
    </row>
    <row r="298">
      <c r="A298" s="26" t="s">
        <v>1223</v>
      </c>
      <c r="B298" s="31" t="s">
        <v>1224</v>
      </c>
      <c r="C298" s="26" t="s">
        <v>589</v>
      </c>
      <c r="D298" s="26" t="s">
        <v>635</v>
      </c>
      <c r="E298" s="28" t="s">
        <v>1225</v>
      </c>
      <c r="F298" s="30" t="s">
        <v>1226</v>
      </c>
      <c r="G298" s="13"/>
      <c r="H298" s="10"/>
      <c r="I298" s="29"/>
      <c r="J298" s="7"/>
      <c r="K298" s="7"/>
      <c r="L298" s="7"/>
      <c r="M298" s="7"/>
      <c r="N298" s="7">
        <f t="shared" si="2"/>
        <v>1</v>
      </c>
      <c r="O298" s="7"/>
    </row>
    <row r="299">
      <c r="A299" s="26" t="s">
        <v>1227</v>
      </c>
      <c r="B299" s="26" t="s">
        <v>1228</v>
      </c>
      <c r="C299" s="26" t="s">
        <v>589</v>
      </c>
      <c r="D299" s="27"/>
      <c r="E299" s="28" t="s">
        <v>1229</v>
      </c>
      <c r="F299" s="29"/>
      <c r="G299" s="13"/>
      <c r="H299" s="10"/>
      <c r="I299" s="29"/>
      <c r="J299" s="7"/>
      <c r="K299" s="7"/>
      <c r="L299" s="7"/>
      <c r="M299" s="7"/>
      <c r="N299" s="7">
        <f t="shared" si="2"/>
        <v>0</v>
      </c>
      <c r="O299" s="7"/>
    </row>
    <row r="300">
      <c r="A300" s="26" t="s">
        <v>1230</v>
      </c>
      <c r="B300" s="26" t="s">
        <v>1231</v>
      </c>
      <c r="C300" s="26" t="s">
        <v>589</v>
      </c>
      <c r="D300" s="26" t="s">
        <v>598</v>
      </c>
      <c r="E300" s="28" t="s">
        <v>1232</v>
      </c>
      <c r="F300" s="30" t="s">
        <v>1233</v>
      </c>
      <c r="G300" s="13"/>
      <c r="H300" s="10"/>
      <c r="I300" s="29"/>
      <c r="J300" s="7"/>
      <c r="K300" s="7"/>
      <c r="L300" s="7"/>
      <c r="M300" s="7"/>
      <c r="N300" s="7">
        <f t="shared" si="2"/>
        <v>1</v>
      </c>
      <c r="O300" s="7"/>
    </row>
    <row r="301">
      <c r="A301" s="26" t="s">
        <v>1234</v>
      </c>
      <c r="B301" s="26" t="s">
        <v>1235</v>
      </c>
      <c r="C301" s="26" t="s">
        <v>589</v>
      </c>
      <c r="D301" s="27"/>
      <c r="E301" s="28" t="s">
        <v>1236</v>
      </c>
      <c r="F301" s="30" t="s">
        <v>1237</v>
      </c>
      <c r="G301" s="13"/>
      <c r="H301" s="10"/>
      <c r="I301" s="29"/>
      <c r="J301" s="7"/>
      <c r="K301" s="7"/>
      <c r="L301" s="7"/>
      <c r="M301" s="7"/>
      <c r="N301" s="7">
        <f t="shared" si="2"/>
        <v>1</v>
      </c>
      <c r="O301" s="7"/>
    </row>
    <row r="302">
      <c r="A302" s="31" t="s">
        <v>1238</v>
      </c>
      <c r="B302" s="26" t="s">
        <v>1239</v>
      </c>
      <c r="C302" s="31" t="s">
        <v>589</v>
      </c>
      <c r="D302" s="26"/>
      <c r="E302" s="31" t="s">
        <v>1240</v>
      </c>
      <c r="F302" s="29"/>
      <c r="G302" s="13"/>
      <c r="H302" s="10"/>
      <c r="I302" s="30" t="s">
        <v>391</v>
      </c>
      <c r="J302" s="7"/>
      <c r="K302" s="7"/>
      <c r="L302" s="7"/>
      <c r="M302" s="7"/>
      <c r="N302" s="7">
        <f t="shared" si="2"/>
        <v>0</v>
      </c>
      <c r="O302" s="7"/>
    </row>
    <row r="303">
      <c r="A303" s="26" t="s">
        <v>1241</v>
      </c>
      <c r="B303" s="26" t="s">
        <v>1242</v>
      </c>
      <c r="C303" s="26" t="s">
        <v>589</v>
      </c>
      <c r="D303" s="26" t="s">
        <v>598</v>
      </c>
      <c r="E303" s="28" t="s">
        <v>1243</v>
      </c>
      <c r="F303" s="29"/>
      <c r="G303" s="13"/>
      <c r="H303" s="10"/>
      <c r="I303" s="29"/>
      <c r="J303" s="7"/>
      <c r="K303" s="7"/>
      <c r="L303" s="7"/>
      <c r="M303" s="7"/>
      <c r="N303" s="7">
        <f t="shared" si="2"/>
        <v>0</v>
      </c>
      <c r="O303" s="7"/>
    </row>
    <row r="304">
      <c r="A304" s="26" t="s">
        <v>1244</v>
      </c>
      <c r="B304" s="26" t="s">
        <v>1245</v>
      </c>
      <c r="C304" s="26" t="s">
        <v>584</v>
      </c>
      <c r="D304" s="26" t="s">
        <v>635</v>
      </c>
      <c r="E304" s="28" t="s">
        <v>1246</v>
      </c>
      <c r="F304" s="29"/>
      <c r="G304" s="13"/>
      <c r="H304" s="10"/>
      <c r="I304" s="29"/>
      <c r="J304" s="7"/>
      <c r="K304" s="7"/>
      <c r="L304" s="7"/>
      <c r="M304" s="7"/>
      <c r="N304" s="7">
        <f t="shared" si="2"/>
        <v>0</v>
      </c>
      <c r="O304" s="7"/>
    </row>
    <row r="305">
      <c r="A305" s="26" t="s">
        <v>1247</v>
      </c>
      <c r="B305" s="26" t="s">
        <v>1248</v>
      </c>
      <c r="C305" s="26" t="s">
        <v>589</v>
      </c>
      <c r="D305" s="27"/>
      <c r="E305" s="28" t="s">
        <v>1249</v>
      </c>
      <c r="F305" s="35" t="s">
        <v>188</v>
      </c>
      <c r="I305" s="29"/>
      <c r="J305" s="7"/>
      <c r="K305" s="7"/>
      <c r="L305" s="7"/>
      <c r="M305" s="7"/>
      <c r="N305" s="7">
        <f t="shared" si="2"/>
        <v>1</v>
      </c>
      <c r="O305" s="7"/>
    </row>
    <row r="306">
      <c r="A306" s="26" t="s">
        <v>1250</v>
      </c>
      <c r="B306" s="26" t="s">
        <v>1251</v>
      </c>
      <c r="C306" s="26" t="s">
        <v>589</v>
      </c>
      <c r="D306" s="27"/>
      <c r="E306" s="28" t="s">
        <v>1252</v>
      </c>
      <c r="F306" s="29"/>
      <c r="G306" s="13"/>
      <c r="H306" s="10"/>
      <c r="I306" s="29"/>
      <c r="J306" s="7"/>
      <c r="K306" s="7"/>
      <c r="L306" s="7"/>
      <c r="M306" s="7"/>
      <c r="N306" s="7">
        <f t="shared" si="2"/>
        <v>0</v>
      </c>
      <c r="O306" s="7"/>
    </row>
    <row r="307">
      <c r="A307" s="26" t="s">
        <v>1253</v>
      </c>
      <c r="B307" s="31" t="s">
        <v>1254</v>
      </c>
      <c r="C307" s="26" t="s">
        <v>589</v>
      </c>
      <c r="D307" s="26" t="s">
        <v>635</v>
      </c>
      <c r="E307" s="28" t="s">
        <v>1255</v>
      </c>
      <c r="F307" s="29"/>
      <c r="G307" s="13"/>
      <c r="H307" s="10"/>
      <c r="I307" s="29"/>
      <c r="J307" s="7"/>
      <c r="K307" s="7"/>
      <c r="L307" s="7"/>
      <c r="M307" s="7"/>
      <c r="N307" s="7">
        <f t="shared" si="2"/>
        <v>0</v>
      </c>
      <c r="O307" s="7"/>
    </row>
    <row r="308">
      <c r="A308" s="26" t="s">
        <v>1256</v>
      </c>
      <c r="B308" s="26" t="s">
        <v>1257</v>
      </c>
      <c r="C308" s="26" t="s">
        <v>589</v>
      </c>
      <c r="D308" s="26" t="s">
        <v>635</v>
      </c>
      <c r="E308" s="28" t="s">
        <v>1258</v>
      </c>
      <c r="F308" s="30" t="s">
        <v>1259</v>
      </c>
      <c r="G308" s="13"/>
      <c r="H308" s="10"/>
      <c r="I308" s="29"/>
      <c r="J308" s="7"/>
      <c r="K308" s="7"/>
      <c r="L308" s="7"/>
      <c r="M308" s="7"/>
      <c r="N308" s="7">
        <f t="shared" si="2"/>
        <v>1</v>
      </c>
      <c r="O308" s="7"/>
    </row>
    <row r="309">
      <c r="A309" s="26" t="s">
        <v>1260</v>
      </c>
      <c r="B309" s="26" t="s">
        <v>1261</v>
      </c>
      <c r="C309" s="26" t="s">
        <v>589</v>
      </c>
      <c r="D309" s="27"/>
      <c r="E309" s="28" t="s">
        <v>1262</v>
      </c>
      <c r="F309" s="29"/>
      <c r="G309" s="13"/>
      <c r="H309" s="10"/>
      <c r="I309" s="29"/>
      <c r="J309" s="7"/>
      <c r="K309" s="7"/>
      <c r="L309" s="7"/>
      <c r="M309" s="7"/>
      <c r="N309" s="7">
        <f t="shared" si="2"/>
        <v>0</v>
      </c>
      <c r="O309" s="7"/>
    </row>
    <row r="310">
      <c r="A310" s="26" t="s">
        <v>1264</v>
      </c>
      <c r="B310" s="26" t="s">
        <v>1265</v>
      </c>
      <c r="C310" s="26" t="s">
        <v>589</v>
      </c>
      <c r="D310" s="27"/>
      <c r="E310" s="28" t="s">
        <v>1266</v>
      </c>
      <c r="F310" s="30" t="s">
        <v>1267</v>
      </c>
      <c r="G310" s="13"/>
      <c r="H310" s="10"/>
      <c r="I310" s="29"/>
      <c r="J310" s="7"/>
      <c r="K310" s="7"/>
      <c r="L310" s="7"/>
      <c r="M310" s="7"/>
      <c r="N310" s="7">
        <f t="shared" si="2"/>
        <v>1</v>
      </c>
      <c r="O310" s="7"/>
    </row>
    <row r="311">
      <c r="A311" s="26" t="s">
        <v>1268</v>
      </c>
      <c r="B311" s="26" t="s">
        <v>1269</v>
      </c>
      <c r="C311" s="26" t="s">
        <v>589</v>
      </c>
      <c r="D311" s="26" t="s">
        <v>635</v>
      </c>
      <c r="E311" s="33" t="s">
        <v>1518</v>
      </c>
      <c r="F311" s="30" t="s">
        <v>1271</v>
      </c>
      <c r="G311" s="13"/>
      <c r="H311" s="10"/>
      <c r="I311" s="30" t="s">
        <v>356</v>
      </c>
      <c r="J311" s="7"/>
      <c r="K311" s="7"/>
      <c r="L311" s="7"/>
      <c r="M311" s="7"/>
      <c r="N311" s="7">
        <f t="shared" si="2"/>
        <v>1</v>
      </c>
      <c r="O311" s="7"/>
    </row>
    <row r="312">
      <c r="A312" s="26" t="s">
        <v>1272</v>
      </c>
      <c r="B312" s="31" t="s">
        <v>1273</v>
      </c>
      <c r="C312" s="26" t="s">
        <v>589</v>
      </c>
      <c r="D312" s="27"/>
      <c r="E312" s="28" t="s">
        <v>1274</v>
      </c>
      <c r="F312" s="29"/>
      <c r="G312" s="13"/>
      <c r="H312" s="10"/>
      <c r="I312" s="29"/>
      <c r="J312" s="7"/>
      <c r="K312" s="7"/>
      <c r="L312" s="7"/>
      <c r="M312" s="7"/>
      <c r="N312" s="7">
        <f t="shared" si="2"/>
        <v>0</v>
      </c>
      <c r="O312" s="7"/>
    </row>
    <row r="313">
      <c r="A313" s="26" t="s">
        <v>1275</v>
      </c>
      <c r="B313" s="26" t="s">
        <v>1276</v>
      </c>
      <c r="C313" s="26" t="s">
        <v>589</v>
      </c>
      <c r="D313" s="27"/>
      <c r="E313" s="28" t="s">
        <v>1277</v>
      </c>
      <c r="F313" s="30" t="s">
        <v>1279</v>
      </c>
      <c r="G313" s="13"/>
      <c r="H313" s="10"/>
      <c r="I313" s="29"/>
      <c r="J313" s="7"/>
      <c r="K313" s="7"/>
      <c r="L313" s="7"/>
      <c r="M313" s="7"/>
      <c r="N313" s="7">
        <f t="shared" si="2"/>
        <v>1</v>
      </c>
      <c r="O313" s="7"/>
    </row>
    <row r="314">
      <c r="A314" s="26" t="s">
        <v>1280</v>
      </c>
      <c r="B314" s="26" t="s">
        <v>1281</v>
      </c>
      <c r="C314" s="26" t="s">
        <v>584</v>
      </c>
      <c r="D314" s="26" t="s">
        <v>635</v>
      </c>
      <c r="E314" s="28" t="s">
        <v>1282</v>
      </c>
      <c r="F314" s="29"/>
      <c r="G314" s="13"/>
      <c r="H314" s="10"/>
      <c r="I314" s="29"/>
      <c r="J314" s="7"/>
      <c r="K314" s="7"/>
      <c r="L314" s="7"/>
      <c r="M314" s="7"/>
      <c r="N314" s="7">
        <f t="shared" si="2"/>
        <v>0</v>
      </c>
      <c r="O314" s="7"/>
    </row>
    <row r="315">
      <c r="A315" s="26" t="s">
        <v>1283</v>
      </c>
      <c r="B315" s="26" t="s">
        <v>1284</v>
      </c>
      <c r="C315" s="26" t="s">
        <v>589</v>
      </c>
      <c r="D315" s="27"/>
      <c r="E315" s="28" t="s">
        <v>1285</v>
      </c>
      <c r="F315" s="29"/>
      <c r="G315" s="13"/>
      <c r="H315" s="10"/>
      <c r="I315" s="29"/>
      <c r="J315" s="7"/>
      <c r="K315" s="7"/>
      <c r="L315" s="7"/>
      <c r="M315" s="7"/>
      <c r="N315" s="7">
        <f t="shared" si="2"/>
        <v>0</v>
      </c>
      <c r="O315" s="7"/>
    </row>
    <row r="316">
      <c r="A316" s="26" t="s">
        <v>1286</v>
      </c>
      <c r="B316" s="26" t="s">
        <v>1287</v>
      </c>
      <c r="C316" s="26" t="s">
        <v>584</v>
      </c>
      <c r="D316" s="27"/>
      <c r="E316" s="33" t="s">
        <v>1579</v>
      </c>
      <c r="F316" s="29"/>
      <c r="G316" s="13"/>
      <c r="H316" s="10"/>
      <c r="I316" s="29"/>
      <c r="J316" s="7"/>
      <c r="K316" s="7"/>
      <c r="L316" s="7"/>
      <c r="M316" s="7"/>
      <c r="N316" s="7">
        <f t="shared" si="2"/>
        <v>0</v>
      </c>
      <c r="O316" s="7"/>
    </row>
    <row r="317">
      <c r="A317" s="26" t="s">
        <v>1289</v>
      </c>
      <c r="B317" s="26" t="s">
        <v>1290</v>
      </c>
      <c r="C317" s="26" t="s">
        <v>589</v>
      </c>
      <c r="D317" s="26" t="s">
        <v>1026</v>
      </c>
      <c r="E317" s="27"/>
      <c r="F317" s="30" t="s">
        <v>1291</v>
      </c>
      <c r="G317" s="13"/>
      <c r="H317" s="10"/>
      <c r="I317" s="29"/>
      <c r="J317" s="7"/>
      <c r="K317" s="7"/>
      <c r="L317" s="7"/>
      <c r="M317" s="7"/>
      <c r="N317" s="7">
        <f t="shared" si="2"/>
        <v>1</v>
      </c>
      <c r="O317" s="7"/>
    </row>
    <row r="318">
      <c r="A318" s="26" t="s">
        <v>1292</v>
      </c>
      <c r="B318" s="26" t="s">
        <v>1293</v>
      </c>
      <c r="C318" s="26" t="s">
        <v>589</v>
      </c>
      <c r="D318" s="27"/>
      <c r="E318" s="28" t="s">
        <v>1294</v>
      </c>
      <c r="F318" s="29"/>
      <c r="G318" s="13"/>
      <c r="H318" s="10"/>
      <c r="I318" s="29"/>
      <c r="J318" s="7"/>
      <c r="K318" s="7"/>
      <c r="L318" s="7"/>
      <c r="M318" s="7"/>
      <c r="N318" s="7">
        <f t="shared" si="2"/>
        <v>0</v>
      </c>
      <c r="O318" s="7"/>
    </row>
    <row r="319">
      <c r="A319" s="26" t="s">
        <v>1295</v>
      </c>
      <c r="B319" s="26" t="s">
        <v>1296</v>
      </c>
      <c r="C319" s="26" t="s">
        <v>589</v>
      </c>
      <c r="D319" s="27"/>
      <c r="E319" s="28" t="s">
        <v>1297</v>
      </c>
      <c r="F319" s="30" t="s">
        <v>1298</v>
      </c>
      <c r="G319" s="13"/>
      <c r="H319" s="10"/>
      <c r="I319" s="29"/>
      <c r="J319" s="7"/>
      <c r="K319" s="7"/>
      <c r="L319" s="7"/>
      <c r="M319" s="7"/>
      <c r="N319" s="7">
        <f t="shared" si="2"/>
        <v>1</v>
      </c>
      <c r="O319" s="7"/>
    </row>
    <row r="320">
      <c r="A320" s="26" t="s">
        <v>1299</v>
      </c>
      <c r="B320" s="26" t="s">
        <v>1300</v>
      </c>
      <c r="C320" s="26" t="s">
        <v>589</v>
      </c>
      <c r="D320" s="27"/>
      <c r="E320" s="28" t="s">
        <v>1301</v>
      </c>
      <c r="F320" s="29"/>
      <c r="G320" s="13"/>
      <c r="H320" s="10"/>
      <c r="I320" s="29"/>
      <c r="J320" s="7"/>
      <c r="K320" s="7"/>
      <c r="L320" s="7"/>
      <c r="M320" s="7"/>
      <c r="N320" s="7">
        <f t="shared" si="2"/>
        <v>0</v>
      </c>
      <c r="O320" s="7"/>
    </row>
    <row r="321">
      <c r="A321" s="26" t="s">
        <v>1302</v>
      </c>
      <c r="B321" s="26" t="s">
        <v>1303</v>
      </c>
      <c r="C321" s="26" t="s">
        <v>584</v>
      </c>
      <c r="D321" s="27"/>
      <c r="E321" s="28" t="s">
        <v>1304</v>
      </c>
      <c r="F321" s="29"/>
      <c r="G321" s="13"/>
      <c r="H321" s="10"/>
      <c r="I321" s="29"/>
      <c r="J321" s="7"/>
      <c r="K321" s="7"/>
      <c r="L321" s="7"/>
      <c r="M321" s="7"/>
      <c r="N321" s="7">
        <f t="shared" si="2"/>
        <v>0</v>
      </c>
      <c r="O321" s="7"/>
    </row>
    <row r="322">
      <c r="A322" s="31" t="s">
        <v>1305</v>
      </c>
      <c r="B322" s="26" t="s">
        <v>1058</v>
      </c>
      <c r="C322" s="26" t="s">
        <v>589</v>
      </c>
      <c r="D322" s="27"/>
      <c r="E322" s="28" t="s">
        <v>1306</v>
      </c>
      <c r="F322" s="30" t="s">
        <v>1307</v>
      </c>
      <c r="G322" s="13"/>
      <c r="H322" s="10"/>
      <c r="I322" s="29"/>
      <c r="J322" s="7"/>
      <c r="K322" s="7"/>
      <c r="L322" s="7"/>
      <c r="M322" s="7"/>
      <c r="N322" s="7">
        <f t="shared" si="2"/>
        <v>1</v>
      </c>
      <c r="O322" s="7"/>
    </row>
    <row r="323">
      <c r="A323" s="31" t="s">
        <v>1308</v>
      </c>
      <c r="B323" s="26" t="s">
        <v>1309</v>
      </c>
      <c r="C323" s="26" t="s">
        <v>589</v>
      </c>
      <c r="D323" s="27"/>
      <c r="E323" s="28" t="s">
        <v>1310</v>
      </c>
      <c r="F323" s="29"/>
      <c r="G323" s="13"/>
      <c r="H323" s="10"/>
      <c r="I323" s="29"/>
      <c r="J323" s="7"/>
      <c r="K323" s="7"/>
      <c r="L323" s="7"/>
      <c r="M323" s="7"/>
      <c r="N323" s="7">
        <f t="shared" si="2"/>
        <v>0</v>
      </c>
      <c r="O323" s="7"/>
    </row>
    <row r="324">
      <c r="A324" s="31" t="s">
        <v>1311</v>
      </c>
      <c r="B324" s="26" t="s">
        <v>1312</v>
      </c>
      <c r="C324" s="26" t="s">
        <v>589</v>
      </c>
      <c r="D324" s="31" t="s">
        <v>598</v>
      </c>
      <c r="E324" s="28" t="s">
        <v>1313</v>
      </c>
      <c r="F324" s="30" t="s">
        <v>1314</v>
      </c>
      <c r="G324" s="13"/>
      <c r="H324" s="10"/>
      <c r="I324" s="29"/>
      <c r="J324" s="7"/>
      <c r="K324" s="7"/>
      <c r="L324" s="7"/>
      <c r="M324" s="7"/>
      <c r="N324" s="7">
        <f t="shared" si="2"/>
        <v>1</v>
      </c>
      <c r="O324" s="7"/>
    </row>
    <row r="325">
      <c r="A325" s="26" t="s">
        <v>1315</v>
      </c>
      <c r="B325" s="26" t="s">
        <v>1316</v>
      </c>
      <c r="C325" s="26" t="s">
        <v>589</v>
      </c>
      <c r="D325" s="26" t="s">
        <v>598</v>
      </c>
      <c r="E325" s="28" t="s">
        <v>1317</v>
      </c>
      <c r="F325" s="29"/>
      <c r="G325" s="13"/>
      <c r="H325" s="10"/>
      <c r="I325" s="29"/>
      <c r="J325" s="7"/>
      <c r="K325" s="7"/>
      <c r="L325" s="7"/>
      <c r="M325" s="7"/>
      <c r="N325" s="7">
        <f t="shared" si="2"/>
        <v>0</v>
      </c>
      <c r="O325" s="7"/>
    </row>
    <row r="326">
      <c r="A326" s="26" t="s">
        <v>1319</v>
      </c>
      <c r="B326" s="26" t="s">
        <v>1320</v>
      </c>
      <c r="C326" s="26" t="s">
        <v>589</v>
      </c>
      <c r="D326" s="27"/>
      <c r="E326" s="34" t="s">
        <v>1321</v>
      </c>
      <c r="F326" s="30" t="s">
        <v>1322</v>
      </c>
      <c r="G326" s="13"/>
      <c r="H326" s="10"/>
      <c r="I326" s="29"/>
      <c r="J326" s="7"/>
      <c r="K326" s="7"/>
      <c r="L326" s="7"/>
      <c r="M326" s="7"/>
      <c r="N326" s="7">
        <f t="shared" si="2"/>
        <v>1</v>
      </c>
      <c r="O326" s="7"/>
    </row>
    <row r="327">
      <c r="A327" s="26" t="s">
        <v>1323</v>
      </c>
      <c r="B327" s="26" t="s">
        <v>1324</v>
      </c>
      <c r="C327" s="26" t="s">
        <v>589</v>
      </c>
      <c r="D327" s="26" t="s">
        <v>598</v>
      </c>
      <c r="E327" s="28" t="s">
        <v>1325</v>
      </c>
      <c r="F327" s="29"/>
      <c r="G327" s="13"/>
      <c r="H327" s="10"/>
      <c r="I327" s="29"/>
      <c r="J327" s="7"/>
      <c r="K327" s="7"/>
      <c r="L327" s="7"/>
      <c r="M327" s="7"/>
      <c r="N327" s="7">
        <f t="shared" si="2"/>
        <v>0</v>
      </c>
      <c r="O327" s="7"/>
    </row>
    <row r="328">
      <c r="A328" s="26" t="s">
        <v>1326</v>
      </c>
      <c r="B328" s="26" t="s">
        <v>1327</v>
      </c>
      <c r="C328" s="26" t="s">
        <v>589</v>
      </c>
      <c r="D328" s="27"/>
      <c r="E328" s="28" t="s">
        <v>1328</v>
      </c>
      <c r="F328" s="30" t="s">
        <v>1329</v>
      </c>
      <c r="G328" s="13"/>
      <c r="H328" s="10"/>
      <c r="I328" s="29"/>
      <c r="J328" s="7"/>
      <c r="K328" s="7"/>
      <c r="L328" s="7"/>
      <c r="M328" s="7"/>
      <c r="N328" s="7">
        <f t="shared" si="2"/>
        <v>1</v>
      </c>
      <c r="O328" s="7"/>
    </row>
    <row r="329">
      <c r="A329" s="26" t="s">
        <v>1330</v>
      </c>
      <c r="B329" s="26" t="s">
        <v>1331</v>
      </c>
      <c r="C329" s="26" t="s">
        <v>589</v>
      </c>
      <c r="D329" s="27"/>
      <c r="E329" s="32" t="s">
        <v>1332</v>
      </c>
      <c r="F329" s="30" t="s">
        <v>1333</v>
      </c>
      <c r="G329" s="13"/>
      <c r="H329" s="10"/>
      <c r="I329" s="30" t="s">
        <v>260</v>
      </c>
      <c r="J329" s="7"/>
      <c r="K329" s="7"/>
      <c r="L329" s="7"/>
      <c r="M329" s="7"/>
      <c r="N329" s="7">
        <f t="shared" si="2"/>
        <v>1</v>
      </c>
      <c r="O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f>SUM(N135:N329)</f>
        <v>115</v>
      </c>
      <c r="P331" s="7"/>
      <c r="Q331" s="7"/>
      <c r="R331" s="7"/>
      <c r="S331" s="7"/>
      <c r="T331" s="7"/>
      <c r="U331" s="7"/>
      <c r="V331" s="7"/>
      <c r="W331" s="7"/>
      <c r="X331" s="7"/>
      <c r="Y331" s="7"/>
      <c r="Z331" s="7"/>
    </row>
    <row r="332">
      <c r="A332" s="25" t="s">
        <v>1338</v>
      </c>
      <c r="B332" s="25" t="s">
        <v>577</v>
      </c>
      <c r="C332" s="25" t="s">
        <v>578</v>
      </c>
      <c r="D332" s="25" t="s">
        <v>1339</v>
      </c>
      <c r="E332" s="36" t="s">
        <v>1340</v>
      </c>
      <c r="F332" s="25" t="s">
        <v>1341</v>
      </c>
      <c r="G332" s="25" t="s">
        <v>581</v>
      </c>
      <c r="H332" s="25"/>
      <c r="I332" s="36" t="s">
        <v>4</v>
      </c>
      <c r="J332" s="7"/>
      <c r="K332" s="7"/>
      <c r="L332" s="7"/>
      <c r="M332" s="7"/>
      <c r="N332" s="7"/>
      <c r="O332" s="7"/>
    </row>
    <row r="333">
      <c r="A333" s="26" t="s">
        <v>1342</v>
      </c>
      <c r="B333" s="26" t="s">
        <v>1343</v>
      </c>
      <c r="C333" s="26" t="s">
        <v>584</v>
      </c>
      <c r="D333" s="33" t="s">
        <v>1664</v>
      </c>
      <c r="E333" s="37" t="s">
        <v>584</v>
      </c>
      <c r="F333" s="37">
        <v>1.0</v>
      </c>
      <c r="G333" s="30" t="s">
        <v>1345</v>
      </c>
      <c r="H333" s="10"/>
      <c r="I333" s="17" t="s">
        <v>445</v>
      </c>
      <c r="J333" s="7"/>
      <c r="K333" s="7"/>
      <c r="L333" s="7"/>
      <c r="M333" s="7"/>
      <c r="N333" s="7">
        <f t="shared" ref="N333:N349" si="3"> IF(ISBLANK(G333), 0, 1)</f>
        <v>1</v>
      </c>
      <c r="O333" s="7"/>
    </row>
    <row r="334">
      <c r="A334" s="26" t="s">
        <v>1346</v>
      </c>
      <c r="B334" s="26" t="s">
        <v>1347</v>
      </c>
      <c r="C334" s="26" t="s">
        <v>584</v>
      </c>
      <c r="D334" s="33" t="s">
        <v>1674</v>
      </c>
      <c r="E334" s="37" t="s">
        <v>584</v>
      </c>
      <c r="F334" s="37">
        <v>1.0</v>
      </c>
      <c r="G334" s="30" t="s">
        <v>1350</v>
      </c>
      <c r="H334" s="10"/>
      <c r="I334" s="37"/>
      <c r="J334" s="7"/>
      <c r="K334" s="7"/>
      <c r="L334" s="7"/>
      <c r="M334" s="7"/>
      <c r="N334" s="7">
        <f t="shared" si="3"/>
        <v>1</v>
      </c>
      <c r="O334" s="7"/>
    </row>
    <row r="335">
      <c r="A335" s="26" t="s">
        <v>1351</v>
      </c>
      <c r="B335" s="26" t="s">
        <v>1352</v>
      </c>
      <c r="C335" s="26" t="s">
        <v>584</v>
      </c>
      <c r="D335" s="33" t="s">
        <v>1681</v>
      </c>
      <c r="E335" s="37" t="s">
        <v>584</v>
      </c>
      <c r="F335" s="37">
        <v>1.0</v>
      </c>
      <c r="G335" s="30" t="s">
        <v>1354</v>
      </c>
      <c r="H335" s="10"/>
      <c r="I335" s="37"/>
      <c r="J335" s="7"/>
      <c r="K335" s="7"/>
      <c r="L335" s="7"/>
      <c r="M335" s="7"/>
      <c r="N335" s="7">
        <f t="shared" si="3"/>
        <v>1</v>
      </c>
      <c r="O335" s="7"/>
    </row>
    <row r="336">
      <c r="A336" s="26" t="s">
        <v>1355</v>
      </c>
      <c r="B336" s="26" t="s">
        <v>1356</v>
      </c>
      <c r="C336" s="26" t="s">
        <v>584</v>
      </c>
      <c r="D336" s="28" t="s">
        <v>1357</v>
      </c>
      <c r="E336" s="37" t="s">
        <v>584</v>
      </c>
      <c r="F336" s="37">
        <v>1.0</v>
      </c>
      <c r="G336" s="30" t="s">
        <v>1359</v>
      </c>
      <c r="H336" s="10"/>
      <c r="I336" s="37"/>
      <c r="J336" s="7"/>
      <c r="K336" s="7"/>
      <c r="L336" s="7"/>
      <c r="M336" s="7"/>
      <c r="N336" s="7">
        <f t="shared" si="3"/>
        <v>1</v>
      </c>
      <c r="O336" s="7"/>
    </row>
    <row r="337">
      <c r="A337" s="26" t="s">
        <v>1360</v>
      </c>
      <c r="B337" s="26" t="s">
        <v>1361</v>
      </c>
      <c r="C337" s="26" t="s">
        <v>584</v>
      </c>
      <c r="D337" s="33" t="s">
        <v>1690</v>
      </c>
      <c r="E337" s="37" t="s">
        <v>589</v>
      </c>
      <c r="F337" s="37">
        <v>2.0</v>
      </c>
      <c r="G337" s="30" t="s">
        <v>1363</v>
      </c>
      <c r="H337" s="10"/>
      <c r="I337" s="37" t="s">
        <v>344</v>
      </c>
      <c r="J337" s="7"/>
      <c r="K337" s="7"/>
      <c r="L337" s="7"/>
      <c r="M337" s="7"/>
      <c r="N337" s="7">
        <f t="shared" si="3"/>
        <v>1</v>
      </c>
      <c r="O337" s="7"/>
    </row>
    <row r="338">
      <c r="A338" s="26" t="s">
        <v>1364</v>
      </c>
      <c r="B338" s="26" t="s">
        <v>1365</v>
      </c>
      <c r="C338" s="26" t="s">
        <v>589</v>
      </c>
      <c r="D338" s="28" t="s">
        <v>1366</v>
      </c>
      <c r="E338" s="37" t="s">
        <v>589</v>
      </c>
      <c r="F338" s="37">
        <v>3.0</v>
      </c>
      <c r="G338" s="30" t="s">
        <v>1367</v>
      </c>
      <c r="H338" s="10"/>
      <c r="I338" s="37" t="s">
        <v>403</v>
      </c>
      <c r="J338" s="7"/>
      <c r="K338" s="7"/>
      <c r="L338" s="7"/>
      <c r="M338" s="7"/>
      <c r="N338" s="7">
        <f t="shared" si="3"/>
        <v>1</v>
      </c>
      <c r="O338" s="7"/>
    </row>
    <row r="339">
      <c r="A339" s="31" t="s">
        <v>1368</v>
      </c>
      <c r="B339" s="26" t="s">
        <v>1369</v>
      </c>
      <c r="C339" s="31" t="s">
        <v>589</v>
      </c>
      <c r="D339" s="31" t="s">
        <v>595</v>
      </c>
      <c r="E339" s="37" t="s">
        <v>589</v>
      </c>
      <c r="F339" s="37">
        <v>3.0</v>
      </c>
      <c r="G339" s="30" t="s">
        <v>1370</v>
      </c>
      <c r="H339" s="10"/>
      <c r="I339" s="37" t="s">
        <v>247</v>
      </c>
      <c r="J339" s="7"/>
      <c r="K339" s="7"/>
      <c r="L339" s="7"/>
      <c r="M339" s="7"/>
      <c r="N339" s="7">
        <f t="shared" si="3"/>
        <v>1</v>
      </c>
      <c r="O339" s="7"/>
    </row>
    <row r="340">
      <c r="A340" s="26" t="s">
        <v>1371</v>
      </c>
      <c r="B340" s="26" t="s">
        <v>1372</v>
      </c>
      <c r="C340" s="26" t="s">
        <v>589</v>
      </c>
      <c r="D340" s="28" t="s">
        <v>1373</v>
      </c>
      <c r="E340" s="37" t="s">
        <v>589</v>
      </c>
      <c r="F340" s="37">
        <v>2.0</v>
      </c>
      <c r="G340" s="30" t="s">
        <v>1374</v>
      </c>
      <c r="H340" s="10"/>
      <c r="I340" s="37" t="s">
        <v>461</v>
      </c>
      <c r="J340" s="7"/>
      <c r="K340" s="7"/>
      <c r="L340" s="7"/>
      <c r="M340" s="7"/>
      <c r="N340" s="7">
        <f t="shared" si="3"/>
        <v>1</v>
      </c>
      <c r="O340" s="7"/>
    </row>
    <row r="341">
      <c r="A341" s="26" t="s">
        <v>1375</v>
      </c>
      <c r="B341" s="26" t="s">
        <v>1376</v>
      </c>
      <c r="C341" s="26" t="s">
        <v>584</v>
      </c>
      <c r="D341" s="33" t="s">
        <v>1701</v>
      </c>
      <c r="E341" s="37" t="s">
        <v>589</v>
      </c>
      <c r="F341" s="37">
        <v>3.0</v>
      </c>
      <c r="G341" s="30" t="s">
        <v>1379</v>
      </c>
      <c r="H341" s="10"/>
      <c r="I341" s="37" t="s">
        <v>520</v>
      </c>
      <c r="J341" s="7"/>
      <c r="K341" s="7"/>
      <c r="L341" s="7"/>
      <c r="M341" s="7"/>
      <c r="N341" s="7">
        <f t="shared" si="3"/>
        <v>1</v>
      </c>
      <c r="O341" s="7"/>
    </row>
    <row r="342">
      <c r="A342" s="26" t="s">
        <v>1380</v>
      </c>
      <c r="B342" s="26" t="s">
        <v>1381</v>
      </c>
      <c r="C342" s="26" t="s">
        <v>584</v>
      </c>
      <c r="D342" s="28" t="s">
        <v>1382</v>
      </c>
      <c r="E342" s="37" t="s">
        <v>589</v>
      </c>
      <c r="F342" s="37">
        <v>3.0</v>
      </c>
      <c r="G342" s="30" t="s">
        <v>1383</v>
      </c>
      <c r="H342" s="10"/>
      <c r="I342" s="37" t="s">
        <v>290</v>
      </c>
      <c r="J342" s="7"/>
      <c r="K342" s="7"/>
      <c r="L342" s="7"/>
      <c r="M342" s="7"/>
      <c r="N342" s="7">
        <f t="shared" si="3"/>
        <v>1</v>
      </c>
      <c r="O342" s="7"/>
    </row>
    <row r="343">
      <c r="A343" s="26" t="s">
        <v>1384</v>
      </c>
      <c r="B343" s="26" t="s">
        <v>1385</v>
      </c>
      <c r="C343" s="26" t="s">
        <v>584</v>
      </c>
      <c r="D343" s="28" t="s">
        <v>1386</v>
      </c>
      <c r="E343" s="37" t="s">
        <v>589</v>
      </c>
      <c r="F343" s="37">
        <v>2.0</v>
      </c>
      <c r="G343" s="30" t="s">
        <v>1387</v>
      </c>
      <c r="H343" s="10"/>
      <c r="I343" s="37"/>
      <c r="J343" s="7"/>
      <c r="K343" s="7"/>
      <c r="L343" s="7"/>
      <c r="M343" s="7"/>
      <c r="N343" s="7">
        <f t="shared" si="3"/>
        <v>1</v>
      </c>
      <c r="O343" s="7"/>
    </row>
    <row r="344">
      <c r="A344" s="26" t="s">
        <v>1388</v>
      </c>
      <c r="B344" s="26" t="s">
        <v>1389</v>
      </c>
      <c r="C344" s="26" t="s">
        <v>584</v>
      </c>
      <c r="D344" s="33" t="s">
        <v>1718</v>
      </c>
      <c r="E344" s="37" t="s">
        <v>589</v>
      </c>
      <c r="F344" s="37">
        <v>2.0</v>
      </c>
      <c r="G344" s="30" t="s">
        <v>1391</v>
      </c>
      <c r="H344" s="10"/>
      <c r="I344" s="37" t="s">
        <v>374</v>
      </c>
      <c r="J344" s="7"/>
      <c r="K344" s="7"/>
      <c r="L344" s="7"/>
      <c r="M344" s="7"/>
      <c r="N344" s="7">
        <f t="shared" si="3"/>
        <v>1</v>
      </c>
      <c r="O344" s="7"/>
    </row>
    <row r="345">
      <c r="A345" s="26" t="s">
        <v>1392</v>
      </c>
      <c r="B345" s="26" t="s">
        <v>1393</v>
      </c>
      <c r="C345" s="26" t="s">
        <v>584</v>
      </c>
      <c r="D345" s="33" t="s">
        <v>1719</v>
      </c>
      <c r="E345" s="37" t="s">
        <v>589</v>
      </c>
      <c r="F345" s="37">
        <v>2.0</v>
      </c>
      <c r="G345" s="30" t="s">
        <v>1395</v>
      </c>
      <c r="H345" s="10"/>
      <c r="I345" s="37"/>
      <c r="J345" s="7"/>
      <c r="K345" s="7"/>
      <c r="L345" s="7"/>
      <c r="M345" s="7"/>
      <c r="N345" s="7">
        <f t="shared" si="3"/>
        <v>1</v>
      </c>
      <c r="O345" s="7"/>
    </row>
    <row r="346">
      <c r="A346" s="26" t="s">
        <v>1396</v>
      </c>
      <c r="B346" s="26" t="s">
        <v>1397</v>
      </c>
      <c r="C346" s="26" t="s">
        <v>589</v>
      </c>
      <c r="D346" s="28" t="s">
        <v>1088</v>
      </c>
      <c r="E346" s="37" t="s">
        <v>589</v>
      </c>
      <c r="F346" s="37">
        <v>3.0</v>
      </c>
      <c r="G346" s="30" t="s">
        <v>1398</v>
      </c>
      <c r="H346" s="10"/>
      <c r="I346" s="37"/>
      <c r="J346" s="7"/>
      <c r="K346" s="7"/>
      <c r="L346" s="7"/>
      <c r="M346" s="7"/>
      <c r="N346" s="7">
        <f t="shared" si="3"/>
        <v>1</v>
      </c>
      <c r="O346" s="7"/>
    </row>
    <row r="347">
      <c r="A347" s="26" t="s">
        <v>1399</v>
      </c>
      <c r="B347" s="26" t="s">
        <v>1397</v>
      </c>
      <c r="C347" s="26" t="s">
        <v>589</v>
      </c>
      <c r="D347" s="28" t="s">
        <v>1088</v>
      </c>
      <c r="E347" s="37" t="s">
        <v>589</v>
      </c>
      <c r="F347" s="37">
        <v>3.0</v>
      </c>
      <c r="G347" s="30" t="s">
        <v>1400</v>
      </c>
      <c r="H347" s="10"/>
      <c r="I347" s="37" t="s">
        <v>391</v>
      </c>
      <c r="J347" s="7"/>
      <c r="K347" s="7"/>
      <c r="L347" s="7"/>
      <c r="M347" s="7"/>
      <c r="N347" s="7">
        <f t="shared" si="3"/>
        <v>1</v>
      </c>
      <c r="O347" s="7"/>
    </row>
    <row r="348">
      <c r="A348" s="37" t="s">
        <v>1401</v>
      </c>
      <c r="B348" s="37" t="s">
        <v>1402</v>
      </c>
      <c r="C348" s="37" t="s">
        <v>584</v>
      </c>
      <c r="D348" s="37" t="s">
        <v>595</v>
      </c>
      <c r="E348" s="37" t="s">
        <v>589</v>
      </c>
      <c r="F348" s="37">
        <v>4.0</v>
      </c>
      <c r="G348" s="30" t="s">
        <v>1403</v>
      </c>
      <c r="H348" s="10"/>
      <c r="I348" s="37" t="s">
        <v>1404</v>
      </c>
      <c r="J348" s="7"/>
      <c r="K348" s="7"/>
      <c r="L348" s="7"/>
      <c r="M348" s="7"/>
      <c r="N348" s="7">
        <f t="shared" si="3"/>
        <v>1</v>
      </c>
      <c r="O348" s="7"/>
    </row>
    <row r="349">
      <c r="A349" s="37" t="s">
        <v>1405</v>
      </c>
      <c r="B349" s="37" t="s">
        <v>1406</v>
      </c>
      <c r="C349" s="37" t="s">
        <v>589</v>
      </c>
      <c r="D349" s="37" t="s">
        <v>1407</v>
      </c>
      <c r="E349" s="37" t="s">
        <v>589</v>
      </c>
      <c r="F349" s="37">
        <v>3.0</v>
      </c>
      <c r="G349" s="30" t="s">
        <v>1408</v>
      </c>
      <c r="H349" s="10"/>
      <c r="I349" s="37" t="s">
        <v>280</v>
      </c>
      <c r="J349" s="7"/>
      <c r="K349" s="7"/>
      <c r="L349" s="7"/>
      <c r="M349" s="7"/>
      <c r="N349" s="7">
        <f t="shared" si="3"/>
        <v>1</v>
      </c>
      <c r="O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22"/>
      <c r="B351" s="7"/>
      <c r="C351" s="7"/>
      <c r="D351" s="7"/>
      <c r="E351" s="7"/>
      <c r="F351" s="7"/>
      <c r="G351" s="7"/>
      <c r="H351" s="7"/>
      <c r="I351" s="7"/>
      <c r="J351" s="7"/>
      <c r="K351" s="7"/>
      <c r="L351" s="7"/>
      <c r="M351" s="7"/>
      <c r="N351" s="7"/>
      <c r="O351" s="7">
        <f>SUM(N333:N350)</f>
        <v>17</v>
      </c>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f>SUM(O351,O331,O133)</f>
        <v>233</v>
      </c>
      <c r="O361" s="7"/>
      <c r="P361" s="7"/>
      <c r="Q361" s="7"/>
      <c r="R361" s="7"/>
      <c r="S361" s="7"/>
      <c r="T361" s="7"/>
      <c r="U361" s="7"/>
      <c r="V361" s="7"/>
      <c r="W361" s="7"/>
      <c r="X361" s="7"/>
      <c r="Y361" s="7"/>
      <c r="Z361" s="7"/>
    </row>
    <row r="362">
      <c r="A362" s="39" t="s">
        <v>1440</v>
      </c>
      <c r="B362" s="40"/>
      <c r="C362" s="41" t="s">
        <v>1441</v>
      </c>
      <c r="D362" s="42"/>
      <c r="E362" s="43" t="s">
        <v>1442</v>
      </c>
      <c r="F362" s="43" t="s">
        <v>1443</v>
      </c>
      <c r="G362" s="44" t="s">
        <v>1444</v>
      </c>
      <c r="H362" s="45"/>
      <c r="I362" s="46"/>
      <c r="J362" s="47" t="s">
        <v>1445</v>
      </c>
      <c r="K362" s="7"/>
      <c r="L362" s="7"/>
      <c r="M362" s="7"/>
      <c r="N362" s="7">
        <f>COUNT(N2:N349)</f>
        <v>343</v>
      </c>
      <c r="O362" s="22"/>
    </row>
    <row r="363">
      <c r="A363" s="48" t="s">
        <v>1446</v>
      </c>
      <c r="B363" s="10"/>
      <c r="C363" s="49" t="s">
        <v>1447</v>
      </c>
      <c r="D363" s="50"/>
      <c r="E363" s="51" t="s">
        <v>1448</v>
      </c>
      <c r="F363" s="51">
        <v>0.3</v>
      </c>
      <c r="G363" s="52" t="s">
        <v>1449</v>
      </c>
      <c r="H363" s="13"/>
      <c r="I363" s="10"/>
      <c r="J363" s="6" t="s">
        <v>1450</v>
      </c>
      <c r="K363" s="7"/>
      <c r="L363" s="7"/>
      <c r="M363" s="7"/>
      <c r="N363" s="7">
        <f>N361/N362</f>
        <v>0.6793002915</v>
      </c>
      <c r="O363" s="7"/>
    </row>
    <row r="364">
      <c r="A364" s="53" t="s">
        <v>1452</v>
      </c>
      <c r="B364" s="54"/>
      <c r="C364" s="55" t="s">
        <v>1447</v>
      </c>
      <c r="D364" s="50"/>
      <c r="E364" s="56" t="s">
        <v>1448</v>
      </c>
      <c r="F364" s="56">
        <v>2.0</v>
      </c>
      <c r="G364" s="57"/>
      <c r="H364" s="58"/>
      <c r="I364" s="54"/>
      <c r="J364" s="6" t="s">
        <v>589</v>
      </c>
      <c r="K364" s="7"/>
      <c r="L364" s="7"/>
      <c r="M364" s="7"/>
      <c r="N364" s="7"/>
      <c r="O364" s="7"/>
    </row>
    <row r="365">
      <c r="A365" s="48" t="s">
        <v>1453</v>
      </c>
      <c r="B365" s="10"/>
      <c r="C365" s="49" t="s">
        <v>1454</v>
      </c>
      <c r="D365" s="50"/>
      <c r="E365" s="51" t="s">
        <v>1448</v>
      </c>
      <c r="F365" s="51">
        <v>10.0</v>
      </c>
      <c r="G365" s="52"/>
      <c r="H365" s="13"/>
      <c r="I365" s="10"/>
      <c r="J365" s="6" t="s">
        <v>584</v>
      </c>
      <c r="K365" s="7"/>
      <c r="L365" s="7"/>
      <c r="M365" s="7"/>
      <c r="N365" s="7"/>
      <c r="O365" s="7"/>
    </row>
    <row r="366">
      <c r="A366" s="48" t="s">
        <v>1455</v>
      </c>
      <c r="B366" s="10"/>
      <c r="C366" s="49" t="s">
        <v>1456</v>
      </c>
      <c r="D366" s="50"/>
      <c r="E366" s="51" t="s">
        <v>1448</v>
      </c>
      <c r="F366" s="51">
        <v>20.0</v>
      </c>
      <c r="G366" s="52"/>
      <c r="H366" s="13"/>
      <c r="I366" s="10"/>
      <c r="J366" s="6" t="s">
        <v>584</v>
      </c>
      <c r="K366" s="7"/>
      <c r="L366" s="7"/>
      <c r="M366" s="7"/>
      <c r="N366" s="7"/>
      <c r="O366" s="7"/>
    </row>
    <row r="367">
      <c r="A367" s="48" t="s">
        <v>1457</v>
      </c>
      <c r="B367" s="10"/>
      <c r="C367" s="49" t="s">
        <v>1456</v>
      </c>
      <c r="D367" s="50"/>
      <c r="E367" s="51" t="s">
        <v>1448</v>
      </c>
      <c r="F367" s="51">
        <v>30.0</v>
      </c>
      <c r="G367" s="52"/>
      <c r="H367" s="13"/>
      <c r="I367" s="10"/>
      <c r="J367" s="6" t="s">
        <v>584</v>
      </c>
      <c r="K367" s="7"/>
      <c r="L367" s="7"/>
      <c r="M367" s="7"/>
      <c r="N367" s="7"/>
      <c r="O367" s="7"/>
    </row>
    <row r="368">
      <c r="A368" s="48" t="s">
        <v>1458</v>
      </c>
      <c r="B368" s="10"/>
      <c r="C368" s="49" t="s">
        <v>1447</v>
      </c>
      <c r="D368" s="50"/>
      <c r="E368" s="51" t="s">
        <v>1448</v>
      </c>
      <c r="F368" s="51">
        <v>1.0</v>
      </c>
      <c r="G368" s="52"/>
      <c r="H368" s="13"/>
      <c r="I368" s="10"/>
      <c r="J368" s="6" t="s">
        <v>589</v>
      </c>
      <c r="K368" s="7"/>
      <c r="L368" s="7"/>
      <c r="M368" s="7"/>
      <c r="N368" s="7"/>
      <c r="O368" s="7"/>
    </row>
    <row r="369">
      <c r="A369" s="48" t="s">
        <v>1459</v>
      </c>
      <c r="B369" s="10"/>
      <c r="C369" s="49" t="s">
        <v>1447</v>
      </c>
      <c r="D369" s="50"/>
      <c r="E369" s="51" t="s">
        <v>1448</v>
      </c>
      <c r="F369" s="51">
        <v>4.0</v>
      </c>
      <c r="G369" s="52"/>
      <c r="H369" s="13"/>
      <c r="I369" s="10"/>
      <c r="J369" s="6" t="s">
        <v>589</v>
      </c>
      <c r="K369" s="7"/>
      <c r="L369" s="7"/>
      <c r="M369" s="7"/>
      <c r="N369" s="7"/>
      <c r="O369" s="7"/>
    </row>
    <row r="370">
      <c r="A370" s="48" t="s">
        <v>1460</v>
      </c>
      <c r="B370" s="10"/>
      <c r="C370" s="49" t="s">
        <v>1463</v>
      </c>
      <c r="D370" s="50"/>
      <c r="E370" s="51" t="s">
        <v>1448</v>
      </c>
      <c r="F370" s="51">
        <v>50.0</v>
      </c>
      <c r="G370" s="52"/>
      <c r="H370" s="13"/>
      <c r="I370" s="10"/>
      <c r="J370" s="6" t="s">
        <v>584</v>
      </c>
      <c r="K370" s="7"/>
      <c r="L370" s="7"/>
      <c r="M370" s="7"/>
      <c r="N370" s="7"/>
      <c r="O370" s="7"/>
    </row>
    <row r="371">
      <c r="A371" s="48" t="s">
        <v>1464</v>
      </c>
      <c r="B371" s="10"/>
      <c r="C371" s="49" t="s">
        <v>1447</v>
      </c>
      <c r="D371" s="50"/>
      <c r="E371" s="51" t="s">
        <v>1448</v>
      </c>
      <c r="F371" s="51">
        <v>2.0</v>
      </c>
      <c r="G371" s="52"/>
      <c r="H371" s="13"/>
      <c r="I371" s="10"/>
      <c r="J371" s="6" t="s">
        <v>589</v>
      </c>
      <c r="K371" s="7"/>
      <c r="L371" s="7"/>
      <c r="M371" s="7"/>
      <c r="N371" s="7"/>
      <c r="O371" s="7"/>
    </row>
    <row r="372">
      <c r="A372" s="48" t="s">
        <v>1180</v>
      </c>
      <c r="B372" s="10"/>
      <c r="C372" s="49"/>
      <c r="D372" s="50"/>
      <c r="E372" s="51" t="s">
        <v>1448</v>
      </c>
      <c r="F372" s="51">
        <v>50.0</v>
      </c>
      <c r="G372" s="52" t="s">
        <v>1465</v>
      </c>
      <c r="H372" s="13"/>
      <c r="I372" s="10"/>
      <c r="J372" s="6" t="s">
        <v>584</v>
      </c>
      <c r="K372" s="7"/>
      <c r="L372" s="7"/>
      <c r="M372" s="7"/>
      <c r="N372" s="7"/>
      <c r="O372" s="7"/>
    </row>
    <row r="373">
      <c r="A373" s="48" t="s">
        <v>1466</v>
      </c>
      <c r="B373" s="10"/>
      <c r="C373" s="49" t="s">
        <v>1463</v>
      </c>
      <c r="D373" s="50"/>
      <c r="E373" s="51" t="s">
        <v>1448</v>
      </c>
      <c r="F373" s="51">
        <v>30.0</v>
      </c>
      <c r="G373" s="52"/>
      <c r="H373" s="13"/>
      <c r="I373" s="10"/>
      <c r="J373" s="6" t="s">
        <v>584</v>
      </c>
      <c r="K373" s="7"/>
      <c r="L373" s="7"/>
      <c r="M373" s="7"/>
      <c r="N373" s="7"/>
      <c r="O373" s="7"/>
    </row>
    <row r="374">
      <c r="A374" s="48" t="s">
        <v>1467</v>
      </c>
      <c r="B374" s="10"/>
      <c r="C374" s="49" t="s">
        <v>1447</v>
      </c>
      <c r="D374" s="50"/>
      <c r="E374" s="51" t="s">
        <v>1448</v>
      </c>
      <c r="F374" s="51">
        <v>3.0</v>
      </c>
      <c r="G374" s="52"/>
      <c r="H374" s="13"/>
      <c r="I374" s="10"/>
      <c r="J374" s="6" t="s">
        <v>584</v>
      </c>
      <c r="K374" s="7"/>
      <c r="L374" s="7"/>
      <c r="M374" s="7"/>
      <c r="N374" s="7"/>
      <c r="O374" s="7"/>
    </row>
    <row r="375">
      <c r="A375" s="48" t="s">
        <v>1468</v>
      </c>
      <c r="B375" s="10"/>
      <c r="C375" s="59"/>
      <c r="D375" s="50"/>
      <c r="E375" s="51" t="s">
        <v>1469</v>
      </c>
      <c r="F375" s="51" t="s">
        <v>1470</v>
      </c>
      <c r="G375" s="52" t="s">
        <v>1471</v>
      </c>
      <c r="H375" s="13"/>
      <c r="I375" s="10"/>
      <c r="J375" s="6" t="s">
        <v>589</v>
      </c>
      <c r="K375" s="7"/>
      <c r="L375" s="7"/>
      <c r="M375" s="7"/>
      <c r="N375" s="7"/>
      <c r="O375" s="7"/>
    </row>
    <row r="376">
      <c r="A376" s="48" t="s">
        <v>1472</v>
      </c>
      <c r="B376" s="10"/>
      <c r="C376" s="59"/>
      <c r="D376" s="50"/>
      <c r="E376" s="51" t="s">
        <v>1473</v>
      </c>
      <c r="F376" s="51" t="s">
        <v>1474</v>
      </c>
      <c r="G376" s="52" t="s">
        <v>1475</v>
      </c>
      <c r="H376" s="13"/>
      <c r="I376" s="10"/>
      <c r="J376" s="6" t="s">
        <v>1450</v>
      </c>
      <c r="K376" s="7"/>
      <c r="L376" s="7"/>
      <c r="M376" s="7"/>
      <c r="N376" s="7"/>
      <c r="O376" s="7"/>
    </row>
    <row r="377">
      <c r="A377" s="48" t="s">
        <v>1476</v>
      </c>
      <c r="B377" s="10"/>
      <c r="C377" s="59"/>
      <c r="D377" s="50"/>
      <c r="E377" s="51" t="s">
        <v>1477</v>
      </c>
      <c r="F377" s="51" t="s">
        <v>710</v>
      </c>
      <c r="G377" s="52" t="s">
        <v>1478</v>
      </c>
      <c r="H377" s="13"/>
      <c r="I377" s="10"/>
      <c r="J377" s="6" t="s">
        <v>584</v>
      </c>
      <c r="K377" s="7"/>
      <c r="L377" s="7"/>
      <c r="M377" s="7"/>
      <c r="N377" s="7"/>
      <c r="O377" s="7"/>
    </row>
    <row r="378">
      <c r="A378" s="48" t="s">
        <v>1479</v>
      </c>
      <c r="B378" s="10"/>
      <c r="C378" s="49" t="s">
        <v>1480</v>
      </c>
      <c r="D378" s="50"/>
      <c r="E378" s="51" t="s">
        <v>1482</v>
      </c>
      <c r="F378" s="51">
        <v>0.03</v>
      </c>
      <c r="G378" s="52" t="s">
        <v>1483</v>
      </c>
      <c r="H378" s="13"/>
      <c r="I378" s="10"/>
      <c r="J378" s="6" t="s">
        <v>589</v>
      </c>
      <c r="K378" s="7"/>
      <c r="L378" s="7"/>
      <c r="M378" s="7"/>
      <c r="N378" s="7"/>
      <c r="O378" s="7"/>
    </row>
    <row r="379">
      <c r="A379" s="48" t="s">
        <v>1484</v>
      </c>
      <c r="B379" s="10"/>
      <c r="C379" s="49" t="s">
        <v>1485</v>
      </c>
      <c r="D379" s="60"/>
      <c r="E379" s="51" t="s">
        <v>1486</v>
      </c>
      <c r="F379" s="51">
        <v>20.0</v>
      </c>
      <c r="G379" s="52" t="s">
        <v>1487</v>
      </c>
      <c r="H379" s="13"/>
      <c r="I379" s="10"/>
      <c r="J379" s="6" t="s">
        <v>584</v>
      </c>
      <c r="K379" s="7"/>
      <c r="L379" s="7"/>
      <c r="M379" s="7"/>
      <c r="N379" s="7"/>
      <c r="O379" s="7"/>
    </row>
    <row r="380">
      <c r="A380" s="48" t="s">
        <v>1488</v>
      </c>
      <c r="B380" s="10"/>
      <c r="C380" s="49" t="s">
        <v>1447</v>
      </c>
      <c r="D380" s="60"/>
      <c r="E380" s="51" t="s">
        <v>1489</v>
      </c>
      <c r="F380" s="51">
        <v>20.0</v>
      </c>
      <c r="G380" s="52" t="s">
        <v>1490</v>
      </c>
      <c r="H380" s="13"/>
      <c r="I380" s="10"/>
      <c r="J380" s="6" t="s">
        <v>1450</v>
      </c>
      <c r="K380" s="7"/>
      <c r="L380" s="7"/>
      <c r="M380" s="7"/>
      <c r="N380" s="7"/>
      <c r="O380" s="7"/>
    </row>
    <row r="381">
      <c r="A381" s="48" t="s">
        <v>1491</v>
      </c>
      <c r="B381" s="10"/>
      <c r="C381" s="49" t="s">
        <v>1447</v>
      </c>
      <c r="D381" s="60"/>
      <c r="E381" s="51" t="s">
        <v>1492</v>
      </c>
      <c r="F381" s="51">
        <v>30.0</v>
      </c>
      <c r="G381" s="52" t="s">
        <v>1493</v>
      </c>
      <c r="H381" s="13"/>
      <c r="I381" s="10"/>
      <c r="J381" s="6" t="s">
        <v>1450</v>
      </c>
      <c r="K381" s="7"/>
      <c r="L381" s="7"/>
      <c r="M381" s="7"/>
      <c r="N381" s="7"/>
      <c r="O381" s="7"/>
    </row>
    <row r="382">
      <c r="A382" s="48" t="s">
        <v>1494</v>
      </c>
      <c r="B382" s="10"/>
      <c r="C382" s="59"/>
      <c r="D382" s="60"/>
      <c r="E382" s="51" t="s">
        <v>1495</v>
      </c>
      <c r="F382" s="51" t="s">
        <v>1496</v>
      </c>
      <c r="G382" s="52" t="s">
        <v>1497</v>
      </c>
      <c r="H382" s="13"/>
      <c r="I382" s="10"/>
      <c r="J382" s="6" t="s">
        <v>1450</v>
      </c>
      <c r="K382" s="7"/>
      <c r="L382" s="7"/>
      <c r="M382" s="7"/>
      <c r="N382" s="7"/>
      <c r="O382" s="7"/>
    </row>
    <row r="383">
      <c r="A383" s="48" t="s">
        <v>188</v>
      </c>
      <c r="B383" s="10"/>
      <c r="C383" s="49" t="s">
        <v>1463</v>
      </c>
      <c r="D383" s="60"/>
      <c r="E383" s="51" t="s">
        <v>1498</v>
      </c>
      <c r="F383" s="51" t="s">
        <v>1470</v>
      </c>
      <c r="G383" s="52" t="s">
        <v>1499</v>
      </c>
      <c r="H383" s="13"/>
      <c r="I383" s="10"/>
      <c r="J383" s="6" t="s">
        <v>1450</v>
      </c>
      <c r="K383" s="7"/>
      <c r="L383" s="7"/>
      <c r="M383" s="7"/>
      <c r="N383" s="7"/>
      <c r="O383" s="7"/>
    </row>
    <row r="384">
      <c r="A384" s="48" t="s">
        <v>1500</v>
      </c>
      <c r="B384" s="10"/>
      <c r="C384" s="59"/>
      <c r="D384" s="60"/>
      <c r="E384" s="51" t="s">
        <v>1501</v>
      </c>
      <c r="F384" s="51" t="s">
        <v>1470</v>
      </c>
      <c r="G384" s="52" t="s">
        <v>1502</v>
      </c>
      <c r="H384" s="13"/>
      <c r="I384" s="10"/>
      <c r="J384" s="6" t="s">
        <v>589</v>
      </c>
      <c r="K384" s="7"/>
      <c r="L384" s="7"/>
      <c r="M384" s="7"/>
      <c r="N384" s="7"/>
      <c r="O384" s="7"/>
    </row>
    <row r="385">
      <c r="A385" s="48" t="s">
        <v>1144</v>
      </c>
      <c r="B385" s="10"/>
      <c r="C385" s="59"/>
      <c r="D385" s="60"/>
      <c r="E385" s="51" t="s">
        <v>1501</v>
      </c>
      <c r="F385" s="51" t="s">
        <v>1503</v>
      </c>
      <c r="G385" s="61"/>
      <c r="H385" s="58"/>
      <c r="I385" s="54"/>
      <c r="J385" s="6" t="s">
        <v>589</v>
      </c>
      <c r="K385" s="7"/>
      <c r="L385" s="7"/>
      <c r="M385" s="7"/>
      <c r="N385" s="7"/>
      <c r="O385" s="7"/>
    </row>
    <row r="386">
      <c r="A386" s="48" t="s">
        <v>1504</v>
      </c>
      <c r="B386" s="10"/>
      <c r="C386" s="49" t="s">
        <v>1505</v>
      </c>
      <c r="D386" s="60"/>
      <c r="E386" s="51" t="s">
        <v>1506</v>
      </c>
      <c r="F386" s="51">
        <v>1.2</v>
      </c>
      <c r="G386" s="52" t="s">
        <v>1507</v>
      </c>
      <c r="H386" s="13"/>
      <c r="I386" s="10"/>
      <c r="J386" s="6" t="s">
        <v>589</v>
      </c>
      <c r="K386" s="7"/>
      <c r="L386" s="7"/>
      <c r="M386" s="7"/>
      <c r="N386" s="7"/>
      <c r="O386" s="7"/>
    </row>
    <row r="387">
      <c r="A387" s="48" t="s">
        <v>1419</v>
      </c>
      <c r="B387" s="10"/>
      <c r="C387" s="59"/>
      <c r="D387" s="60"/>
      <c r="E387" s="51" t="s">
        <v>1501</v>
      </c>
      <c r="F387" s="51" t="s">
        <v>1496</v>
      </c>
      <c r="G387" s="52" t="s">
        <v>1508</v>
      </c>
      <c r="H387" s="13"/>
      <c r="I387" s="10"/>
      <c r="J387" s="6" t="s">
        <v>584</v>
      </c>
      <c r="K387" s="7"/>
      <c r="L387" s="7"/>
      <c r="M387" s="7"/>
      <c r="N387" s="7"/>
      <c r="O387" s="7"/>
    </row>
    <row r="388">
      <c r="A388" s="48" t="s">
        <v>1509</v>
      </c>
      <c r="B388" s="10"/>
      <c r="C388" s="49"/>
      <c r="D388" s="60"/>
      <c r="E388" s="51" t="s">
        <v>1501</v>
      </c>
      <c r="F388" s="51"/>
      <c r="G388" s="52" t="s">
        <v>1510</v>
      </c>
      <c r="H388" s="13"/>
      <c r="I388" s="10"/>
      <c r="J388" s="6" t="s">
        <v>1450</v>
      </c>
      <c r="K388" s="7"/>
      <c r="L388" s="7"/>
      <c r="M388" s="7"/>
      <c r="N388" s="7"/>
      <c r="O388" s="7"/>
    </row>
    <row r="389">
      <c r="A389" s="48" t="s">
        <v>1511</v>
      </c>
      <c r="B389" s="10"/>
      <c r="C389" s="49" t="s">
        <v>1512</v>
      </c>
      <c r="D389" s="60"/>
      <c r="E389" s="51" t="s">
        <v>1513</v>
      </c>
      <c r="F389" s="51">
        <v>10.0</v>
      </c>
      <c r="G389" s="52" t="s">
        <v>1514</v>
      </c>
      <c r="H389" s="13"/>
      <c r="I389" s="10"/>
      <c r="J389" s="6" t="s">
        <v>584</v>
      </c>
      <c r="K389" s="7"/>
      <c r="L389" s="7"/>
      <c r="M389" s="7"/>
      <c r="N389" s="7"/>
      <c r="O389" s="7"/>
    </row>
    <row r="390">
      <c r="A390" s="48" t="s">
        <v>1515</v>
      </c>
      <c r="B390" s="10"/>
      <c r="C390" s="49" t="s">
        <v>1516</v>
      </c>
      <c r="D390" s="50" t="s">
        <v>1517</v>
      </c>
      <c r="E390" s="51" t="s">
        <v>1482</v>
      </c>
      <c r="F390" s="51" t="s">
        <v>1519</v>
      </c>
      <c r="G390" s="52" t="s">
        <v>1520</v>
      </c>
      <c r="H390" s="13"/>
      <c r="I390" s="10"/>
      <c r="J390" s="6" t="s">
        <v>589</v>
      </c>
      <c r="K390" s="7"/>
      <c r="L390" s="7"/>
      <c r="M390" s="7"/>
      <c r="N390" s="7"/>
      <c r="O390" s="7"/>
    </row>
    <row r="391">
      <c r="A391" s="48" t="s">
        <v>1521</v>
      </c>
      <c r="B391" s="10"/>
      <c r="C391" s="49" t="s">
        <v>1522</v>
      </c>
      <c r="D391" s="62" t="s">
        <v>1523</v>
      </c>
      <c r="E391" s="51" t="s">
        <v>1501</v>
      </c>
      <c r="F391" s="51" t="s">
        <v>1524</v>
      </c>
      <c r="G391" s="52"/>
      <c r="H391" s="13"/>
      <c r="I391" s="10"/>
      <c r="J391" s="6" t="s">
        <v>584</v>
      </c>
      <c r="K391" s="7"/>
      <c r="L391" s="7"/>
      <c r="M391" s="7"/>
      <c r="N391" s="7"/>
      <c r="O391" s="7"/>
    </row>
    <row r="392">
      <c r="A392" s="48" t="s">
        <v>1525</v>
      </c>
      <c r="B392" s="10"/>
      <c r="C392" s="49" t="s">
        <v>1526</v>
      </c>
      <c r="D392" s="60"/>
      <c r="E392" s="51" t="s">
        <v>1527</v>
      </c>
      <c r="F392" s="51" t="s">
        <v>1528</v>
      </c>
      <c r="G392" s="52" t="s">
        <v>1529</v>
      </c>
      <c r="H392" s="13"/>
      <c r="I392" s="10"/>
      <c r="J392" s="6" t="s">
        <v>1450</v>
      </c>
      <c r="K392" s="7"/>
      <c r="L392" s="7"/>
      <c r="M392" s="7"/>
      <c r="N392" s="7"/>
      <c r="O392" s="7"/>
    </row>
    <row r="393">
      <c r="A393" s="48" t="s">
        <v>1530</v>
      </c>
      <c r="B393" s="10"/>
      <c r="C393" s="49" t="s">
        <v>1526</v>
      </c>
      <c r="D393" s="60"/>
      <c r="E393" s="51" t="s">
        <v>1527</v>
      </c>
      <c r="F393" s="51" t="s">
        <v>1531</v>
      </c>
      <c r="G393" s="52" t="s">
        <v>1532</v>
      </c>
      <c r="H393" s="13"/>
      <c r="I393" s="10"/>
      <c r="J393" s="6" t="s">
        <v>1450</v>
      </c>
      <c r="K393" s="7"/>
      <c r="L393" s="7"/>
      <c r="M393" s="7"/>
      <c r="N393" s="7"/>
      <c r="O393" s="7"/>
    </row>
    <row r="394">
      <c r="A394" s="48" t="s">
        <v>1533</v>
      </c>
      <c r="B394" s="10"/>
      <c r="C394" s="49" t="s">
        <v>1534</v>
      </c>
      <c r="D394" s="60"/>
      <c r="E394" s="51" t="s">
        <v>1535</v>
      </c>
      <c r="F394" s="51">
        <v>3.0</v>
      </c>
      <c r="G394" s="52" t="s">
        <v>1536</v>
      </c>
      <c r="H394" s="13"/>
      <c r="I394" s="10"/>
      <c r="J394" s="6" t="s">
        <v>584</v>
      </c>
      <c r="K394" s="7"/>
      <c r="L394" s="7"/>
      <c r="M394" s="7"/>
      <c r="N394" s="7"/>
      <c r="O394" s="7"/>
    </row>
    <row r="395">
      <c r="A395" s="48" t="s">
        <v>1537</v>
      </c>
      <c r="B395" s="10"/>
      <c r="C395" s="49" t="s">
        <v>1538</v>
      </c>
      <c r="D395" s="60"/>
      <c r="E395" s="51" t="s">
        <v>1539</v>
      </c>
      <c r="F395" s="51">
        <v>8.0</v>
      </c>
      <c r="G395" s="52" t="s">
        <v>1540</v>
      </c>
      <c r="H395" s="13"/>
      <c r="I395" s="10"/>
      <c r="J395" s="6" t="s">
        <v>584</v>
      </c>
      <c r="K395" s="7"/>
      <c r="L395" s="7"/>
      <c r="M395" s="7"/>
      <c r="N395" s="7"/>
      <c r="O395" s="7"/>
    </row>
    <row r="396">
      <c r="A396" s="48" t="s">
        <v>1541</v>
      </c>
      <c r="B396" s="10"/>
      <c r="C396" s="49" t="s">
        <v>1542</v>
      </c>
      <c r="D396" s="60"/>
      <c r="E396" s="51" t="s">
        <v>1543</v>
      </c>
      <c r="F396" s="51">
        <v>2.0</v>
      </c>
      <c r="G396" s="52" t="s">
        <v>1544</v>
      </c>
      <c r="H396" s="13"/>
      <c r="I396" s="10"/>
      <c r="J396" s="6" t="s">
        <v>584</v>
      </c>
      <c r="K396" s="7"/>
      <c r="L396" s="7"/>
      <c r="M396" s="7"/>
      <c r="N396" s="7"/>
      <c r="O396" s="7"/>
    </row>
    <row r="397">
      <c r="A397" s="48" t="s">
        <v>1545</v>
      </c>
      <c r="B397" s="10"/>
      <c r="C397" s="49" t="s">
        <v>1546</v>
      </c>
      <c r="D397" s="60"/>
      <c r="E397" s="51" t="s">
        <v>1547</v>
      </c>
      <c r="F397" s="51">
        <v>5.0</v>
      </c>
      <c r="G397" s="52" t="s">
        <v>1548</v>
      </c>
      <c r="H397" s="13"/>
      <c r="I397" s="10"/>
      <c r="J397" s="6" t="s">
        <v>584</v>
      </c>
      <c r="K397" s="7"/>
      <c r="L397" s="7"/>
      <c r="M397" s="7"/>
      <c r="N397" s="7"/>
      <c r="O397" s="7"/>
    </row>
    <row r="398">
      <c r="A398" s="48" t="s">
        <v>1549</v>
      </c>
      <c r="B398" s="10"/>
      <c r="C398" s="49" t="s">
        <v>1550</v>
      </c>
      <c r="D398" s="60"/>
      <c r="E398" s="51" t="s">
        <v>1551</v>
      </c>
      <c r="F398" s="51">
        <v>14.0</v>
      </c>
      <c r="G398" s="52" t="s">
        <v>1552</v>
      </c>
      <c r="H398" s="13"/>
      <c r="I398" s="10"/>
      <c r="J398" s="6" t="s">
        <v>584</v>
      </c>
      <c r="K398" s="7"/>
      <c r="L398" s="7"/>
      <c r="M398" s="7"/>
      <c r="N398" s="7"/>
      <c r="O398" s="7"/>
    </row>
    <row r="399">
      <c r="A399" s="48" t="s">
        <v>1140</v>
      </c>
      <c r="B399" s="10"/>
      <c r="C399" s="59"/>
      <c r="D399" s="50" t="s">
        <v>166</v>
      </c>
      <c r="E399" s="51" t="s">
        <v>1553</v>
      </c>
      <c r="F399" s="51" t="s">
        <v>1554</v>
      </c>
      <c r="G399" s="52" t="s">
        <v>1555</v>
      </c>
      <c r="H399" s="13"/>
      <c r="I399" s="10"/>
      <c r="J399" s="6" t="s">
        <v>584</v>
      </c>
      <c r="K399" s="7"/>
      <c r="L399" s="7"/>
      <c r="M399" s="7"/>
      <c r="N399" s="7"/>
      <c r="O399" s="7"/>
    </row>
    <row r="400">
      <c r="A400" s="48" t="s">
        <v>1556</v>
      </c>
      <c r="B400" s="10"/>
      <c r="C400" s="49" t="s">
        <v>1485</v>
      </c>
      <c r="D400" s="60"/>
      <c r="E400" s="51" t="s">
        <v>1557</v>
      </c>
      <c r="F400" s="51">
        <v>5.0</v>
      </c>
      <c r="G400" s="52" t="s">
        <v>1558</v>
      </c>
      <c r="H400" s="13"/>
      <c r="I400" s="10"/>
      <c r="J400" s="6" t="s">
        <v>584</v>
      </c>
      <c r="K400" s="7"/>
      <c r="L400" s="7"/>
      <c r="M400" s="7"/>
      <c r="N400" s="7"/>
      <c r="O400" s="7"/>
    </row>
    <row r="401">
      <c r="A401" s="48" t="s">
        <v>912</v>
      </c>
      <c r="B401" s="10"/>
      <c r="C401" s="59"/>
      <c r="D401" s="60"/>
      <c r="E401" s="51" t="s">
        <v>1559</v>
      </c>
      <c r="F401" s="51" t="s">
        <v>1554</v>
      </c>
      <c r="G401" s="52" t="s">
        <v>1560</v>
      </c>
      <c r="H401" s="13"/>
      <c r="I401" s="10"/>
      <c r="J401" s="6" t="s">
        <v>584</v>
      </c>
      <c r="K401" s="7"/>
      <c r="L401" s="7"/>
      <c r="M401" s="7"/>
      <c r="N401" s="7"/>
      <c r="O401" s="7"/>
    </row>
    <row r="402">
      <c r="A402" s="48" t="s">
        <v>154</v>
      </c>
      <c r="B402" s="10"/>
      <c r="C402" s="59"/>
      <c r="D402" s="60"/>
      <c r="E402" s="51" t="s">
        <v>1561</v>
      </c>
      <c r="F402" s="51" t="s">
        <v>710</v>
      </c>
      <c r="G402" s="52" t="s">
        <v>1562</v>
      </c>
      <c r="H402" s="13"/>
      <c r="I402" s="10"/>
      <c r="J402" s="6" t="s">
        <v>584</v>
      </c>
      <c r="K402" s="7"/>
      <c r="L402" s="7"/>
      <c r="M402" s="7"/>
      <c r="N402" s="7"/>
      <c r="O402" s="7"/>
    </row>
    <row r="403">
      <c r="A403" s="48" t="s">
        <v>1563</v>
      </c>
      <c r="B403" s="10"/>
      <c r="C403" s="59"/>
      <c r="D403" s="60"/>
      <c r="E403" s="51" t="s">
        <v>1561</v>
      </c>
      <c r="F403" s="51" t="s">
        <v>710</v>
      </c>
      <c r="G403" s="52" t="s">
        <v>1564</v>
      </c>
      <c r="H403" s="13"/>
      <c r="I403" s="10"/>
      <c r="J403" s="6" t="s">
        <v>584</v>
      </c>
      <c r="K403" s="7"/>
      <c r="L403" s="7"/>
      <c r="M403" s="7"/>
      <c r="N403" s="7"/>
      <c r="O403" s="7"/>
    </row>
    <row r="404">
      <c r="A404" s="48" t="s">
        <v>1565</v>
      </c>
      <c r="B404" s="10"/>
      <c r="C404" s="59"/>
      <c r="D404" s="60"/>
      <c r="E404" s="51" t="s">
        <v>1561</v>
      </c>
      <c r="F404" s="51" t="s">
        <v>710</v>
      </c>
      <c r="G404" s="52" t="s">
        <v>1566</v>
      </c>
      <c r="H404" s="13"/>
      <c r="I404" s="10"/>
      <c r="J404" s="6" t="s">
        <v>584</v>
      </c>
      <c r="K404" s="7"/>
      <c r="L404" s="7"/>
      <c r="M404" s="7"/>
      <c r="N404" s="7"/>
      <c r="O404" s="7"/>
    </row>
    <row r="405">
      <c r="A405" s="48" t="s">
        <v>1567</v>
      </c>
      <c r="B405" s="10"/>
      <c r="C405" s="59"/>
      <c r="D405" s="60"/>
      <c r="E405" s="51" t="s">
        <v>1568</v>
      </c>
      <c r="F405" s="51" t="s">
        <v>1554</v>
      </c>
      <c r="G405" s="52" t="s">
        <v>1569</v>
      </c>
      <c r="H405" s="13"/>
      <c r="I405" s="10"/>
      <c r="J405" s="6" t="s">
        <v>584</v>
      </c>
      <c r="K405" s="7"/>
      <c r="L405" s="7"/>
      <c r="M405" s="7"/>
      <c r="N405" s="7"/>
      <c r="O405" s="7"/>
    </row>
    <row r="406">
      <c r="A406" s="48" t="s">
        <v>31</v>
      </c>
      <c r="B406" s="10"/>
      <c r="C406" s="59"/>
      <c r="D406" s="60"/>
      <c r="E406" s="51" t="s">
        <v>1570</v>
      </c>
      <c r="F406" s="51"/>
      <c r="G406" s="52" t="s">
        <v>1571</v>
      </c>
      <c r="H406" s="13"/>
      <c r="I406" s="10"/>
      <c r="J406" s="6" t="s">
        <v>584</v>
      </c>
      <c r="K406" s="7"/>
      <c r="L406" s="7"/>
      <c r="M406" s="7"/>
      <c r="N406" s="7"/>
      <c r="O406" s="7"/>
    </row>
    <row r="407">
      <c r="A407" s="48" t="s">
        <v>722</v>
      </c>
      <c r="B407" s="10"/>
      <c r="C407" s="59"/>
      <c r="D407" s="60"/>
      <c r="E407" s="51" t="s">
        <v>1572</v>
      </c>
      <c r="F407" s="51" t="s">
        <v>1573</v>
      </c>
      <c r="G407" s="52" t="s">
        <v>1574</v>
      </c>
      <c r="H407" s="13"/>
      <c r="I407" s="10"/>
      <c r="J407" s="6" t="s">
        <v>584</v>
      </c>
      <c r="K407" s="7"/>
      <c r="L407" s="7"/>
      <c r="M407" s="7"/>
      <c r="N407" s="7"/>
      <c r="O407" s="7"/>
    </row>
    <row r="408">
      <c r="A408" s="48" t="s">
        <v>1575</v>
      </c>
      <c r="B408" s="10"/>
      <c r="C408" s="49" t="s">
        <v>1576</v>
      </c>
      <c r="D408" s="60"/>
      <c r="E408" s="51" t="s">
        <v>1501</v>
      </c>
      <c r="F408" s="51"/>
      <c r="G408" s="52" t="s">
        <v>1577</v>
      </c>
      <c r="H408" s="13"/>
      <c r="I408" s="10"/>
      <c r="J408" s="6" t="s">
        <v>1450</v>
      </c>
      <c r="K408" s="7"/>
      <c r="L408" s="7"/>
      <c r="M408" s="7"/>
      <c r="N408" s="7"/>
      <c r="O408" s="7"/>
    </row>
    <row r="409">
      <c r="A409" s="63" t="s">
        <v>1578</v>
      </c>
      <c r="B409" s="10"/>
      <c r="C409" s="49" t="s">
        <v>1580</v>
      </c>
      <c r="D409" s="60"/>
      <c r="E409" s="51" t="s">
        <v>1581</v>
      </c>
      <c r="F409" s="51"/>
      <c r="G409" s="52" t="s">
        <v>1582</v>
      </c>
      <c r="H409" s="13"/>
      <c r="I409" s="10"/>
      <c r="J409" s="6" t="s">
        <v>584</v>
      </c>
      <c r="K409" s="7"/>
      <c r="L409" s="7"/>
      <c r="M409" s="7"/>
      <c r="N409" s="7"/>
      <c r="O409" s="7"/>
    </row>
    <row r="410">
      <c r="A410" s="63" t="s">
        <v>1583</v>
      </c>
      <c r="B410" s="10"/>
      <c r="C410" s="49"/>
      <c r="D410" s="60"/>
      <c r="E410" s="51" t="s">
        <v>1501</v>
      </c>
      <c r="F410" s="51"/>
      <c r="G410" s="52" t="s">
        <v>1584</v>
      </c>
      <c r="H410" s="13"/>
      <c r="I410" s="10"/>
      <c r="J410" s="6" t="s">
        <v>584</v>
      </c>
      <c r="K410" s="7"/>
      <c r="L410" s="7"/>
      <c r="M410" s="7"/>
      <c r="N410" s="7"/>
      <c r="O410" s="7"/>
    </row>
    <row r="411">
      <c r="A411" s="63" t="s">
        <v>1585</v>
      </c>
      <c r="B411" s="10"/>
      <c r="C411" s="49"/>
      <c r="D411" s="60"/>
      <c r="E411" s="51" t="s">
        <v>1501</v>
      </c>
      <c r="F411" s="51"/>
      <c r="G411" s="52" t="s">
        <v>1586</v>
      </c>
      <c r="H411" s="13"/>
      <c r="I411" s="10"/>
      <c r="J411" s="6" t="s">
        <v>584</v>
      </c>
      <c r="K411" s="7"/>
      <c r="L411" s="7"/>
      <c r="M411" s="7"/>
      <c r="N411" s="7"/>
      <c r="O411" s="7"/>
    </row>
    <row r="412">
      <c r="A412" s="63" t="s">
        <v>111</v>
      </c>
      <c r="B412" s="10"/>
      <c r="C412" s="49"/>
      <c r="D412" s="60"/>
      <c r="E412" s="51" t="s">
        <v>1501</v>
      </c>
      <c r="F412" s="51"/>
      <c r="G412" s="52" t="s">
        <v>1587</v>
      </c>
      <c r="H412" s="13"/>
      <c r="I412" s="10"/>
      <c r="J412" s="6" t="s">
        <v>584</v>
      </c>
      <c r="K412" s="7"/>
      <c r="L412" s="7"/>
      <c r="M412" s="7"/>
      <c r="N412" s="7"/>
      <c r="O412" s="7"/>
    </row>
    <row r="413">
      <c r="A413" s="63" t="s">
        <v>1588</v>
      </c>
      <c r="B413" s="10"/>
      <c r="C413" s="49"/>
      <c r="D413" s="60"/>
      <c r="E413" s="51" t="s">
        <v>1501</v>
      </c>
      <c r="F413" s="51"/>
      <c r="G413" s="52" t="s">
        <v>1590</v>
      </c>
      <c r="H413" s="13"/>
      <c r="I413" s="10"/>
      <c r="J413" s="6" t="s">
        <v>584</v>
      </c>
      <c r="K413" s="7"/>
      <c r="L413" s="7"/>
      <c r="M413" s="7"/>
      <c r="N413" s="7"/>
      <c r="O413" s="7"/>
    </row>
    <row r="414">
      <c r="A414" s="63" t="s">
        <v>1591</v>
      </c>
      <c r="B414" s="10"/>
      <c r="C414" s="49"/>
      <c r="D414" s="60"/>
      <c r="E414" s="51" t="s">
        <v>1501</v>
      </c>
      <c r="F414" s="51"/>
      <c r="G414" s="52" t="s">
        <v>1592</v>
      </c>
      <c r="H414" s="13"/>
      <c r="I414" s="10"/>
      <c r="J414" s="6" t="s">
        <v>584</v>
      </c>
      <c r="K414" s="7"/>
      <c r="L414" s="7"/>
      <c r="M414" s="7"/>
      <c r="N414" s="7"/>
      <c r="O414" s="7"/>
    </row>
    <row r="415">
      <c r="A415" s="63" t="s">
        <v>1594</v>
      </c>
      <c r="B415" s="10"/>
      <c r="C415" s="49"/>
      <c r="D415" s="60"/>
      <c r="E415" s="51" t="s">
        <v>1501</v>
      </c>
      <c r="F415" s="51"/>
      <c r="G415" s="52" t="s">
        <v>1595</v>
      </c>
      <c r="H415" s="13"/>
      <c r="I415" s="10"/>
      <c r="J415" s="6" t="s">
        <v>584</v>
      </c>
      <c r="K415" s="7"/>
      <c r="L415" s="7"/>
      <c r="M415" s="7"/>
      <c r="N415" s="7"/>
      <c r="O415" s="7"/>
    </row>
    <row r="416">
      <c r="A416" s="63" t="s">
        <v>1597</v>
      </c>
      <c r="B416" s="10"/>
      <c r="C416" s="49"/>
      <c r="D416" s="60"/>
      <c r="E416" s="51" t="s">
        <v>1501</v>
      </c>
      <c r="F416" s="51"/>
      <c r="G416" s="52" t="s">
        <v>1598</v>
      </c>
      <c r="H416" s="13"/>
      <c r="I416" s="10"/>
      <c r="J416" s="6" t="s">
        <v>584</v>
      </c>
      <c r="K416" s="7"/>
      <c r="L416" s="7"/>
      <c r="M416" s="7"/>
      <c r="N416" s="7"/>
      <c r="O416" s="7"/>
    </row>
    <row r="417">
      <c r="A417" s="63" t="s">
        <v>1600</v>
      </c>
      <c r="B417" s="10"/>
      <c r="C417" s="49"/>
      <c r="D417" s="60"/>
      <c r="E417" s="51" t="s">
        <v>1501</v>
      </c>
      <c r="F417" s="51"/>
      <c r="G417" s="52" t="s">
        <v>1601</v>
      </c>
      <c r="H417" s="13"/>
      <c r="I417" s="10"/>
      <c r="J417" s="6" t="s">
        <v>584</v>
      </c>
      <c r="K417" s="7"/>
      <c r="L417" s="7"/>
      <c r="M417" s="7"/>
      <c r="N417" s="7"/>
      <c r="O417" s="7"/>
    </row>
    <row r="418">
      <c r="A418" s="63" t="s">
        <v>1603</v>
      </c>
      <c r="B418" s="10"/>
      <c r="C418" s="49" t="s">
        <v>1604</v>
      </c>
      <c r="D418" s="60"/>
      <c r="E418" s="51" t="s">
        <v>1605</v>
      </c>
      <c r="F418" s="51"/>
      <c r="G418" s="52" t="s">
        <v>1606</v>
      </c>
      <c r="H418" s="13"/>
      <c r="I418" s="10"/>
      <c r="J418" s="6" t="s">
        <v>584</v>
      </c>
      <c r="K418" s="7"/>
      <c r="L418" s="7"/>
      <c r="M418" s="7"/>
      <c r="N418" s="7"/>
      <c r="O418" s="7"/>
    </row>
    <row r="419">
      <c r="A419" s="63" t="s">
        <v>1608</v>
      </c>
      <c r="B419" s="10"/>
      <c r="C419" s="49" t="s">
        <v>1609</v>
      </c>
      <c r="D419" s="60"/>
      <c r="E419" s="51" t="s">
        <v>1501</v>
      </c>
      <c r="F419" s="51"/>
      <c r="G419" s="52" t="s">
        <v>1610</v>
      </c>
      <c r="H419" s="13"/>
      <c r="I419" s="10"/>
      <c r="J419" s="6" t="s">
        <v>584</v>
      </c>
      <c r="K419" s="7"/>
      <c r="L419" s="7"/>
      <c r="M419" s="7"/>
      <c r="N419" s="7"/>
      <c r="O419" s="7"/>
    </row>
    <row r="420">
      <c r="A420" s="63" t="s">
        <v>1612</v>
      </c>
      <c r="B420" s="10"/>
      <c r="C420" s="49"/>
      <c r="D420" s="60"/>
      <c r="E420" s="51" t="s">
        <v>1501</v>
      </c>
      <c r="F420" s="51"/>
      <c r="G420" s="52" t="s">
        <v>1613</v>
      </c>
      <c r="H420" s="13"/>
      <c r="I420" s="10"/>
      <c r="J420" s="6" t="s">
        <v>584</v>
      </c>
      <c r="K420" s="7"/>
      <c r="L420" s="7"/>
      <c r="M420" s="7"/>
      <c r="N420" s="7"/>
      <c r="O420" s="7"/>
    </row>
    <row r="421">
      <c r="A421" s="68" t="s">
        <v>1619</v>
      </c>
      <c r="B421" s="10"/>
      <c r="C421" s="69"/>
      <c r="D421" s="70"/>
      <c r="E421" s="47" t="s">
        <v>1620</v>
      </c>
      <c r="F421" s="47"/>
      <c r="G421" s="71"/>
      <c r="H421" s="13"/>
      <c r="I421" s="10"/>
      <c r="J421" s="72"/>
      <c r="K421" s="7"/>
      <c r="L421" s="7"/>
      <c r="M421" s="7"/>
      <c r="N421" s="7"/>
      <c r="O421" s="7"/>
    </row>
    <row r="422">
      <c r="A422" s="48" t="s">
        <v>1621</v>
      </c>
      <c r="B422" s="10"/>
      <c r="C422" s="59"/>
      <c r="D422" s="60"/>
      <c r="E422" s="51"/>
      <c r="F422" s="51"/>
      <c r="G422" s="52" t="s">
        <v>1622</v>
      </c>
      <c r="H422" s="13"/>
      <c r="I422" s="10"/>
      <c r="J422" s="6" t="s">
        <v>584</v>
      </c>
      <c r="K422" s="7"/>
      <c r="L422" s="7"/>
      <c r="M422" s="7"/>
      <c r="N422" s="7"/>
      <c r="O422" s="7"/>
    </row>
    <row r="423">
      <c r="A423" s="48" t="s">
        <v>1623</v>
      </c>
      <c r="B423" s="10"/>
      <c r="C423" s="59"/>
      <c r="D423" s="60"/>
      <c r="E423" s="51"/>
      <c r="F423" s="51"/>
      <c r="G423" s="52" t="s">
        <v>1624</v>
      </c>
      <c r="H423" s="13"/>
      <c r="I423" s="10"/>
      <c r="J423" s="6" t="s">
        <v>1450</v>
      </c>
      <c r="K423" s="7"/>
      <c r="L423" s="7"/>
      <c r="M423" s="7"/>
      <c r="N423" s="7"/>
      <c r="O423" s="7"/>
    </row>
    <row r="424">
      <c r="A424" s="48" t="s">
        <v>1625</v>
      </c>
      <c r="B424" s="10"/>
      <c r="C424" s="59"/>
      <c r="D424" s="60"/>
      <c r="E424" s="51"/>
      <c r="F424" s="51"/>
      <c r="G424" s="52" t="s">
        <v>1626</v>
      </c>
      <c r="H424" s="13"/>
      <c r="I424" s="10"/>
      <c r="J424" s="6" t="s">
        <v>1450</v>
      </c>
      <c r="K424" s="7"/>
      <c r="L424" s="7"/>
      <c r="M424" s="7"/>
      <c r="N424" s="7"/>
      <c r="O424" s="7"/>
    </row>
    <row r="425">
      <c r="A425" s="48" t="s">
        <v>1627</v>
      </c>
      <c r="B425" s="10"/>
      <c r="C425" s="59"/>
      <c r="D425" s="60"/>
      <c r="E425" s="51"/>
      <c r="F425" s="51"/>
      <c r="G425" s="52" t="s">
        <v>1628</v>
      </c>
      <c r="H425" s="13"/>
      <c r="I425" s="10"/>
      <c r="J425" s="6" t="s">
        <v>584</v>
      </c>
      <c r="K425" s="7"/>
      <c r="L425" s="7"/>
      <c r="M425" s="7"/>
      <c r="N425" s="7"/>
      <c r="O425" s="7"/>
    </row>
    <row r="426">
      <c r="A426" s="48" t="s">
        <v>1629</v>
      </c>
      <c r="B426" s="10"/>
      <c r="C426" s="59"/>
      <c r="D426" s="60"/>
      <c r="E426" s="51"/>
      <c r="F426" s="51"/>
      <c r="G426" s="52" t="s">
        <v>1630</v>
      </c>
      <c r="H426" s="13"/>
      <c r="I426" s="10"/>
      <c r="J426" s="6" t="s">
        <v>584</v>
      </c>
      <c r="K426" s="7"/>
      <c r="L426" s="7"/>
      <c r="M426" s="7"/>
      <c r="N426" s="7"/>
      <c r="O426" s="7"/>
    </row>
    <row r="427">
      <c r="A427" s="48" t="s">
        <v>1631</v>
      </c>
      <c r="B427" s="10"/>
      <c r="C427" s="59"/>
      <c r="D427" s="60"/>
      <c r="E427" s="51"/>
      <c r="F427" s="51"/>
      <c r="G427" s="52" t="s">
        <v>1632</v>
      </c>
      <c r="H427" s="13"/>
      <c r="I427" s="10"/>
      <c r="J427" s="6" t="s">
        <v>584</v>
      </c>
      <c r="K427" s="7"/>
      <c r="L427" s="7"/>
      <c r="M427" s="7"/>
      <c r="N427" s="7"/>
      <c r="O427" s="7"/>
    </row>
    <row r="428">
      <c r="A428" s="48" t="s">
        <v>1633</v>
      </c>
      <c r="B428" s="10"/>
      <c r="C428" s="59"/>
      <c r="D428" s="60"/>
      <c r="E428" s="51"/>
      <c r="F428" s="51"/>
      <c r="G428" s="52" t="s">
        <v>1634</v>
      </c>
      <c r="H428" s="13"/>
      <c r="I428" s="10"/>
      <c r="J428" s="6" t="s">
        <v>584</v>
      </c>
      <c r="K428" s="7"/>
      <c r="L428" s="7"/>
      <c r="M428" s="7"/>
      <c r="N428" s="7"/>
      <c r="O428" s="7"/>
    </row>
    <row r="429">
      <c r="A429" s="73"/>
      <c r="B429" s="74"/>
      <c r="C429" s="74"/>
      <c r="D429" s="73"/>
      <c r="E429" s="22"/>
      <c r="F429" s="22"/>
      <c r="G429" s="22"/>
      <c r="H429" s="7"/>
      <c r="I429" s="7"/>
      <c r="J429" s="7">
        <f>COUNTIFS(J363:J428,"Yes")</f>
        <v>43</v>
      </c>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f>COUNTIF(J363:J428,"Changes")</f>
        <v>12</v>
      </c>
      <c r="K430" s="7"/>
      <c r="L430" s="7"/>
      <c r="M430" s="7"/>
      <c r="N430" s="7"/>
      <c r="O430" s="7"/>
      <c r="P430" s="7"/>
      <c r="Q430" s="7"/>
      <c r="R430" s="7"/>
      <c r="S430" s="7"/>
      <c r="T430" s="7"/>
      <c r="U430" s="7"/>
      <c r="V430" s="7"/>
      <c r="W430" s="7"/>
      <c r="X430" s="7"/>
      <c r="Y430" s="7"/>
      <c r="Z430" s="7"/>
    </row>
    <row r="431">
      <c r="A431" s="36" t="s">
        <v>1635</v>
      </c>
      <c r="B431" s="75" t="s">
        <v>1636</v>
      </c>
      <c r="C431" s="5"/>
      <c r="D431" s="5"/>
      <c r="E431" s="5"/>
      <c r="F431" s="5"/>
      <c r="G431" s="5"/>
      <c r="H431" s="5"/>
      <c r="I431" s="3"/>
      <c r="J431" s="7">
        <f>COUNTIF(J363:J428, "No")</f>
        <v>10</v>
      </c>
      <c r="K431" s="7"/>
      <c r="L431" s="7"/>
      <c r="M431" s="7"/>
      <c r="N431" s="7"/>
      <c r="O431" s="7"/>
    </row>
    <row r="432">
      <c r="A432" s="76" t="s">
        <v>1637</v>
      </c>
      <c r="B432" s="13"/>
      <c r="C432" s="13"/>
      <c r="D432" s="13"/>
      <c r="E432" s="13"/>
      <c r="F432" s="13"/>
      <c r="G432" s="13"/>
      <c r="H432" s="13"/>
      <c r="I432" s="10"/>
      <c r="J432" s="7">
        <f>J429+J430+J431</f>
        <v>65</v>
      </c>
      <c r="K432" s="7"/>
      <c r="L432" s="7"/>
      <c r="M432" s="7"/>
      <c r="N432" s="7"/>
      <c r="O432" s="7"/>
    </row>
    <row r="433">
      <c r="A433" s="36" t="s">
        <v>1639</v>
      </c>
      <c r="B433" s="36" t="s">
        <v>1640</v>
      </c>
      <c r="C433" s="36" t="s">
        <v>1641</v>
      </c>
      <c r="D433" s="36" t="s">
        <v>1642</v>
      </c>
      <c r="E433" s="36" t="s">
        <v>581</v>
      </c>
      <c r="F433" s="36"/>
      <c r="G433" s="36"/>
      <c r="H433" s="36"/>
      <c r="I433" s="36" t="s">
        <v>1643</v>
      </c>
      <c r="J433" s="7"/>
      <c r="K433" s="7"/>
      <c r="L433" s="7"/>
      <c r="M433" s="7"/>
      <c r="N433" s="7"/>
      <c r="O433" s="7"/>
    </row>
    <row r="434">
      <c r="A434" s="31" t="s">
        <v>20</v>
      </c>
      <c r="B434" s="31" t="s">
        <v>17</v>
      </c>
      <c r="C434" s="77" t="s">
        <v>960</v>
      </c>
      <c r="D434" s="37" t="s">
        <v>595</v>
      </c>
      <c r="E434" s="30" t="s">
        <v>1644</v>
      </c>
      <c r="F434" s="13"/>
      <c r="G434" s="13"/>
      <c r="H434" s="10"/>
      <c r="I434" s="37"/>
      <c r="J434" s="7"/>
      <c r="K434" s="7"/>
      <c r="L434" s="7"/>
      <c r="M434" s="7"/>
      <c r="N434" s="7">
        <f t="shared" ref="N434:N457" si="4"> IF(ISBLANK(E434), 0, 1)</f>
        <v>1</v>
      </c>
      <c r="O434" s="7"/>
    </row>
    <row r="435">
      <c r="A435" s="31" t="s">
        <v>403</v>
      </c>
      <c r="B435" s="31" t="s">
        <v>400</v>
      </c>
      <c r="C435" s="31" t="s">
        <v>1645</v>
      </c>
      <c r="D435" s="37" t="s">
        <v>1364</v>
      </c>
      <c r="E435" s="30" t="s">
        <v>1646</v>
      </c>
      <c r="F435" s="13"/>
      <c r="G435" s="13"/>
      <c r="H435" s="10"/>
      <c r="I435" s="37"/>
      <c r="J435" s="7"/>
      <c r="K435" s="7"/>
      <c r="L435" s="7"/>
      <c r="M435" s="7"/>
      <c r="N435" s="7">
        <f t="shared" si="4"/>
        <v>1</v>
      </c>
      <c r="O435" s="7"/>
    </row>
    <row r="436">
      <c r="A436" s="31" t="s">
        <v>290</v>
      </c>
      <c r="B436" s="31" t="s">
        <v>285</v>
      </c>
      <c r="C436" s="77" t="s">
        <v>945</v>
      </c>
      <c r="D436" s="37" t="s">
        <v>1380</v>
      </c>
      <c r="E436" s="30" t="s">
        <v>1647</v>
      </c>
      <c r="F436" s="13"/>
      <c r="G436" s="13"/>
      <c r="H436" s="10"/>
      <c r="I436" s="37"/>
      <c r="J436" s="7"/>
      <c r="K436" s="7"/>
      <c r="L436" s="7"/>
      <c r="M436" s="7"/>
      <c r="N436" s="7">
        <f t="shared" si="4"/>
        <v>1</v>
      </c>
      <c r="O436" s="7"/>
    </row>
    <row r="437">
      <c r="A437" s="31" t="s">
        <v>324</v>
      </c>
      <c r="B437" s="31" t="s">
        <v>319</v>
      </c>
      <c r="C437" s="31" t="s">
        <v>1127</v>
      </c>
      <c r="D437" s="37" t="s">
        <v>595</v>
      </c>
      <c r="E437" s="30" t="s">
        <v>1740</v>
      </c>
      <c r="F437" s="13"/>
      <c r="G437" s="13"/>
      <c r="H437" s="10"/>
      <c r="I437" s="37"/>
      <c r="J437" s="7"/>
      <c r="K437" s="7"/>
      <c r="L437" s="7"/>
      <c r="M437" s="7"/>
      <c r="N437" s="7">
        <f t="shared" si="4"/>
        <v>1</v>
      </c>
      <c r="O437" s="7"/>
    </row>
    <row r="438">
      <c r="A438" s="31" t="s">
        <v>122</v>
      </c>
      <c r="B438" s="31" t="s">
        <v>115</v>
      </c>
      <c r="C438" s="31" t="s">
        <v>1649</v>
      </c>
      <c r="D438" s="37" t="s">
        <v>595</v>
      </c>
      <c r="E438" s="30" t="s">
        <v>1650</v>
      </c>
      <c r="F438" s="13"/>
      <c r="G438" s="13"/>
      <c r="H438" s="10"/>
      <c r="I438" s="37"/>
      <c r="J438" s="7"/>
      <c r="K438" s="7"/>
      <c r="L438" s="7"/>
      <c r="M438" s="7"/>
      <c r="N438" s="7">
        <f t="shared" si="4"/>
        <v>1</v>
      </c>
      <c r="O438" s="7"/>
    </row>
    <row r="439">
      <c r="A439" s="31" t="s">
        <v>391</v>
      </c>
      <c r="B439" s="31" t="s">
        <v>1651</v>
      </c>
      <c r="C439" s="31" t="s">
        <v>387</v>
      </c>
      <c r="D439" s="37" t="s">
        <v>1399</v>
      </c>
      <c r="E439" s="30" t="s">
        <v>1652</v>
      </c>
      <c r="F439" s="13"/>
      <c r="G439" s="13"/>
      <c r="H439" s="10"/>
      <c r="I439" s="37"/>
      <c r="J439" s="7"/>
      <c r="K439" s="7"/>
      <c r="L439" s="7"/>
      <c r="M439" s="7"/>
      <c r="N439" s="7">
        <f t="shared" si="4"/>
        <v>1</v>
      </c>
      <c r="O439" s="7"/>
    </row>
    <row r="440">
      <c r="A440" s="31" t="s">
        <v>82</v>
      </c>
      <c r="B440" s="31" t="s">
        <v>78</v>
      </c>
      <c r="C440" s="77" t="s">
        <v>1653</v>
      </c>
      <c r="D440" s="37" t="s">
        <v>595</v>
      </c>
      <c r="E440" s="30" t="s">
        <v>1654</v>
      </c>
      <c r="F440" s="13"/>
      <c r="G440" s="13"/>
      <c r="H440" s="10"/>
      <c r="I440" s="37"/>
      <c r="J440" s="7"/>
      <c r="K440" s="7"/>
      <c r="L440" s="7"/>
      <c r="M440" s="7"/>
      <c r="N440" s="7">
        <f t="shared" si="4"/>
        <v>1</v>
      </c>
      <c r="O440" s="7"/>
    </row>
    <row r="441">
      <c r="A441" s="31" t="s">
        <v>356</v>
      </c>
      <c r="B441" s="31" t="s">
        <v>352</v>
      </c>
      <c r="C441" s="31" t="s">
        <v>1268</v>
      </c>
      <c r="D441" s="37" t="s">
        <v>595</v>
      </c>
      <c r="E441" s="30" t="s">
        <v>1655</v>
      </c>
      <c r="F441" s="13"/>
      <c r="G441" s="13"/>
      <c r="H441" s="10"/>
      <c r="I441" s="37"/>
      <c r="J441" s="7"/>
      <c r="K441" s="7"/>
      <c r="L441" s="7"/>
      <c r="M441" s="7"/>
      <c r="N441" s="7">
        <f t="shared" si="4"/>
        <v>1</v>
      </c>
      <c r="O441" s="7"/>
    </row>
    <row r="442">
      <c r="A442" s="31" t="s">
        <v>1404</v>
      </c>
      <c r="B442" s="31" t="s">
        <v>423</v>
      </c>
      <c r="C442" s="31" t="s">
        <v>1019</v>
      </c>
      <c r="D442" s="37" t="s">
        <v>1656</v>
      </c>
      <c r="E442" s="30" t="s">
        <v>1657</v>
      </c>
      <c r="F442" s="13"/>
      <c r="G442" s="13"/>
      <c r="H442" s="10"/>
      <c r="I442" s="37"/>
      <c r="J442" s="7"/>
      <c r="K442" s="7"/>
      <c r="L442" s="7"/>
      <c r="M442" s="7"/>
      <c r="N442" s="7">
        <f t="shared" si="4"/>
        <v>1</v>
      </c>
      <c r="O442" s="7"/>
    </row>
    <row r="443">
      <c r="A443" s="31" t="s">
        <v>351</v>
      </c>
      <c r="B443" s="31" t="s">
        <v>345</v>
      </c>
      <c r="C443" s="77" t="s">
        <v>1120</v>
      </c>
      <c r="D443" s="37" t="s">
        <v>595</v>
      </c>
      <c r="E443" s="30" t="s">
        <v>1658</v>
      </c>
      <c r="F443" s="13"/>
      <c r="G443" s="13"/>
      <c r="H443" s="10"/>
      <c r="I443" s="37"/>
      <c r="J443" s="7"/>
      <c r="K443" s="7"/>
      <c r="L443" s="7"/>
      <c r="M443" s="7"/>
      <c r="N443" s="7">
        <f t="shared" si="4"/>
        <v>1</v>
      </c>
      <c r="O443" s="7"/>
    </row>
    <row r="444">
      <c r="A444" s="31" t="s">
        <v>260</v>
      </c>
      <c r="B444" s="31" t="s">
        <v>1659</v>
      </c>
      <c r="C444" s="77" t="s">
        <v>1123</v>
      </c>
      <c r="D444" s="37" t="s">
        <v>595</v>
      </c>
      <c r="E444" s="30" t="s">
        <v>1660</v>
      </c>
      <c r="F444" s="13"/>
      <c r="G444" s="13"/>
      <c r="H444" s="10"/>
      <c r="I444" s="37"/>
      <c r="J444" s="7"/>
      <c r="K444" s="7"/>
      <c r="L444" s="7"/>
      <c r="M444" s="7"/>
      <c r="N444" s="7">
        <f t="shared" si="4"/>
        <v>1</v>
      </c>
      <c r="O444" s="7"/>
    </row>
    <row r="445">
      <c r="A445" s="31" t="s">
        <v>420</v>
      </c>
      <c r="B445" s="31" t="s">
        <v>415</v>
      </c>
      <c r="C445" s="31" t="s">
        <v>775</v>
      </c>
      <c r="D445" s="37" t="s">
        <v>595</v>
      </c>
      <c r="E445" s="30" t="s">
        <v>1661</v>
      </c>
      <c r="F445" s="13"/>
      <c r="G445" s="13"/>
      <c r="H445" s="10"/>
      <c r="I445" s="37"/>
      <c r="J445" s="7"/>
      <c r="K445" s="7"/>
      <c r="L445" s="7"/>
      <c r="M445" s="7"/>
      <c r="N445" s="7">
        <f t="shared" si="4"/>
        <v>1</v>
      </c>
      <c r="O445" s="7"/>
      <c r="P445" s="7"/>
      <c r="Q445" s="7"/>
      <c r="R445" s="7"/>
      <c r="S445" s="7"/>
      <c r="T445" s="7"/>
      <c r="U445" s="7"/>
      <c r="V445" s="7"/>
      <c r="W445" s="7"/>
      <c r="X445" s="7"/>
      <c r="Y445" s="7"/>
      <c r="Z445" s="7"/>
    </row>
    <row r="446">
      <c r="A446" s="31" t="s">
        <v>127</v>
      </c>
      <c r="B446" s="31" t="s">
        <v>123</v>
      </c>
      <c r="C446" s="31" t="s">
        <v>937</v>
      </c>
      <c r="D446" s="37" t="s">
        <v>595</v>
      </c>
      <c r="E446" s="30" t="s">
        <v>1662</v>
      </c>
      <c r="F446" s="13"/>
      <c r="G446" s="13"/>
      <c r="H446" s="10"/>
      <c r="I446" s="37"/>
      <c r="J446" s="7"/>
      <c r="K446" s="7"/>
      <c r="L446" s="7"/>
      <c r="M446" s="7"/>
      <c r="N446" s="7">
        <f t="shared" si="4"/>
        <v>1</v>
      </c>
      <c r="O446" s="7"/>
      <c r="P446" s="7"/>
      <c r="Q446" s="7"/>
      <c r="R446" s="7"/>
      <c r="S446" s="7"/>
      <c r="T446" s="7"/>
      <c r="U446" s="7"/>
      <c r="V446" s="7"/>
      <c r="W446" s="7"/>
      <c r="X446" s="7"/>
      <c r="Y446" s="7"/>
      <c r="Z446" s="7"/>
    </row>
    <row r="447">
      <c r="A447" s="37" t="s">
        <v>374</v>
      </c>
      <c r="B447" s="37" t="s">
        <v>371</v>
      </c>
      <c r="C447" s="37" t="s">
        <v>813</v>
      </c>
      <c r="D447" s="37" t="s">
        <v>1388</v>
      </c>
      <c r="E447" s="30" t="s">
        <v>1663</v>
      </c>
      <c r="F447" s="13"/>
      <c r="G447" s="13"/>
      <c r="H447" s="10"/>
      <c r="I447" s="37"/>
      <c r="J447" s="7"/>
      <c r="K447" s="7"/>
      <c r="L447" s="7"/>
      <c r="M447" s="7"/>
      <c r="N447" s="7">
        <f t="shared" si="4"/>
        <v>1</v>
      </c>
      <c r="O447" s="7"/>
      <c r="P447" s="7"/>
      <c r="Q447" s="7"/>
      <c r="R447" s="7"/>
      <c r="S447" s="7"/>
      <c r="T447" s="7"/>
      <c r="U447" s="7"/>
      <c r="V447" s="7"/>
      <c r="W447" s="7"/>
      <c r="X447" s="7"/>
      <c r="Y447" s="7"/>
      <c r="Z447" s="7"/>
    </row>
    <row r="448">
      <c r="A448" s="37" t="s">
        <v>39</v>
      </c>
      <c r="B448" s="37" t="s">
        <v>35</v>
      </c>
      <c r="C448" s="37" t="s">
        <v>1153</v>
      </c>
      <c r="D448" s="37" t="s">
        <v>595</v>
      </c>
      <c r="E448" s="30" t="s">
        <v>1665</v>
      </c>
      <c r="F448" s="13"/>
      <c r="G448" s="13"/>
      <c r="H448" s="10"/>
      <c r="I448" s="37"/>
      <c r="J448" s="7"/>
      <c r="K448" s="7"/>
      <c r="L448" s="7"/>
      <c r="M448" s="7"/>
      <c r="N448" s="7">
        <f t="shared" si="4"/>
        <v>1</v>
      </c>
      <c r="O448" s="7"/>
      <c r="P448" s="7"/>
      <c r="Q448" s="7"/>
      <c r="R448" s="7"/>
      <c r="S448" s="7"/>
      <c r="T448" s="7"/>
      <c r="U448" s="7"/>
      <c r="V448" s="7"/>
      <c r="W448" s="7"/>
      <c r="X448" s="7"/>
      <c r="Y448" s="7"/>
      <c r="Z448" s="7"/>
    </row>
    <row r="449">
      <c r="A449" s="37" t="s">
        <v>466</v>
      </c>
      <c r="B449" s="37" t="s">
        <v>1667</v>
      </c>
      <c r="C449" s="37" t="s">
        <v>1668</v>
      </c>
      <c r="D449" s="37" t="s">
        <v>595</v>
      </c>
      <c r="E449" s="30" t="s">
        <v>1669</v>
      </c>
      <c r="F449" s="13"/>
      <c r="G449" s="13"/>
      <c r="H449" s="10"/>
      <c r="I449" s="37"/>
      <c r="J449" s="7"/>
      <c r="K449" s="7"/>
      <c r="L449" s="7"/>
      <c r="M449" s="7"/>
      <c r="N449" s="7">
        <f t="shared" si="4"/>
        <v>1</v>
      </c>
      <c r="O449" s="7"/>
      <c r="P449" s="7"/>
      <c r="Q449" s="7"/>
      <c r="R449" s="7"/>
      <c r="S449" s="7"/>
      <c r="T449" s="7"/>
      <c r="U449" s="7"/>
      <c r="V449" s="7"/>
      <c r="W449" s="7"/>
      <c r="X449" s="7"/>
      <c r="Y449" s="7"/>
      <c r="Z449" s="7"/>
    </row>
    <row r="450">
      <c r="A450" s="37" t="s">
        <v>254</v>
      </c>
      <c r="B450" s="37" t="s">
        <v>248</v>
      </c>
      <c r="C450" s="37" t="s">
        <v>880</v>
      </c>
      <c r="D450" s="37" t="s">
        <v>595</v>
      </c>
      <c r="E450" s="30" t="s">
        <v>1670</v>
      </c>
      <c r="F450" s="13"/>
      <c r="G450" s="13"/>
      <c r="H450" s="10"/>
      <c r="I450" s="37"/>
      <c r="J450" s="7"/>
      <c r="K450" s="7"/>
      <c r="L450" s="7"/>
      <c r="M450" s="7"/>
      <c r="N450" s="7">
        <f t="shared" si="4"/>
        <v>1</v>
      </c>
      <c r="O450" s="7"/>
      <c r="P450" s="7"/>
      <c r="Q450" s="7"/>
      <c r="R450" s="7"/>
      <c r="S450" s="7"/>
      <c r="T450" s="7"/>
      <c r="U450" s="7"/>
      <c r="V450" s="7"/>
      <c r="W450" s="7"/>
      <c r="X450" s="7"/>
      <c r="Y450" s="7"/>
      <c r="Z450" s="7"/>
    </row>
    <row r="451">
      <c r="A451" s="37" t="s">
        <v>445</v>
      </c>
      <c r="B451" s="37" t="s">
        <v>440</v>
      </c>
      <c r="C451" s="37" t="s">
        <v>734</v>
      </c>
      <c r="D451" s="37" t="s">
        <v>1342</v>
      </c>
      <c r="E451" s="30" t="s">
        <v>1671</v>
      </c>
      <c r="F451" s="13"/>
      <c r="G451" s="13"/>
      <c r="H451" s="10"/>
      <c r="I451" s="37"/>
      <c r="J451" s="7"/>
      <c r="K451" s="7"/>
      <c r="L451" s="7"/>
      <c r="M451" s="7"/>
      <c r="N451" s="7">
        <f t="shared" si="4"/>
        <v>1</v>
      </c>
      <c r="O451" s="7"/>
      <c r="P451" s="7"/>
      <c r="Q451" s="7"/>
      <c r="R451" s="7"/>
      <c r="S451" s="7"/>
      <c r="T451" s="7"/>
      <c r="U451" s="7"/>
      <c r="V451" s="7"/>
      <c r="W451" s="7"/>
      <c r="X451" s="7"/>
      <c r="Y451" s="7"/>
      <c r="Z451" s="7"/>
    </row>
    <row r="452">
      <c r="A452" s="37" t="s">
        <v>520</v>
      </c>
      <c r="B452" s="37" t="s">
        <v>516</v>
      </c>
      <c r="C452" s="37" t="s">
        <v>602</v>
      </c>
      <c r="D452" s="37" t="s">
        <v>1375</v>
      </c>
      <c r="E452" s="30" t="s">
        <v>1673</v>
      </c>
      <c r="F452" s="13"/>
      <c r="G452" s="13"/>
      <c r="H452" s="10"/>
      <c r="I452" s="37"/>
      <c r="J452" s="7"/>
      <c r="K452" s="7"/>
      <c r="L452" s="7"/>
      <c r="M452" s="7"/>
      <c r="N452" s="7">
        <f t="shared" si="4"/>
        <v>1</v>
      </c>
      <c r="O452" s="7"/>
      <c r="P452" s="7"/>
      <c r="Q452" s="7"/>
      <c r="R452" s="7"/>
      <c r="S452" s="7"/>
      <c r="T452" s="7"/>
      <c r="U452" s="7"/>
      <c r="V452" s="7"/>
      <c r="W452" s="7"/>
      <c r="X452" s="7"/>
      <c r="Y452" s="7"/>
      <c r="Z452" s="7"/>
    </row>
    <row r="453">
      <c r="A453" s="37" t="s">
        <v>344</v>
      </c>
      <c r="B453" s="37" t="s">
        <v>1675</v>
      </c>
      <c r="C453" s="37" t="s">
        <v>1676</v>
      </c>
      <c r="D453" s="37" t="s">
        <v>1360</v>
      </c>
      <c r="E453" s="30" t="s">
        <v>1677</v>
      </c>
      <c r="F453" s="13"/>
      <c r="G453" s="13"/>
      <c r="H453" s="10"/>
      <c r="I453" s="37"/>
      <c r="J453" s="7"/>
      <c r="K453" s="7"/>
      <c r="L453" s="7"/>
      <c r="M453" s="7"/>
      <c r="N453" s="7">
        <f t="shared" si="4"/>
        <v>1</v>
      </c>
      <c r="O453" s="7"/>
      <c r="P453" s="7"/>
      <c r="Q453" s="7"/>
      <c r="R453" s="7"/>
      <c r="S453" s="7"/>
      <c r="T453" s="7"/>
      <c r="U453" s="7"/>
      <c r="V453" s="7"/>
      <c r="W453" s="7"/>
      <c r="X453" s="7"/>
      <c r="Y453" s="7"/>
      <c r="Z453" s="7"/>
    </row>
    <row r="454">
      <c r="A454" s="37" t="s">
        <v>280</v>
      </c>
      <c r="B454" s="37" t="s">
        <v>276</v>
      </c>
      <c r="C454" s="37" t="s">
        <v>958</v>
      </c>
      <c r="D454" s="37" t="s">
        <v>1405</v>
      </c>
      <c r="E454" s="30" t="s">
        <v>1679</v>
      </c>
      <c r="F454" s="13"/>
      <c r="G454" s="13"/>
      <c r="H454" s="10"/>
      <c r="I454" s="37"/>
      <c r="J454" s="7"/>
      <c r="K454" s="7"/>
      <c r="L454" s="7"/>
      <c r="M454" s="7"/>
      <c r="N454" s="7">
        <f t="shared" si="4"/>
        <v>1</v>
      </c>
      <c r="O454" s="7"/>
      <c r="P454" s="7"/>
      <c r="Q454" s="7"/>
      <c r="R454" s="7"/>
      <c r="S454" s="7"/>
      <c r="T454" s="7"/>
      <c r="U454" s="7"/>
      <c r="V454" s="7"/>
      <c r="W454" s="7"/>
      <c r="X454" s="7"/>
      <c r="Y454" s="7"/>
      <c r="Z454" s="7"/>
    </row>
    <row r="455">
      <c r="A455" s="37" t="s">
        <v>52</v>
      </c>
      <c r="B455" s="37" t="s">
        <v>48</v>
      </c>
      <c r="C455" s="37" t="s">
        <v>1187</v>
      </c>
      <c r="D455" s="37" t="s">
        <v>595</v>
      </c>
      <c r="E455" s="30" t="s">
        <v>1680</v>
      </c>
      <c r="F455" s="13"/>
      <c r="G455" s="13"/>
      <c r="H455" s="10"/>
      <c r="I455" s="37"/>
      <c r="J455" s="7"/>
      <c r="K455" s="7"/>
      <c r="L455" s="7"/>
      <c r="M455" s="7"/>
      <c r="N455" s="7">
        <f t="shared" si="4"/>
        <v>1</v>
      </c>
      <c r="O455" s="7"/>
      <c r="P455" s="7"/>
      <c r="Q455" s="7"/>
      <c r="R455" s="7"/>
      <c r="S455" s="7"/>
      <c r="T455" s="7"/>
      <c r="U455" s="7"/>
      <c r="V455" s="7"/>
      <c r="W455" s="7"/>
      <c r="X455" s="7"/>
      <c r="Y455" s="7"/>
      <c r="Z455" s="7"/>
    </row>
    <row r="456">
      <c r="A456" s="37" t="s">
        <v>1682</v>
      </c>
      <c r="B456" s="37" t="s">
        <v>242</v>
      </c>
      <c r="C456" s="37" t="s">
        <v>1683</v>
      </c>
      <c r="D456" s="37" t="s">
        <v>1368</v>
      </c>
      <c r="E456" s="30" t="s">
        <v>1684</v>
      </c>
      <c r="F456" s="13"/>
      <c r="G456" s="13"/>
      <c r="H456" s="10"/>
      <c r="I456" s="37"/>
      <c r="J456" s="7"/>
      <c r="K456" s="7"/>
      <c r="L456" s="7"/>
      <c r="M456" s="7"/>
      <c r="N456" s="7">
        <f t="shared" si="4"/>
        <v>1</v>
      </c>
      <c r="O456" s="7"/>
      <c r="P456" s="7"/>
      <c r="Q456" s="7"/>
      <c r="R456" s="7"/>
      <c r="S456" s="7"/>
      <c r="T456" s="7"/>
      <c r="U456" s="7"/>
      <c r="V456" s="7"/>
      <c r="W456" s="7"/>
      <c r="X456" s="7"/>
      <c r="Y456" s="7"/>
      <c r="Z456" s="7"/>
    </row>
    <row r="457">
      <c r="A457" s="37" t="s">
        <v>461</v>
      </c>
      <c r="B457" s="37" t="s">
        <v>457</v>
      </c>
      <c r="C457" s="37" t="s">
        <v>824</v>
      </c>
      <c r="D457" s="37" t="s">
        <v>1371</v>
      </c>
      <c r="E457" s="30" t="s">
        <v>1689</v>
      </c>
      <c r="F457" s="13"/>
      <c r="G457" s="13"/>
      <c r="H457" s="10"/>
      <c r="I457" s="37"/>
      <c r="J457" s="7"/>
      <c r="K457" s="7"/>
      <c r="L457" s="7"/>
      <c r="M457" s="7"/>
      <c r="N457" s="7">
        <f t="shared" si="4"/>
        <v>1</v>
      </c>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f>SUM(N434:N457)</f>
        <v>24</v>
      </c>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8" t="s">
        <v>1692</v>
      </c>
      <c r="B468" s="79"/>
      <c r="C468" s="79"/>
      <c r="D468" s="79"/>
      <c r="E468" s="79"/>
      <c r="F468" s="79"/>
      <c r="G468" s="79"/>
      <c r="H468" s="80"/>
      <c r="I468" s="7"/>
      <c r="J468" s="7"/>
      <c r="K468" s="7"/>
      <c r="L468" s="7"/>
      <c r="M468" s="7"/>
      <c r="N468" s="7"/>
      <c r="O468" s="7"/>
      <c r="P468" s="7"/>
      <c r="Q468" s="7"/>
      <c r="R468" s="7"/>
      <c r="S468" s="7"/>
      <c r="T468" s="7"/>
      <c r="U468" s="7"/>
      <c r="V468" s="7"/>
      <c r="W468" s="7"/>
      <c r="X468" s="7"/>
      <c r="Y468" s="7"/>
      <c r="Z468" s="7"/>
    </row>
    <row r="469">
      <c r="A469" s="81" t="s">
        <v>1693</v>
      </c>
      <c r="B469" s="82" t="s">
        <v>1694</v>
      </c>
      <c r="C469" s="82" t="s">
        <v>1695</v>
      </c>
      <c r="D469" s="83"/>
      <c r="E469" s="83"/>
      <c r="F469" s="83"/>
      <c r="G469" s="83"/>
      <c r="H469" s="83"/>
      <c r="I469" s="7"/>
      <c r="J469" s="7"/>
      <c r="K469" s="7"/>
      <c r="L469" s="7"/>
      <c r="M469" s="7"/>
      <c r="N469" s="7"/>
      <c r="O469" s="7"/>
      <c r="P469" s="7"/>
      <c r="Q469" s="7"/>
      <c r="R469" s="7"/>
      <c r="S469" s="7"/>
      <c r="T469" s="7"/>
      <c r="U469" s="7"/>
      <c r="V469" s="7"/>
      <c r="W469" s="7"/>
      <c r="X469" s="7"/>
      <c r="Y469" s="7"/>
      <c r="Z469" s="7"/>
    </row>
    <row r="470">
      <c r="A470" s="81" t="s">
        <v>1696</v>
      </c>
      <c r="B470" s="84" t="s">
        <v>1697</v>
      </c>
      <c r="C470" s="79"/>
      <c r="D470" s="79"/>
      <c r="E470" s="79"/>
      <c r="F470" s="79"/>
      <c r="G470" s="79"/>
      <c r="H470" s="80"/>
      <c r="I470" s="7"/>
      <c r="J470" s="7"/>
      <c r="K470" s="7"/>
      <c r="L470" s="7"/>
      <c r="M470" s="7"/>
      <c r="N470" s="7"/>
      <c r="O470" s="7"/>
      <c r="P470" s="7"/>
      <c r="Q470" s="7"/>
      <c r="R470" s="7"/>
      <c r="S470" s="7"/>
      <c r="T470" s="7"/>
      <c r="U470" s="7"/>
      <c r="V470" s="7"/>
      <c r="W470" s="7"/>
      <c r="X470" s="7"/>
      <c r="Y470" s="7"/>
      <c r="Z470" s="7"/>
    </row>
    <row r="471">
      <c r="A471" s="81" t="s">
        <v>1698</v>
      </c>
      <c r="B471" s="84" t="s">
        <v>1699</v>
      </c>
      <c r="C471" s="79"/>
      <c r="D471" s="79"/>
      <c r="E471" s="79"/>
      <c r="F471" s="79"/>
      <c r="G471" s="79"/>
      <c r="H471" s="80"/>
      <c r="I471" s="7"/>
      <c r="J471" s="7"/>
      <c r="K471" s="7"/>
      <c r="L471" s="7"/>
      <c r="M471" s="7"/>
      <c r="N471" s="7"/>
      <c r="O471" s="7"/>
      <c r="P471" s="7"/>
      <c r="Q471" s="7"/>
      <c r="R471" s="7"/>
      <c r="S471" s="7"/>
      <c r="T471" s="7"/>
      <c r="U471" s="7"/>
      <c r="V471" s="7"/>
      <c r="W471" s="7"/>
      <c r="X471" s="7"/>
      <c r="Y471" s="7"/>
      <c r="Z471" s="7"/>
    </row>
    <row r="472">
      <c r="A472" s="81" t="s">
        <v>1700</v>
      </c>
      <c r="B472" s="84" t="s">
        <v>1702</v>
      </c>
      <c r="C472" s="79"/>
      <c r="D472" s="79"/>
      <c r="E472" s="79"/>
      <c r="F472" s="79"/>
      <c r="G472" s="79"/>
      <c r="H472" s="80"/>
      <c r="I472" s="7"/>
      <c r="J472" s="7"/>
      <c r="K472" s="7"/>
      <c r="L472" s="7"/>
      <c r="M472" s="7"/>
      <c r="N472" s="7"/>
      <c r="O472" s="7"/>
      <c r="P472" s="7"/>
      <c r="Q472" s="7"/>
      <c r="R472" s="7"/>
      <c r="S472" s="7"/>
      <c r="T472" s="7"/>
      <c r="U472" s="7"/>
      <c r="V472" s="7"/>
      <c r="W472" s="7"/>
      <c r="X472" s="7"/>
      <c r="Y472" s="7"/>
      <c r="Z472" s="7"/>
    </row>
    <row r="473">
      <c r="A473" s="81" t="s">
        <v>1703</v>
      </c>
      <c r="B473" s="84" t="s">
        <v>1704</v>
      </c>
      <c r="C473" s="79"/>
      <c r="D473" s="79"/>
      <c r="E473" s="79"/>
      <c r="F473" s="79"/>
      <c r="G473" s="79"/>
      <c r="H473" s="80"/>
      <c r="I473" s="7"/>
      <c r="J473" s="7"/>
      <c r="K473" s="7"/>
      <c r="L473" s="7"/>
      <c r="M473" s="7"/>
      <c r="N473" s="7"/>
      <c r="O473" s="7"/>
      <c r="P473" s="7"/>
      <c r="Q473" s="7"/>
      <c r="R473" s="7"/>
      <c r="S473" s="7"/>
      <c r="T473" s="7"/>
      <c r="U473" s="7"/>
      <c r="V473" s="7"/>
      <c r="W473" s="7"/>
      <c r="X473" s="7"/>
      <c r="Y473" s="7"/>
      <c r="Z473" s="7"/>
    </row>
    <row r="474">
      <c r="A474" s="81" t="s">
        <v>1705</v>
      </c>
      <c r="B474" s="84" t="s">
        <v>1706</v>
      </c>
      <c r="C474" s="79"/>
      <c r="D474" s="79"/>
      <c r="E474" s="79"/>
      <c r="F474" s="79"/>
      <c r="G474" s="79"/>
      <c r="H474" s="80"/>
      <c r="I474" s="7"/>
      <c r="J474" s="7"/>
      <c r="K474" s="7"/>
      <c r="L474" s="7"/>
      <c r="M474" s="7"/>
      <c r="N474" s="7"/>
      <c r="O474" s="7"/>
      <c r="P474" s="7"/>
      <c r="Q474" s="7"/>
      <c r="R474" s="7"/>
      <c r="S474" s="7"/>
      <c r="T474" s="7"/>
      <c r="U474" s="7"/>
      <c r="V474" s="7"/>
      <c r="W474" s="7"/>
      <c r="X474" s="7"/>
      <c r="Y474" s="7"/>
      <c r="Z474" s="7"/>
    </row>
    <row r="475">
      <c r="A475" s="81" t="s">
        <v>1707</v>
      </c>
      <c r="B475" s="84" t="s">
        <v>1708</v>
      </c>
      <c r="C475" s="79"/>
      <c r="D475" s="79"/>
      <c r="E475" s="79"/>
      <c r="F475" s="79"/>
      <c r="G475" s="79"/>
      <c r="H475" s="80"/>
      <c r="I475" s="7"/>
      <c r="J475" s="7"/>
      <c r="K475" s="7"/>
      <c r="L475" s="7"/>
      <c r="M475" s="7"/>
      <c r="N475" s="7"/>
      <c r="O475" s="7"/>
      <c r="P475" s="7"/>
      <c r="Q475" s="7"/>
      <c r="R475" s="7"/>
      <c r="S475" s="7"/>
      <c r="T475" s="7"/>
      <c r="U475" s="7"/>
      <c r="V475" s="7"/>
      <c r="W475" s="7"/>
      <c r="X475" s="7"/>
      <c r="Y475" s="7"/>
      <c r="Z475" s="7"/>
    </row>
    <row r="476">
      <c r="A476" s="81" t="s">
        <v>1709</v>
      </c>
      <c r="B476" s="84" t="s">
        <v>1710</v>
      </c>
      <c r="C476" s="79"/>
      <c r="D476" s="79"/>
      <c r="E476" s="79"/>
      <c r="F476" s="79"/>
      <c r="G476" s="79"/>
      <c r="H476" s="80"/>
      <c r="I476" s="7"/>
      <c r="J476" s="7"/>
      <c r="K476" s="7"/>
      <c r="L476" s="7"/>
      <c r="M476" s="7"/>
      <c r="N476" s="7"/>
      <c r="O476" s="7"/>
      <c r="P476" s="7"/>
      <c r="Q476" s="7"/>
      <c r="R476" s="7"/>
      <c r="S476" s="7"/>
      <c r="T476" s="7"/>
      <c r="U476" s="7"/>
      <c r="V476" s="7"/>
      <c r="W476" s="7"/>
      <c r="X476" s="7"/>
      <c r="Y476" s="7"/>
      <c r="Z476" s="7"/>
    </row>
    <row r="477">
      <c r="A477" s="81" t="s">
        <v>1711</v>
      </c>
      <c r="B477" s="84" t="s">
        <v>1712</v>
      </c>
      <c r="C477" s="79"/>
      <c r="D477" s="79"/>
      <c r="E477" s="79"/>
      <c r="F477" s="79"/>
      <c r="G477" s="79"/>
      <c r="H477" s="80"/>
      <c r="I477" s="7"/>
      <c r="J477" s="7"/>
      <c r="K477" s="7"/>
      <c r="L477" s="7"/>
      <c r="M477" s="7"/>
      <c r="N477" s="7"/>
      <c r="O477" s="7"/>
      <c r="P477" s="7"/>
      <c r="Q477" s="7"/>
      <c r="R477" s="7"/>
      <c r="S477" s="7"/>
      <c r="T477" s="7"/>
      <c r="U477" s="7"/>
      <c r="V477" s="7"/>
      <c r="W477" s="7"/>
      <c r="X477" s="7"/>
      <c r="Y477" s="7"/>
      <c r="Z477" s="7"/>
    </row>
    <row r="478">
      <c r="A478" s="81" t="s">
        <v>1713</v>
      </c>
      <c r="B478" s="84" t="s">
        <v>1714</v>
      </c>
      <c r="C478" s="79"/>
      <c r="D478" s="79"/>
      <c r="E478" s="79"/>
      <c r="F478" s="79"/>
      <c r="G478" s="79"/>
      <c r="H478" s="80"/>
      <c r="I478" s="7"/>
      <c r="J478" s="7"/>
      <c r="K478" s="7"/>
      <c r="L478" s="7"/>
      <c r="M478" s="7"/>
      <c r="N478" s="7"/>
      <c r="O478" s="7"/>
      <c r="P478" s="7"/>
      <c r="Q478" s="7"/>
      <c r="R478" s="7"/>
      <c r="S478" s="7"/>
      <c r="T478" s="7"/>
      <c r="U478" s="7"/>
      <c r="V478" s="7"/>
      <c r="W478" s="7"/>
      <c r="X478" s="7"/>
      <c r="Y478" s="7"/>
      <c r="Z478" s="7"/>
    </row>
    <row r="479">
      <c r="A479" s="78" t="s">
        <v>1715</v>
      </c>
      <c r="B479" s="79"/>
      <c r="C479" s="79"/>
      <c r="D479" s="79"/>
      <c r="E479" s="79"/>
      <c r="F479" s="79"/>
      <c r="G479" s="79"/>
      <c r="H479" s="80"/>
      <c r="I479" s="7"/>
      <c r="J479" s="7"/>
      <c r="K479" s="7"/>
      <c r="L479" s="7"/>
      <c r="M479" s="7"/>
      <c r="N479" s="7"/>
      <c r="O479" s="7"/>
      <c r="P479" s="7"/>
      <c r="Q479" s="7"/>
      <c r="R479" s="7"/>
      <c r="S479" s="7"/>
      <c r="T479" s="7"/>
      <c r="U479" s="7"/>
      <c r="V479" s="7"/>
      <c r="W479" s="7"/>
      <c r="X479" s="7"/>
      <c r="Y479" s="7"/>
      <c r="Z479" s="7"/>
    </row>
    <row r="480">
      <c r="A480" s="85" t="s">
        <v>1716</v>
      </c>
      <c r="B480" s="79"/>
      <c r="C480" s="79"/>
      <c r="D480" s="79"/>
      <c r="E480" s="79"/>
      <c r="F480" s="79"/>
      <c r="G480" s="79"/>
      <c r="H480" s="80"/>
      <c r="I480" s="7"/>
      <c r="J480" s="7"/>
      <c r="K480" s="7"/>
      <c r="L480" s="7"/>
      <c r="M480" s="7"/>
      <c r="N480" s="7"/>
      <c r="O480" s="7"/>
      <c r="P480" s="7"/>
      <c r="Q480" s="7"/>
      <c r="R480" s="7"/>
      <c r="S480" s="7"/>
      <c r="T480" s="7"/>
      <c r="U480" s="7"/>
      <c r="V480" s="7"/>
      <c r="W480" s="7"/>
      <c r="X480" s="7"/>
      <c r="Y480" s="7"/>
      <c r="Z480" s="7"/>
    </row>
    <row r="481">
      <c r="A481" s="78" t="s">
        <v>1717</v>
      </c>
      <c r="B481" s="79"/>
      <c r="C481" s="79"/>
      <c r="D481" s="79"/>
      <c r="E481" s="79"/>
      <c r="F481" s="79"/>
      <c r="G481" s="79"/>
      <c r="H481" s="80"/>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I483" s="7"/>
      <c r="J483" s="7"/>
      <c r="K483" s="7"/>
      <c r="L483" s="7"/>
      <c r="M483" s="7"/>
      <c r="N483" s="7"/>
      <c r="O483" s="7"/>
    </row>
    <row r="484">
      <c r="I484" s="7"/>
      <c r="J484" s="7"/>
      <c r="K484" s="7"/>
      <c r="L484" s="7"/>
      <c r="M484" s="7"/>
      <c r="N484" s="7"/>
      <c r="O484" s="7"/>
    </row>
    <row r="485">
      <c r="I485" s="7"/>
      <c r="J485" s="7"/>
      <c r="K485" s="7"/>
      <c r="L485" s="7"/>
      <c r="M485" s="7"/>
      <c r="N485" s="7"/>
      <c r="O485" s="7"/>
    </row>
    <row r="486">
      <c r="I486" s="7"/>
      <c r="J486" s="7"/>
      <c r="K486" s="7"/>
      <c r="L486" s="7"/>
      <c r="M486" s="7"/>
      <c r="N486" s="7"/>
      <c r="O486" s="7"/>
    </row>
    <row r="487">
      <c r="I487" s="7"/>
      <c r="J487" s="7"/>
      <c r="K487" s="7"/>
      <c r="L487" s="7"/>
      <c r="M487" s="7"/>
      <c r="N487" s="7"/>
      <c r="O487" s="7"/>
    </row>
    <row r="488">
      <c r="I488" s="7"/>
      <c r="J488" s="7"/>
      <c r="K488" s="7"/>
      <c r="L488" s="7"/>
      <c r="M488" s="7"/>
      <c r="N488" s="7"/>
      <c r="O488" s="7"/>
    </row>
    <row r="489">
      <c r="I489" s="7"/>
      <c r="J489" s="7"/>
      <c r="K489" s="7"/>
      <c r="L489" s="7"/>
      <c r="M489" s="7"/>
      <c r="N489" s="7"/>
      <c r="O489" s="7"/>
    </row>
    <row r="490">
      <c r="I490" s="7"/>
      <c r="J490" s="7"/>
      <c r="K490" s="7"/>
      <c r="L490" s="7"/>
      <c r="M490" s="7"/>
      <c r="N490" s="7"/>
      <c r="O490" s="7"/>
    </row>
    <row r="491">
      <c r="I491" s="7"/>
      <c r="J491" s="7"/>
      <c r="K491" s="7"/>
      <c r="L491" s="7"/>
      <c r="M491" s="7"/>
      <c r="N491" s="7"/>
      <c r="O491" s="7"/>
    </row>
    <row r="492">
      <c r="I492" s="7"/>
      <c r="J492" s="7"/>
      <c r="K492" s="7"/>
      <c r="L492" s="7"/>
      <c r="M492" s="7"/>
      <c r="N492" s="7"/>
      <c r="O492" s="7"/>
    </row>
    <row r="493">
      <c r="I493" s="7"/>
      <c r="J493" s="7"/>
      <c r="K493" s="7"/>
      <c r="L493" s="7"/>
      <c r="M493" s="7"/>
      <c r="N493" s="7"/>
      <c r="O493" s="7"/>
    </row>
    <row r="494">
      <c r="I494" s="7"/>
      <c r="J494" s="7"/>
      <c r="K494" s="7"/>
      <c r="L494" s="7"/>
      <c r="M494" s="7"/>
      <c r="N494" s="7"/>
      <c r="O494" s="7"/>
    </row>
    <row r="495">
      <c r="I495" s="7"/>
      <c r="J495" s="7"/>
      <c r="K495" s="7"/>
      <c r="L495" s="7"/>
      <c r="M495" s="7"/>
      <c r="N495" s="7"/>
      <c r="O495" s="7"/>
    </row>
    <row r="496">
      <c r="I496" s="7"/>
      <c r="J496" s="7"/>
      <c r="K496" s="7"/>
      <c r="L496" s="7"/>
      <c r="M496" s="7"/>
      <c r="N496" s="7"/>
      <c r="O496" s="7"/>
    </row>
    <row r="497">
      <c r="I497" s="7"/>
      <c r="J497" s="7"/>
      <c r="K497" s="7"/>
      <c r="L497" s="7"/>
      <c r="M497" s="7"/>
      <c r="N497" s="7"/>
      <c r="O497" s="7"/>
    </row>
    <row r="498">
      <c r="I498" s="7"/>
      <c r="J498" s="7"/>
      <c r="K498" s="7"/>
      <c r="L498" s="7"/>
      <c r="M498" s="7"/>
      <c r="N498" s="7"/>
      <c r="O498" s="7"/>
    </row>
    <row r="499">
      <c r="I499" s="7"/>
      <c r="J499" s="7"/>
      <c r="K499" s="7"/>
      <c r="L499" s="7"/>
      <c r="M499" s="7"/>
      <c r="N499" s="7"/>
      <c r="O499" s="7"/>
    </row>
    <row r="500">
      <c r="I500" s="7"/>
      <c r="J500" s="7"/>
      <c r="K500" s="7"/>
      <c r="L500" s="7"/>
      <c r="M500" s="7"/>
      <c r="N500" s="7"/>
      <c r="O500" s="7"/>
    </row>
    <row r="501">
      <c r="I501" s="7"/>
      <c r="J501" s="7"/>
      <c r="K501" s="7"/>
      <c r="L501" s="7"/>
      <c r="M501" s="7"/>
      <c r="N501" s="7"/>
      <c r="O501" s="7"/>
    </row>
    <row r="502">
      <c r="I502" s="7"/>
      <c r="J502" s="7"/>
      <c r="K502" s="7"/>
      <c r="L502" s="7"/>
      <c r="M502" s="7"/>
      <c r="N502" s="7"/>
      <c r="O502" s="7"/>
    </row>
    <row r="503">
      <c r="I503" s="7"/>
      <c r="J503" s="7"/>
      <c r="K503" s="7"/>
      <c r="L503" s="7"/>
      <c r="M503" s="7"/>
      <c r="N503" s="7"/>
      <c r="O503" s="7"/>
    </row>
    <row r="504">
      <c r="I504" s="7"/>
      <c r="J504" s="7"/>
      <c r="K504" s="7"/>
      <c r="L504" s="7"/>
      <c r="M504" s="7"/>
      <c r="N504" s="7"/>
      <c r="O504" s="7"/>
    </row>
    <row r="505">
      <c r="I505" s="7"/>
      <c r="J505" s="7"/>
      <c r="K505" s="7"/>
      <c r="L505" s="7"/>
      <c r="M505" s="7"/>
      <c r="N505" s="7"/>
      <c r="O505" s="7"/>
    </row>
    <row r="506">
      <c r="I506" s="7"/>
      <c r="J506" s="7"/>
      <c r="K506" s="7"/>
      <c r="L506" s="7"/>
      <c r="M506" s="7"/>
      <c r="N506" s="7"/>
      <c r="O506" s="7"/>
    </row>
    <row r="507">
      <c r="I507" s="7"/>
      <c r="J507" s="7"/>
      <c r="K507" s="7"/>
      <c r="L507" s="7"/>
      <c r="M507" s="7"/>
      <c r="N507" s="7"/>
      <c r="O507" s="7"/>
    </row>
    <row r="508">
      <c r="I508" s="7"/>
      <c r="J508" s="7"/>
      <c r="K508" s="7"/>
      <c r="L508" s="7"/>
      <c r="M508" s="7"/>
      <c r="N508" s="7"/>
      <c r="O508" s="7"/>
    </row>
    <row r="509">
      <c r="I509" s="7"/>
      <c r="J509" s="7"/>
      <c r="K509" s="7"/>
      <c r="L509" s="7"/>
      <c r="M509" s="7"/>
      <c r="N509" s="7"/>
      <c r="O509" s="7"/>
    </row>
    <row r="510">
      <c r="I510" s="7"/>
      <c r="J510" s="7"/>
      <c r="K510" s="7"/>
      <c r="L510" s="7"/>
      <c r="M510" s="7"/>
      <c r="N510" s="7"/>
      <c r="O510" s="7"/>
    </row>
    <row r="511">
      <c r="I511" s="7"/>
      <c r="J511" s="7"/>
      <c r="K511" s="7"/>
      <c r="L511" s="7"/>
      <c r="M511" s="7"/>
      <c r="N511" s="7"/>
      <c r="O511" s="7"/>
    </row>
    <row r="512">
      <c r="I512" s="7"/>
      <c r="J512" s="7"/>
      <c r="K512" s="7"/>
      <c r="L512" s="7"/>
      <c r="M512" s="7"/>
      <c r="N512" s="7"/>
      <c r="O512" s="7"/>
    </row>
    <row r="513">
      <c r="I513" s="7"/>
      <c r="J513" s="7"/>
      <c r="K513" s="7"/>
      <c r="L513" s="7"/>
      <c r="M513" s="7"/>
      <c r="N513" s="7"/>
      <c r="O513" s="7"/>
    </row>
    <row r="514">
      <c r="I514" s="7"/>
      <c r="J514" s="7"/>
      <c r="K514" s="7"/>
      <c r="L514" s="7"/>
      <c r="M514" s="7"/>
      <c r="N514" s="7"/>
      <c r="O514" s="7"/>
    </row>
    <row r="515">
      <c r="I515" s="7"/>
      <c r="J515" s="7"/>
      <c r="K515" s="7"/>
      <c r="L515" s="7"/>
      <c r="M515" s="7"/>
      <c r="N515" s="7"/>
      <c r="O515" s="7"/>
    </row>
    <row r="516">
      <c r="I516" s="7"/>
      <c r="J516" s="7"/>
      <c r="K516" s="7"/>
      <c r="L516" s="7"/>
      <c r="M516" s="7"/>
      <c r="N516" s="7"/>
      <c r="O516" s="7"/>
    </row>
    <row r="517">
      <c r="I517" s="7"/>
      <c r="J517" s="7"/>
      <c r="K517" s="7"/>
      <c r="L517" s="7"/>
      <c r="M517" s="7"/>
      <c r="N517" s="7"/>
      <c r="O517" s="7"/>
    </row>
    <row r="518">
      <c r="I518" s="7"/>
      <c r="J518" s="7"/>
      <c r="K518" s="7"/>
      <c r="L518" s="7"/>
      <c r="M518" s="7"/>
      <c r="N518" s="7"/>
      <c r="O518" s="7"/>
    </row>
    <row r="519">
      <c r="I519" s="7"/>
      <c r="J519" s="7"/>
      <c r="K519" s="7"/>
      <c r="L519" s="7"/>
      <c r="M519" s="7"/>
      <c r="N519" s="7"/>
      <c r="O519" s="7"/>
    </row>
    <row r="520">
      <c r="I520" s="7"/>
      <c r="J520" s="7"/>
      <c r="K520" s="7"/>
      <c r="L520" s="7"/>
      <c r="M520" s="7"/>
      <c r="N520" s="7"/>
      <c r="O520" s="7"/>
    </row>
    <row r="521">
      <c r="I521" s="7"/>
      <c r="J521" s="7"/>
      <c r="K521" s="7"/>
      <c r="L521" s="7"/>
      <c r="M521" s="7"/>
      <c r="N521" s="7"/>
      <c r="O521" s="7"/>
    </row>
    <row r="522">
      <c r="I522" s="7"/>
      <c r="J522" s="7"/>
      <c r="K522" s="7"/>
      <c r="L522" s="7"/>
      <c r="M522" s="7"/>
      <c r="N522" s="7"/>
      <c r="O522" s="7"/>
    </row>
    <row r="523">
      <c r="I523" s="7"/>
      <c r="J523" s="7"/>
      <c r="K523" s="7"/>
      <c r="L523" s="7"/>
      <c r="M523" s="7"/>
      <c r="N523" s="7"/>
      <c r="O523" s="7"/>
    </row>
    <row r="524">
      <c r="I524" s="7"/>
      <c r="J524" s="7"/>
      <c r="K524" s="7"/>
      <c r="L524" s="7"/>
      <c r="M524" s="7"/>
      <c r="N524" s="7"/>
      <c r="O524" s="7"/>
    </row>
    <row r="525">
      <c r="I525" s="7"/>
      <c r="J525" s="7"/>
      <c r="K525" s="7"/>
      <c r="L525" s="7"/>
      <c r="M525" s="7"/>
      <c r="N525" s="7"/>
      <c r="O525" s="7"/>
    </row>
    <row r="526">
      <c r="I526" s="7"/>
      <c r="J526" s="7"/>
      <c r="K526" s="7"/>
      <c r="L526" s="7"/>
      <c r="M526" s="7"/>
      <c r="N526" s="7"/>
      <c r="O526" s="7"/>
    </row>
    <row r="527">
      <c r="I527" s="7"/>
      <c r="J527" s="7"/>
      <c r="K527" s="7"/>
      <c r="L527" s="7"/>
      <c r="M527" s="7"/>
      <c r="N527" s="7"/>
      <c r="O527" s="7"/>
    </row>
    <row r="528">
      <c r="I528" s="7"/>
      <c r="J528" s="7"/>
      <c r="K528" s="7"/>
      <c r="L528" s="7"/>
      <c r="M528" s="7"/>
      <c r="N528" s="7"/>
      <c r="O528" s="7"/>
    </row>
    <row r="529">
      <c r="I529" s="7"/>
      <c r="J529" s="7"/>
      <c r="K529" s="7"/>
      <c r="L529" s="7"/>
      <c r="M529" s="7"/>
      <c r="N529" s="7"/>
      <c r="O529" s="7"/>
    </row>
    <row r="530">
      <c r="I530" s="7"/>
      <c r="J530" s="7"/>
      <c r="K530" s="7"/>
      <c r="L530" s="7"/>
      <c r="M530" s="7"/>
      <c r="N530" s="7"/>
      <c r="O530" s="7"/>
    </row>
    <row r="531">
      <c r="I531" s="7"/>
      <c r="J531" s="7"/>
      <c r="K531" s="7"/>
      <c r="L531" s="7"/>
      <c r="M531" s="7"/>
      <c r="N531" s="7"/>
      <c r="O531" s="7"/>
    </row>
    <row r="532">
      <c r="I532" s="7"/>
      <c r="J532" s="7"/>
      <c r="K532" s="7"/>
      <c r="L532" s="7"/>
      <c r="M532" s="7"/>
      <c r="N532" s="7"/>
      <c r="O532" s="7"/>
    </row>
    <row r="533">
      <c r="I533" s="7"/>
      <c r="J533" s="7"/>
      <c r="K533" s="7"/>
      <c r="L533" s="7"/>
      <c r="M533" s="7"/>
      <c r="N533" s="7"/>
      <c r="O533" s="7"/>
    </row>
    <row r="534">
      <c r="I534" s="7"/>
      <c r="J534" s="7"/>
      <c r="K534" s="7"/>
      <c r="L534" s="7"/>
      <c r="M534" s="7"/>
      <c r="N534" s="7"/>
      <c r="O534" s="7"/>
    </row>
    <row r="535">
      <c r="I535" s="7"/>
      <c r="J535" s="7"/>
      <c r="K535" s="7"/>
      <c r="L535" s="7"/>
      <c r="M535" s="7"/>
      <c r="N535" s="7"/>
      <c r="O535" s="7"/>
    </row>
    <row r="536">
      <c r="I536" s="7"/>
      <c r="J536" s="7"/>
      <c r="K536" s="7"/>
      <c r="L536" s="7"/>
      <c r="M536" s="7"/>
      <c r="N536" s="7"/>
      <c r="O536" s="7"/>
    </row>
    <row r="537">
      <c r="I537" s="7"/>
      <c r="J537" s="7"/>
      <c r="K537" s="7"/>
      <c r="L537" s="7"/>
      <c r="M537" s="7"/>
      <c r="N537" s="7"/>
      <c r="O537" s="7"/>
    </row>
    <row r="538">
      <c r="I538" s="7"/>
      <c r="J538" s="7"/>
      <c r="K538" s="7"/>
      <c r="L538" s="7"/>
      <c r="M538" s="7"/>
      <c r="N538" s="7"/>
      <c r="O538" s="7"/>
    </row>
    <row r="539">
      <c r="I539" s="7"/>
      <c r="J539" s="7"/>
      <c r="K539" s="7"/>
      <c r="L539" s="7"/>
      <c r="M539" s="7"/>
      <c r="N539" s="7"/>
      <c r="O539" s="7"/>
    </row>
    <row r="540">
      <c r="I540" s="7"/>
      <c r="J540" s="7"/>
      <c r="K540" s="7"/>
      <c r="L540" s="7"/>
      <c r="M540" s="7"/>
      <c r="N540" s="7"/>
      <c r="O540" s="7"/>
    </row>
    <row r="541">
      <c r="I541" s="7"/>
      <c r="J541" s="7"/>
      <c r="K541" s="7"/>
      <c r="L541" s="7"/>
      <c r="M541" s="7"/>
      <c r="N541" s="7"/>
      <c r="O541" s="7"/>
    </row>
    <row r="542">
      <c r="I542" s="7"/>
      <c r="J542" s="7"/>
      <c r="K542" s="7"/>
      <c r="L542" s="7"/>
      <c r="M542" s="7"/>
      <c r="N542" s="7"/>
      <c r="O542" s="7"/>
    </row>
    <row r="543">
      <c r="I543" s="7"/>
      <c r="J543" s="7"/>
      <c r="K543" s="7"/>
      <c r="L543" s="7"/>
      <c r="M543" s="7"/>
      <c r="N543" s="7"/>
      <c r="O543" s="7"/>
    </row>
    <row r="544">
      <c r="I544" s="7"/>
      <c r="J544" s="7"/>
      <c r="K544" s="7"/>
      <c r="L544" s="7"/>
      <c r="M544" s="7"/>
      <c r="N544" s="7"/>
      <c r="O544" s="7"/>
    </row>
    <row r="545">
      <c r="I545" s="7"/>
      <c r="J545" s="7"/>
      <c r="K545" s="7"/>
      <c r="L545" s="7"/>
      <c r="M545" s="7"/>
      <c r="N545" s="7"/>
      <c r="O545" s="7"/>
    </row>
    <row r="546">
      <c r="I546" s="7"/>
      <c r="J546" s="7"/>
      <c r="K546" s="7"/>
      <c r="L546" s="7"/>
      <c r="M546" s="7"/>
      <c r="N546" s="7"/>
      <c r="O546" s="7"/>
    </row>
    <row r="547">
      <c r="I547" s="7"/>
      <c r="J547" s="7"/>
      <c r="K547" s="7"/>
      <c r="L547" s="7"/>
      <c r="M547" s="7"/>
      <c r="N547" s="7"/>
      <c r="O547" s="7"/>
    </row>
    <row r="548">
      <c r="I548" s="7"/>
      <c r="J548" s="7"/>
      <c r="K548" s="7"/>
      <c r="L548" s="7"/>
      <c r="M548" s="7"/>
      <c r="N548" s="7"/>
      <c r="O548" s="7"/>
    </row>
    <row r="549">
      <c r="I549" s="7"/>
      <c r="J549" s="7"/>
      <c r="K549" s="7"/>
      <c r="L549" s="7"/>
      <c r="M549" s="7"/>
      <c r="N549" s="7"/>
      <c r="O549" s="7"/>
    </row>
    <row r="550">
      <c r="I550" s="7"/>
      <c r="J550" s="7"/>
      <c r="K550" s="7"/>
      <c r="L550" s="7"/>
      <c r="M550" s="7"/>
      <c r="N550" s="7"/>
      <c r="O550" s="7"/>
    </row>
    <row r="551">
      <c r="I551" s="7"/>
      <c r="J551" s="7"/>
      <c r="K551" s="7"/>
      <c r="L551" s="7"/>
      <c r="M551" s="7"/>
      <c r="N551" s="7"/>
      <c r="O551" s="7"/>
    </row>
    <row r="552">
      <c r="I552" s="7"/>
      <c r="J552" s="7"/>
      <c r="K552" s="7"/>
      <c r="L552" s="7"/>
      <c r="M552" s="7"/>
      <c r="N552" s="7"/>
      <c r="O552" s="7"/>
    </row>
    <row r="553">
      <c r="I553" s="7"/>
      <c r="J553" s="7"/>
      <c r="K553" s="7"/>
      <c r="L553" s="7"/>
      <c r="M553" s="7"/>
      <c r="N553" s="7"/>
      <c r="O553" s="7"/>
    </row>
    <row r="554">
      <c r="I554" s="7"/>
      <c r="J554" s="7"/>
      <c r="K554" s="7"/>
      <c r="L554" s="7"/>
      <c r="M554" s="7"/>
      <c r="N554" s="7"/>
      <c r="O554" s="7"/>
    </row>
    <row r="555">
      <c r="I555" s="7"/>
      <c r="J555" s="7"/>
      <c r="K555" s="7"/>
      <c r="L555" s="7"/>
      <c r="M555" s="7"/>
      <c r="N555" s="7"/>
      <c r="O555" s="7"/>
    </row>
    <row r="556">
      <c r="I556" s="7"/>
      <c r="J556" s="7"/>
      <c r="K556" s="7"/>
      <c r="L556" s="7"/>
      <c r="M556" s="7"/>
      <c r="N556" s="7"/>
      <c r="O556" s="7"/>
    </row>
    <row r="557">
      <c r="I557" s="7"/>
      <c r="J557" s="7"/>
      <c r="K557" s="7"/>
      <c r="L557" s="7"/>
      <c r="M557" s="7"/>
      <c r="N557" s="7"/>
      <c r="O557" s="7"/>
    </row>
    <row r="558">
      <c r="I558" s="7"/>
      <c r="J558" s="7"/>
      <c r="K558" s="7"/>
      <c r="L558" s="7"/>
      <c r="M558" s="7"/>
      <c r="N558" s="7"/>
      <c r="O558" s="7"/>
    </row>
    <row r="559">
      <c r="I559" s="7"/>
      <c r="J559" s="7"/>
      <c r="K559" s="7"/>
      <c r="L559" s="7"/>
      <c r="M559" s="7"/>
      <c r="N559" s="7"/>
      <c r="O559" s="7"/>
    </row>
    <row r="560">
      <c r="I560" s="7"/>
      <c r="J560" s="7"/>
      <c r="K560" s="7"/>
      <c r="L560" s="7"/>
      <c r="M560" s="7"/>
      <c r="N560" s="7"/>
      <c r="O560" s="7"/>
    </row>
    <row r="561">
      <c r="I561" s="7"/>
      <c r="J561" s="7"/>
      <c r="K561" s="7"/>
      <c r="L561" s="7"/>
      <c r="M561" s="7"/>
      <c r="N561" s="7"/>
      <c r="O561" s="7"/>
    </row>
    <row r="562">
      <c r="I562" s="7"/>
      <c r="J562" s="7"/>
      <c r="K562" s="7"/>
      <c r="L562" s="7"/>
      <c r="M562" s="7"/>
      <c r="N562" s="7"/>
      <c r="O562" s="7"/>
    </row>
    <row r="563">
      <c r="I563" s="7"/>
      <c r="J563" s="7"/>
      <c r="K563" s="7"/>
      <c r="L563" s="7"/>
      <c r="M563" s="7"/>
      <c r="N563" s="7"/>
      <c r="O563" s="7"/>
    </row>
    <row r="564">
      <c r="I564" s="7"/>
      <c r="J564" s="7"/>
      <c r="K564" s="7"/>
      <c r="L564" s="7"/>
      <c r="M564" s="7"/>
      <c r="N564" s="7"/>
      <c r="O564" s="7"/>
    </row>
    <row r="565">
      <c r="I565" s="7"/>
      <c r="J565" s="7"/>
      <c r="K565" s="7"/>
      <c r="L565" s="7"/>
      <c r="M565" s="7"/>
      <c r="N565" s="7"/>
      <c r="O565" s="7"/>
    </row>
    <row r="566">
      <c r="I566" s="7"/>
      <c r="J566" s="7"/>
      <c r="K566" s="7"/>
      <c r="L566" s="7"/>
      <c r="M566" s="7"/>
      <c r="N566" s="7"/>
      <c r="O566" s="7"/>
    </row>
    <row r="567">
      <c r="I567" s="7"/>
      <c r="J567" s="7"/>
      <c r="K567" s="7"/>
      <c r="L567" s="7"/>
      <c r="M567" s="7"/>
      <c r="N567" s="7"/>
      <c r="O567" s="7"/>
    </row>
    <row r="568">
      <c r="I568" s="7"/>
      <c r="J568" s="7"/>
      <c r="K568" s="7"/>
      <c r="L568" s="7"/>
      <c r="M568" s="7"/>
      <c r="N568" s="7"/>
      <c r="O568" s="7"/>
    </row>
    <row r="569">
      <c r="I569" s="7"/>
      <c r="J569" s="7"/>
      <c r="K569" s="7"/>
      <c r="L569" s="7"/>
      <c r="M569" s="7"/>
      <c r="N569" s="7"/>
      <c r="O569" s="7"/>
    </row>
    <row r="570">
      <c r="I570" s="7"/>
      <c r="J570" s="7"/>
      <c r="K570" s="7"/>
      <c r="L570" s="7"/>
      <c r="M570" s="7"/>
      <c r="N570" s="7"/>
      <c r="O570" s="7"/>
    </row>
    <row r="571">
      <c r="I571" s="7"/>
      <c r="J571" s="7"/>
      <c r="K571" s="7"/>
      <c r="L571" s="7"/>
      <c r="M571" s="7"/>
      <c r="N571" s="7"/>
      <c r="O571" s="7"/>
    </row>
    <row r="572">
      <c r="I572" s="7"/>
      <c r="J572" s="7"/>
      <c r="K572" s="7"/>
      <c r="L572" s="7"/>
      <c r="M572" s="7"/>
      <c r="N572" s="7"/>
      <c r="O572" s="7"/>
    </row>
    <row r="573">
      <c r="I573" s="7"/>
      <c r="J573" s="7"/>
      <c r="K573" s="7"/>
      <c r="L573" s="7"/>
      <c r="M573" s="7"/>
      <c r="N573" s="7"/>
      <c r="O573" s="7"/>
    </row>
    <row r="574">
      <c r="I574" s="7"/>
      <c r="J574" s="7"/>
      <c r="K574" s="7"/>
      <c r="L574" s="7"/>
      <c r="M574" s="7"/>
      <c r="N574" s="7"/>
      <c r="O574" s="7"/>
    </row>
    <row r="575">
      <c r="I575" s="7"/>
      <c r="J575" s="7"/>
      <c r="K575" s="7"/>
      <c r="L575" s="7"/>
      <c r="M575" s="7"/>
      <c r="N575" s="7"/>
      <c r="O575" s="7"/>
    </row>
    <row r="576">
      <c r="I576" s="7"/>
      <c r="J576" s="7"/>
      <c r="K576" s="7"/>
      <c r="L576" s="7"/>
      <c r="M576" s="7"/>
      <c r="N576" s="7"/>
      <c r="O576" s="7"/>
    </row>
    <row r="577">
      <c r="I577" s="7"/>
      <c r="J577" s="7"/>
      <c r="K577" s="7"/>
      <c r="L577" s="7"/>
      <c r="M577" s="7"/>
      <c r="N577" s="7"/>
      <c r="O577" s="7"/>
    </row>
    <row r="578">
      <c r="I578" s="7"/>
      <c r="J578" s="7"/>
      <c r="K578" s="7"/>
      <c r="L578" s="7"/>
      <c r="M578" s="7"/>
      <c r="N578" s="7"/>
      <c r="O578" s="7"/>
    </row>
    <row r="579">
      <c r="I579" s="7"/>
      <c r="J579" s="7"/>
      <c r="K579" s="7"/>
      <c r="L579" s="7"/>
      <c r="M579" s="7"/>
      <c r="N579" s="7"/>
      <c r="O579" s="7"/>
    </row>
    <row r="580">
      <c r="I580" s="7"/>
      <c r="J580" s="7"/>
      <c r="K580" s="7"/>
      <c r="L580" s="7"/>
      <c r="M580" s="7"/>
      <c r="N580" s="7"/>
      <c r="O580" s="7"/>
    </row>
    <row r="581">
      <c r="I581" s="7"/>
      <c r="J581" s="7"/>
      <c r="K581" s="7"/>
      <c r="L581" s="7"/>
      <c r="M581" s="7"/>
      <c r="N581" s="7"/>
      <c r="O581" s="7"/>
    </row>
    <row r="582">
      <c r="I582" s="7"/>
      <c r="J582" s="7"/>
      <c r="K582" s="7"/>
      <c r="L582" s="7"/>
      <c r="M582" s="7"/>
      <c r="N582" s="7"/>
      <c r="O582" s="7"/>
    </row>
    <row r="583">
      <c r="I583" s="7"/>
      <c r="J583" s="7"/>
      <c r="K583" s="7"/>
      <c r="L583" s="7"/>
      <c r="M583" s="7"/>
      <c r="N583" s="7"/>
      <c r="O583" s="7"/>
    </row>
    <row r="584">
      <c r="I584" s="7"/>
      <c r="J584" s="7"/>
      <c r="K584" s="7"/>
      <c r="L584" s="7"/>
      <c r="M584" s="7"/>
      <c r="N584" s="7"/>
      <c r="O584" s="7"/>
    </row>
    <row r="585">
      <c r="I585" s="7"/>
      <c r="J585" s="7"/>
      <c r="K585" s="7"/>
      <c r="L585" s="7"/>
      <c r="M585" s="7"/>
      <c r="N585" s="7"/>
      <c r="O585" s="7"/>
    </row>
    <row r="586">
      <c r="I586" s="7"/>
      <c r="J586" s="7"/>
      <c r="K586" s="7"/>
      <c r="L586" s="7"/>
      <c r="M586" s="7"/>
      <c r="N586" s="7"/>
      <c r="O586" s="7"/>
    </row>
    <row r="587">
      <c r="I587" s="7"/>
      <c r="J587" s="7"/>
      <c r="K587" s="7"/>
      <c r="L587" s="7"/>
      <c r="M587" s="7"/>
      <c r="N587" s="7"/>
      <c r="O587" s="7"/>
    </row>
    <row r="588">
      <c r="I588" s="7"/>
      <c r="J588" s="7"/>
      <c r="K588" s="7"/>
      <c r="L588" s="7"/>
      <c r="M588" s="7"/>
      <c r="N588" s="7"/>
      <c r="O588" s="7"/>
    </row>
    <row r="589">
      <c r="I589" s="7"/>
      <c r="J589" s="7"/>
      <c r="K589" s="7"/>
      <c r="L589" s="7"/>
      <c r="M589" s="7"/>
      <c r="N589" s="7"/>
      <c r="O589" s="7"/>
    </row>
    <row r="590">
      <c r="I590" s="7"/>
      <c r="J590" s="7"/>
      <c r="K590" s="7"/>
      <c r="L590" s="7"/>
      <c r="M590" s="7"/>
      <c r="N590" s="7"/>
      <c r="O590" s="7"/>
    </row>
    <row r="591">
      <c r="I591" s="7"/>
      <c r="J591" s="7"/>
      <c r="K591" s="7"/>
      <c r="L591" s="7"/>
      <c r="M591" s="7"/>
      <c r="N591" s="7"/>
      <c r="O591" s="7"/>
    </row>
    <row r="592">
      <c r="I592" s="7"/>
      <c r="J592" s="7"/>
      <c r="K592" s="7"/>
      <c r="L592" s="7"/>
      <c r="M592" s="7"/>
      <c r="N592" s="7"/>
      <c r="O592" s="7"/>
    </row>
    <row r="593">
      <c r="I593" s="7"/>
      <c r="J593" s="7"/>
      <c r="K593" s="7"/>
      <c r="L593" s="7"/>
      <c r="M593" s="7"/>
      <c r="N593" s="7"/>
      <c r="O593" s="7"/>
    </row>
    <row r="594">
      <c r="I594" s="7"/>
      <c r="J594" s="7"/>
      <c r="K594" s="7"/>
      <c r="L594" s="7"/>
      <c r="M594" s="7"/>
      <c r="N594" s="7"/>
      <c r="O594" s="7"/>
    </row>
    <row r="595">
      <c r="I595" s="7"/>
      <c r="J595" s="7"/>
      <c r="K595" s="7"/>
      <c r="L595" s="7"/>
      <c r="M595" s="7"/>
      <c r="N595" s="7"/>
      <c r="O595" s="7"/>
    </row>
    <row r="596">
      <c r="I596" s="7"/>
      <c r="J596" s="7"/>
      <c r="K596" s="7"/>
      <c r="L596" s="7"/>
      <c r="M596" s="7"/>
      <c r="N596" s="7"/>
      <c r="O596" s="7"/>
    </row>
    <row r="597">
      <c r="I597" s="7"/>
      <c r="J597" s="7"/>
      <c r="K597" s="7"/>
      <c r="L597" s="7"/>
      <c r="M597" s="7"/>
      <c r="N597" s="7"/>
      <c r="O597" s="7"/>
    </row>
    <row r="598">
      <c r="I598" s="7"/>
      <c r="J598" s="7"/>
      <c r="K598" s="7"/>
      <c r="L598" s="7"/>
      <c r="M598" s="7"/>
      <c r="N598" s="7"/>
      <c r="O598" s="7"/>
    </row>
    <row r="599">
      <c r="I599" s="7"/>
      <c r="J599" s="7"/>
      <c r="K599" s="7"/>
      <c r="L599" s="7"/>
      <c r="M599" s="7"/>
      <c r="N599" s="7"/>
      <c r="O599" s="7"/>
    </row>
    <row r="600">
      <c r="I600" s="7"/>
      <c r="J600" s="7"/>
      <c r="K600" s="7"/>
      <c r="L600" s="7"/>
      <c r="M600" s="7"/>
      <c r="N600" s="7"/>
      <c r="O600" s="7"/>
    </row>
    <row r="601">
      <c r="I601" s="7"/>
      <c r="J601" s="7"/>
      <c r="K601" s="7"/>
      <c r="L601" s="7"/>
      <c r="M601" s="7"/>
      <c r="N601" s="7"/>
      <c r="O601" s="7"/>
    </row>
    <row r="602">
      <c r="I602" s="7"/>
      <c r="J602" s="7"/>
      <c r="K602" s="7"/>
      <c r="L602" s="7"/>
      <c r="M602" s="7"/>
      <c r="N602" s="7"/>
      <c r="O602" s="7"/>
    </row>
    <row r="603">
      <c r="I603" s="7"/>
      <c r="J603" s="7"/>
      <c r="K603" s="7"/>
      <c r="L603" s="7"/>
      <c r="M603" s="7"/>
      <c r="N603" s="7"/>
      <c r="O603" s="7"/>
    </row>
    <row r="604">
      <c r="I604" s="7"/>
      <c r="J604" s="7"/>
      <c r="K604" s="7"/>
      <c r="L604" s="7"/>
      <c r="M604" s="7"/>
      <c r="N604" s="7"/>
      <c r="O604" s="7"/>
    </row>
    <row r="605">
      <c r="I605" s="7"/>
      <c r="J605" s="7"/>
      <c r="K605" s="7"/>
      <c r="L605" s="7"/>
      <c r="M605" s="7"/>
      <c r="N605" s="7"/>
      <c r="O605" s="7"/>
    </row>
    <row r="606">
      <c r="I606" s="7"/>
      <c r="J606" s="7"/>
      <c r="K606" s="7"/>
      <c r="L606" s="7"/>
      <c r="M606" s="7"/>
      <c r="N606" s="7"/>
      <c r="O606" s="7"/>
    </row>
    <row r="607">
      <c r="I607" s="7"/>
      <c r="J607" s="7"/>
      <c r="K607" s="7"/>
      <c r="L607" s="7"/>
      <c r="M607" s="7"/>
      <c r="N607" s="7"/>
      <c r="O607" s="7"/>
    </row>
    <row r="608">
      <c r="I608" s="7"/>
      <c r="J608" s="7"/>
      <c r="K608" s="7"/>
      <c r="L608" s="7"/>
      <c r="M608" s="7"/>
      <c r="N608" s="7"/>
      <c r="O608" s="7"/>
    </row>
    <row r="609">
      <c r="I609" s="7"/>
      <c r="J609" s="7"/>
      <c r="K609" s="7"/>
      <c r="L609" s="7"/>
      <c r="M609" s="7"/>
      <c r="N609" s="7"/>
      <c r="O609" s="7"/>
    </row>
    <row r="610">
      <c r="I610" s="7"/>
      <c r="J610" s="7"/>
      <c r="K610" s="7"/>
      <c r="L610" s="7"/>
      <c r="M610" s="7"/>
      <c r="N610" s="7"/>
      <c r="O610" s="7"/>
    </row>
    <row r="611">
      <c r="I611" s="7"/>
      <c r="J611" s="7"/>
      <c r="K611" s="7"/>
      <c r="L611" s="7"/>
      <c r="M611" s="7"/>
      <c r="N611" s="7"/>
      <c r="O611" s="7"/>
    </row>
    <row r="612">
      <c r="I612" s="7"/>
      <c r="J612" s="7"/>
      <c r="K612" s="7"/>
      <c r="L612" s="7"/>
      <c r="M612" s="7"/>
      <c r="N612" s="7"/>
      <c r="O612" s="7"/>
    </row>
    <row r="613">
      <c r="I613" s="7"/>
      <c r="J613" s="7"/>
      <c r="K613" s="7"/>
      <c r="L613" s="7"/>
      <c r="M613" s="7"/>
      <c r="N613" s="7"/>
      <c r="O613" s="7"/>
    </row>
    <row r="614">
      <c r="I614" s="7"/>
      <c r="J614" s="7"/>
      <c r="K614" s="7"/>
      <c r="L614" s="7"/>
      <c r="M614" s="7"/>
      <c r="N614" s="7"/>
      <c r="O614" s="7"/>
    </row>
    <row r="615">
      <c r="I615" s="7"/>
      <c r="J615" s="7"/>
      <c r="K615" s="7"/>
      <c r="L615" s="7"/>
      <c r="M615" s="7"/>
      <c r="N615" s="7"/>
      <c r="O615" s="7"/>
    </row>
    <row r="616">
      <c r="I616" s="7"/>
      <c r="J616" s="7"/>
      <c r="K616" s="7"/>
      <c r="L616" s="7"/>
      <c r="M616" s="7"/>
      <c r="N616" s="7"/>
      <c r="O616" s="7"/>
    </row>
    <row r="617">
      <c r="I617" s="7"/>
      <c r="J617" s="7"/>
      <c r="K617" s="7"/>
      <c r="L617" s="7"/>
      <c r="M617" s="7"/>
      <c r="N617" s="7"/>
      <c r="O617" s="7"/>
    </row>
    <row r="618">
      <c r="I618" s="7"/>
      <c r="J618" s="7"/>
      <c r="K618" s="7"/>
      <c r="L618" s="7"/>
      <c r="M618" s="7"/>
      <c r="N618" s="7"/>
      <c r="O618" s="7"/>
    </row>
    <row r="619">
      <c r="I619" s="7"/>
      <c r="J619" s="7"/>
      <c r="K619" s="7"/>
      <c r="L619" s="7"/>
      <c r="M619" s="7"/>
      <c r="N619" s="7"/>
      <c r="O619" s="7"/>
    </row>
    <row r="620">
      <c r="I620" s="7"/>
      <c r="J620" s="7"/>
      <c r="K620" s="7"/>
      <c r="L620" s="7"/>
      <c r="M620" s="7"/>
      <c r="N620" s="7"/>
      <c r="O620" s="7"/>
    </row>
    <row r="621">
      <c r="I621" s="7"/>
      <c r="J621" s="7"/>
      <c r="K621" s="7"/>
      <c r="L621" s="7"/>
      <c r="M621" s="7"/>
      <c r="N621" s="7"/>
      <c r="O621" s="7"/>
    </row>
    <row r="622">
      <c r="I622" s="7"/>
      <c r="J622" s="7"/>
      <c r="K622" s="7"/>
      <c r="L622" s="7"/>
      <c r="M622" s="7"/>
      <c r="N622" s="7"/>
      <c r="O622" s="7"/>
    </row>
    <row r="623">
      <c r="I623" s="7"/>
      <c r="J623" s="7"/>
      <c r="K623" s="7"/>
      <c r="L623" s="7"/>
      <c r="M623" s="7"/>
      <c r="N623" s="7"/>
      <c r="O623" s="7"/>
    </row>
    <row r="624">
      <c r="I624" s="7"/>
      <c r="J624" s="7"/>
      <c r="K624" s="7"/>
      <c r="L624" s="7"/>
      <c r="M624" s="7"/>
      <c r="N624" s="7"/>
      <c r="O624" s="7"/>
    </row>
    <row r="625">
      <c r="I625" s="7"/>
      <c r="J625" s="7"/>
      <c r="K625" s="7"/>
      <c r="L625" s="7"/>
      <c r="M625" s="7"/>
      <c r="N625" s="7"/>
      <c r="O625" s="7"/>
    </row>
    <row r="626">
      <c r="I626" s="7"/>
      <c r="J626" s="7"/>
      <c r="K626" s="7"/>
      <c r="L626" s="7"/>
      <c r="M626" s="7"/>
      <c r="N626" s="7"/>
      <c r="O626" s="7"/>
    </row>
    <row r="627">
      <c r="I627" s="7"/>
      <c r="J627" s="7"/>
      <c r="K627" s="7"/>
      <c r="L627" s="7"/>
      <c r="M627" s="7"/>
      <c r="N627" s="7"/>
      <c r="O627" s="7"/>
    </row>
    <row r="628">
      <c r="I628" s="7"/>
      <c r="J628" s="7"/>
      <c r="K628" s="7"/>
      <c r="L628" s="7"/>
      <c r="M628" s="7"/>
      <c r="N628" s="7"/>
      <c r="O628" s="7"/>
    </row>
    <row r="629">
      <c r="I629" s="7"/>
      <c r="J629" s="7"/>
      <c r="K629" s="7"/>
      <c r="L629" s="7"/>
      <c r="M629" s="7"/>
      <c r="N629" s="7"/>
      <c r="O629" s="7"/>
    </row>
    <row r="630">
      <c r="I630" s="7"/>
      <c r="J630" s="7"/>
      <c r="K630" s="7"/>
      <c r="L630" s="7"/>
      <c r="M630" s="7"/>
      <c r="N630" s="7"/>
      <c r="O630" s="7"/>
    </row>
    <row r="631">
      <c r="I631" s="7"/>
      <c r="J631" s="7"/>
      <c r="K631" s="7"/>
      <c r="L631" s="7"/>
      <c r="M631" s="7"/>
      <c r="N631" s="7"/>
      <c r="O631" s="7"/>
    </row>
    <row r="632">
      <c r="I632" s="7"/>
      <c r="J632" s="7"/>
      <c r="K632" s="7"/>
      <c r="L632" s="7"/>
      <c r="M632" s="7"/>
      <c r="N632" s="7"/>
      <c r="O632" s="7"/>
    </row>
    <row r="633">
      <c r="I633" s="7"/>
      <c r="J633" s="7"/>
      <c r="K633" s="7"/>
      <c r="L633" s="7"/>
      <c r="M633" s="7"/>
      <c r="N633" s="7"/>
      <c r="O633" s="7"/>
    </row>
    <row r="634">
      <c r="I634" s="7"/>
      <c r="J634" s="7"/>
      <c r="K634" s="7"/>
      <c r="L634" s="7"/>
      <c r="M634" s="7"/>
      <c r="N634" s="7"/>
      <c r="O634" s="7"/>
    </row>
    <row r="635">
      <c r="I635" s="7"/>
      <c r="J635" s="7"/>
      <c r="K635" s="7"/>
      <c r="L635" s="7"/>
      <c r="M635" s="7"/>
      <c r="N635" s="7"/>
      <c r="O635" s="7"/>
    </row>
    <row r="636">
      <c r="I636" s="7"/>
      <c r="J636" s="7"/>
      <c r="K636" s="7"/>
      <c r="L636" s="7"/>
      <c r="M636" s="7"/>
      <c r="N636" s="7"/>
      <c r="O636" s="7"/>
    </row>
    <row r="637">
      <c r="I637" s="7"/>
      <c r="J637" s="7"/>
      <c r="K637" s="7"/>
      <c r="L637" s="7"/>
      <c r="M637" s="7"/>
      <c r="N637" s="7"/>
      <c r="O637" s="7"/>
    </row>
    <row r="638">
      <c r="I638" s="7"/>
      <c r="J638" s="7"/>
      <c r="K638" s="7"/>
      <c r="L638" s="7"/>
      <c r="M638" s="7"/>
      <c r="N638" s="7"/>
      <c r="O638" s="7"/>
    </row>
    <row r="639">
      <c r="I639" s="7"/>
      <c r="J639" s="7"/>
      <c r="K639" s="7"/>
      <c r="L639" s="7"/>
      <c r="M639" s="7"/>
      <c r="N639" s="7"/>
      <c r="O639" s="7"/>
    </row>
    <row r="640">
      <c r="I640" s="7"/>
      <c r="J640" s="7"/>
      <c r="K640" s="7"/>
      <c r="L640" s="7"/>
      <c r="M640" s="7"/>
      <c r="N640" s="7"/>
      <c r="O640" s="7"/>
    </row>
    <row r="641">
      <c r="I641" s="7"/>
      <c r="J641" s="7"/>
      <c r="K641" s="7"/>
      <c r="L641" s="7"/>
      <c r="M641" s="7"/>
      <c r="N641" s="7"/>
      <c r="O641" s="7"/>
    </row>
    <row r="642">
      <c r="I642" s="7"/>
      <c r="J642" s="7"/>
      <c r="K642" s="7"/>
      <c r="L642" s="7"/>
      <c r="M642" s="7"/>
      <c r="N642" s="7"/>
      <c r="O642" s="7"/>
    </row>
    <row r="643">
      <c r="I643" s="7"/>
      <c r="J643" s="7"/>
      <c r="K643" s="7"/>
      <c r="L643" s="7"/>
      <c r="M643" s="7"/>
      <c r="N643" s="7"/>
      <c r="O643" s="7"/>
    </row>
    <row r="644">
      <c r="I644" s="7"/>
      <c r="J644" s="7"/>
      <c r="K644" s="7"/>
      <c r="L644" s="7"/>
      <c r="M644" s="7"/>
      <c r="N644" s="7"/>
      <c r="O644" s="7"/>
    </row>
    <row r="645">
      <c r="I645" s="7"/>
      <c r="J645" s="7"/>
      <c r="K645" s="7"/>
      <c r="L645" s="7"/>
      <c r="M645" s="7"/>
      <c r="N645" s="7"/>
      <c r="O645" s="7"/>
    </row>
    <row r="646">
      <c r="I646" s="7"/>
      <c r="J646" s="7"/>
      <c r="K646" s="7"/>
      <c r="L646" s="7"/>
      <c r="M646" s="7"/>
      <c r="N646" s="7"/>
      <c r="O646" s="7"/>
    </row>
    <row r="647">
      <c r="I647" s="7"/>
      <c r="J647" s="7"/>
      <c r="K647" s="7"/>
      <c r="L647" s="7"/>
      <c r="M647" s="7"/>
      <c r="N647" s="7"/>
      <c r="O647" s="7"/>
    </row>
    <row r="648">
      <c r="I648" s="7"/>
      <c r="J648" s="7"/>
      <c r="K648" s="7"/>
      <c r="L648" s="7"/>
      <c r="M648" s="7"/>
      <c r="N648" s="7"/>
      <c r="O648" s="7"/>
    </row>
    <row r="649">
      <c r="I649" s="7"/>
      <c r="J649" s="7"/>
      <c r="K649" s="7"/>
      <c r="L649" s="7"/>
      <c r="M649" s="7"/>
      <c r="N649" s="7"/>
      <c r="O649" s="7"/>
    </row>
    <row r="650">
      <c r="I650" s="7"/>
      <c r="J650" s="7"/>
      <c r="K650" s="7"/>
      <c r="L650" s="7"/>
      <c r="M650" s="7"/>
      <c r="N650" s="7"/>
      <c r="O650" s="7"/>
    </row>
    <row r="651">
      <c r="I651" s="7"/>
      <c r="J651" s="7"/>
      <c r="K651" s="7"/>
      <c r="L651" s="7"/>
      <c r="M651" s="7"/>
      <c r="N651" s="7"/>
      <c r="O651" s="7"/>
    </row>
    <row r="652">
      <c r="I652" s="7"/>
      <c r="J652" s="7"/>
      <c r="K652" s="7"/>
      <c r="L652" s="7"/>
      <c r="M652" s="7"/>
      <c r="N652" s="7"/>
      <c r="O652" s="7"/>
    </row>
    <row r="653">
      <c r="I653" s="7"/>
      <c r="J653" s="7"/>
      <c r="K653" s="7"/>
      <c r="L653" s="7"/>
      <c r="M653" s="7"/>
      <c r="N653" s="7"/>
      <c r="O653" s="7"/>
    </row>
    <row r="654">
      <c r="I654" s="7"/>
      <c r="J654" s="7"/>
      <c r="K654" s="7"/>
      <c r="L654" s="7"/>
      <c r="M654" s="7"/>
      <c r="N654" s="7"/>
      <c r="O654" s="7"/>
    </row>
    <row r="655">
      <c r="I655" s="7"/>
      <c r="J655" s="7"/>
      <c r="K655" s="7"/>
      <c r="L655" s="7"/>
      <c r="M655" s="7"/>
      <c r="N655" s="7"/>
      <c r="O655" s="7"/>
    </row>
    <row r="656">
      <c r="I656" s="7"/>
      <c r="J656" s="7"/>
      <c r="K656" s="7"/>
      <c r="L656" s="7"/>
      <c r="M656" s="7"/>
      <c r="N656" s="7"/>
      <c r="O656" s="7"/>
    </row>
    <row r="657">
      <c r="I657" s="7"/>
      <c r="J657" s="7"/>
      <c r="K657" s="7"/>
      <c r="L657" s="7"/>
      <c r="M657" s="7"/>
      <c r="N657" s="7"/>
      <c r="O657" s="7"/>
    </row>
    <row r="658">
      <c r="I658" s="7"/>
      <c r="J658" s="7"/>
      <c r="K658" s="7"/>
      <c r="L658" s="7"/>
      <c r="M658" s="7"/>
      <c r="N658" s="7"/>
      <c r="O658" s="7"/>
    </row>
    <row r="659">
      <c r="I659" s="7"/>
      <c r="J659" s="7"/>
      <c r="K659" s="7"/>
      <c r="L659" s="7"/>
      <c r="M659" s="7"/>
      <c r="N659" s="7"/>
      <c r="O659" s="7"/>
    </row>
    <row r="660">
      <c r="I660" s="7"/>
      <c r="J660" s="7"/>
      <c r="K660" s="7"/>
      <c r="L660" s="7"/>
      <c r="M660" s="7"/>
      <c r="N660" s="7"/>
      <c r="O660" s="7"/>
    </row>
    <row r="661">
      <c r="I661" s="7"/>
      <c r="J661" s="7"/>
      <c r="K661" s="7"/>
      <c r="L661" s="7"/>
      <c r="M661" s="7"/>
      <c r="N661" s="7"/>
      <c r="O661" s="7"/>
    </row>
    <row r="662">
      <c r="I662" s="7"/>
      <c r="J662" s="7"/>
      <c r="K662" s="7"/>
      <c r="L662" s="7"/>
      <c r="M662" s="7"/>
      <c r="N662" s="7"/>
      <c r="O662" s="7"/>
    </row>
    <row r="663">
      <c r="I663" s="7"/>
      <c r="J663" s="7"/>
      <c r="K663" s="7"/>
      <c r="L663" s="7"/>
      <c r="M663" s="7"/>
      <c r="N663" s="7"/>
      <c r="O663" s="7"/>
    </row>
    <row r="664">
      <c r="I664" s="7"/>
      <c r="J664" s="7"/>
      <c r="K664" s="7"/>
      <c r="L664" s="7"/>
      <c r="M664" s="7"/>
      <c r="N664" s="7"/>
      <c r="O664" s="7"/>
    </row>
    <row r="665">
      <c r="I665" s="7"/>
      <c r="J665" s="7"/>
      <c r="K665" s="7"/>
      <c r="L665" s="7"/>
      <c r="M665" s="7"/>
      <c r="N665" s="7"/>
      <c r="O665" s="7"/>
    </row>
    <row r="666">
      <c r="I666" s="7"/>
      <c r="J666" s="7"/>
      <c r="K666" s="7"/>
      <c r="L666" s="7"/>
      <c r="M666" s="7"/>
      <c r="N666" s="7"/>
      <c r="O666" s="7"/>
    </row>
    <row r="667">
      <c r="I667" s="7"/>
      <c r="J667" s="7"/>
      <c r="K667" s="7"/>
      <c r="L667" s="7"/>
      <c r="M667" s="7"/>
      <c r="N667" s="7"/>
      <c r="O667" s="7"/>
    </row>
    <row r="668">
      <c r="I668" s="7"/>
      <c r="J668" s="7"/>
      <c r="K668" s="7"/>
      <c r="L668" s="7"/>
      <c r="M668" s="7"/>
      <c r="N668" s="7"/>
      <c r="O668" s="7"/>
    </row>
    <row r="669">
      <c r="I669" s="7"/>
      <c r="J669" s="7"/>
      <c r="K669" s="7"/>
      <c r="L669" s="7"/>
      <c r="M669" s="7"/>
      <c r="N669" s="7"/>
      <c r="O669" s="7"/>
    </row>
    <row r="670">
      <c r="I670" s="7"/>
      <c r="J670" s="7"/>
      <c r="K670" s="7"/>
      <c r="L670" s="7"/>
      <c r="M670" s="7"/>
      <c r="N670" s="7"/>
      <c r="O670" s="7"/>
    </row>
    <row r="671">
      <c r="I671" s="7"/>
      <c r="J671" s="7"/>
      <c r="K671" s="7"/>
      <c r="L671" s="7"/>
      <c r="M671" s="7"/>
      <c r="N671" s="7"/>
      <c r="O671" s="7"/>
    </row>
    <row r="672">
      <c r="I672" s="7"/>
      <c r="J672" s="7"/>
      <c r="K672" s="7"/>
      <c r="L672" s="7"/>
      <c r="M672" s="7"/>
      <c r="N672" s="7"/>
      <c r="O672" s="7"/>
    </row>
    <row r="673">
      <c r="I673" s="7"/>
      <c r="J673" s="7"/>
      <c r="K673" s="7"/>
      <c r="L673" s="7"/>
      <c r="M673" s="7"/>
      <c r="N673" s="7"/>
      <c r="O673" s="7"/>
    </row>
    <row r="674">
      <c r="I674" s="7"/>
      <c r="J674" s="7"/>
      <c r="K674" s="7"/>
      <c r="L674" s="7"/>
      <c r="M674" s="7"/>
      <c r="N674" s="7"/>
      <c r="O674" s="7"/>
    </row>
    <row r="675">
      <c r="I675" s="7"/>
      <c r="J675" s="7"/>
      <c r="K675" s="7"/>
      <c r="L675" s="7"/>
      <c r="M675" s="7"/>
      <c r="N675" s="7"/>
      <c r="O675" s="7"/>
    </row>
    <row r="676">
      <c r="I676" s="7"/>
      <c r="J676" s="7"/>
      <c r="K676" s="7"/>
      <c r="L676" s="7"/>
      <c r="M676" s="7"/>
      <c r="N676" s="7"/>
      <c r="O676" s="7"/>
    </row>
    <row r="677">
      <c r="I677" s="7"/>
      <c r="J677" s="7"/>
      <c r="K677" s="7"/>
      <c r="L677" s="7"/>
      <c r="M677" s="7"/>
      <c r="N677" s="7"/>
      <c r="O677" s="7"/>
    </row>
    <row r="678">
      <c r="I678" s="7"/>
      <c r="J678" s="7"/>
      <c r="K678" s="7"/>
      <c r="L678" s="7"/>
      <c r="M678" s="7"/>
      <c r="N678" s="7"/>
      <c r="O678" s="7"/>
    </row>
    <row r="679">
      <c r="I679" s="7"/>
      <c r="J679" s="7"/>
      <c r="K679" s="7"/>
      <c r="L679" s="7"/>
      <c r="M679" s="7"/>
      <c r="N679" s="7"/>
      <c r="O679" s="7"/>
    </row>
    <row r="680">
      <c r="I680" s="7"/>
      <c r="J680" s="7"/>
      <c r="K680" s="7"/>
      <c r="L680" s="7"/>
      <c r="M680" s="7"/>
      <c r="N680" s="7"/>
      <c r="O680" s="7"/>
    </row>
    <row r="681">
      <c r="I681" s="7"/>
      <c r="J681" s="7"/>
      <c r="K681" s="7"/>
      <c r="L681" s="7"/>
      <c r="M681" s="7"/>
      <c r="N681" s="7"/>
      <c r="O681" s="7"/>
    </row>
    <row r="682">
      <c r="I682" s="7"/>
      <c r="J682" s="7"/>
      <c r="K682" s="7"/>
      <c r="L682" s="7"/>
      <c r="M682" s="7"/>
      <c r="N682" s="7"/>
      <c r="O682" s="7"/>
    </row>
    <row r="683">
      <c r="I683" s="7"/>
      <c r="J683" s="7"/>
      <c r="K683" s="7"/>
      <c r="L683" s="7"/>
      <c r="M683" s="7"/>
      <c r="N683" s="7"/>
      <c r="O683" s="7"/>
    </row>
    <row r="684">
      <c r="I684" s="7"/>
      <c r="J684" s="7"/>
      <c r="K684" s="7"/>
      <c r="L684" s="7"/>
      <c r="M684" s="7"/>
      <c r="N684" s="7"/>
      <c r="O684" s="7"/>
    </row>
    <row r="685">
      <c r="I685" s="7"/>
      <c r="J685" s="7"/>
      <c r="K685" s="7"/>
      <c r="L685" s="7"/>
      <c r="M685" s="7"/>
      <c r="N685" s="7"/>
      <c r="O685" s="7"/>
    </row>
    <row r="686">
      <c r="I686" s="7"/>
      <c r="J686" s="7"/>
      <c r="K686" s="7"/>
      <c r="L686" s="7"/>
      <c r="M686" s="7"/>
      <c r="N686" s="7"/>
      <c r="O686" s="7"/>
    </row>
    <row r="687">
      <c r="I687" s="7"/>
      <c r="J687" s="7"/>
      <c r="K687" s="7"/>
      <c r="L687" s="7"/>
      <c r="M687" s="7"/>
      <c r="N687" s="7"/>
      <c r="O687" s="7"/>
    </row>
    <row r="688">
      <c r="I688" s="7"/>
      <c r="J688" s="7"/>
      <c r="K688" s="7"/>
      <c r="L688" s="7"/>
      <c r="M688" s="7"/>
      <c r="N688" s="7"/>
      <c r="O688" s="7"/>
    </row>
    <row r="689">
      <c r="I689" s="7"/>
      <c r="J689" s="7"/>
      <c r="K689" s="7"/>
      <c r="L689" s="7"/>
      <c r="M689" s="7"/>
      <c r="N689" s="7"/>
      <c r="O689" s="7"/>
    </row>
    <row r="690">
      <c r="I690" s="7"/>
      <c r="J690" s="7"/>
      <c r="K690" s="7"/>
      <c r="L690" s="7"/>
      <c r="M690" s="7"/>
      <c r="N690" s="7"/>
      <c r="O690" s="7"/>
    </row>
    <row r="691">
      <c r="I691" s="7"/>
      <c r="J691" s="7"/>
      <c r="K691" s="7"/>
      <c r="L691" s="7"/>
      <c r="M691" s="7"/>
      <c r="N691" s="7"/>
      <c r="O691" s="7"/>
    </row>
    <row r="692">
      <c r="I692" s="7"/>
      <c r="J692" s="7"/>
      <c r="K692" s="7"/>
      <c r="L692" s="7"/>
      <c r="M692" s="7"/>
      <c r="N692" s="7"/>
      <c r="O692" s="7"/>
    </row>
    <row r="693">
      <c r="I693" s="7"/>
      <c r="J693" s="7"/>
      <c r="K693" s="7"/>
      <c r="L693" s="7"/>
      <c r="M693" s="7"/>
      <c r="N693" s="7"/>
      <c r="O693" s="7"/>
    </row>
    <row r="694">
      <c r="I694" s="7"/>
      <c r="J694" s="7"/>
      <c r="K694" s="7"/>
      <c r="L694" s="7"/>
      <c r="M694" s="7"/>
      <c r="N694" s="7"/>
      <c r="O694" s="7"/>
    </row>
    <row r="695">
      <c r="I695" s="7"/>
      <c r="J695" s="7"/>
      <c r="K695" s="7"/>
      <c r="L695" s="7"/>
      <c r="M695" s="7"/>
      <c r="N695" s="7"/>
      <c r="O695" s="7"/>
    </row>
    <row r="696">
      <c r="I696" s="7"/>
      <c r="J696" s="7"/>
      <c r="K696" s="7"/>
      <c r="L696" s="7"/>
      <c r="M696" s="7"/>
      <c r="N696" s="7"/>
      <c r="O696" s="7"/>
    </row>
    <row r="697">
      <c r="I697" s="7"/>
      <c r="J697" s="7"/>
      <c r="K697" s="7"/>
      <c r="L697" s="7"/>
      <c r="M697" s="7"/>
      <c r="N697" s="7"/>
      <c r="O697" s="7"/>
    </row>
    <row r="698">
      <c r="I698" s="7"/>
      <c r="J698" s="7"/>
      <c r="K698" s="7"/>
      <c r="L698" s="7"/>
      <c r="M698" s="7"/>
      <c r="N698" s="7"/>
      <c r="O698" s="7"/>
    </row>
    <row r="699">
      <c r="I699" s="7"/>
      <c r="J699" s="7"/>
      <c r="K699" s="7"/>
      <c r="L699" s="7"/>
      <c r="M699" s="7"/>
      <c r="N699" s="7"/>
      <c r="O699" s="7"/>
    </row>
    <row r="700">
      <c r="I700" s="7"/>
      <c r="J700" s="7"/>
      <c r="K700" s="7"/>
      <c r="L700" s="7"/>
      <c r="M700" s="7"/>
      <c r="N700" s="7"/>
      <c r="O700" s="7"/>
    </row>
    <row r="701">
      <c r="I701" s="7"/>
      <c r="J701" s="7"/>
      <c r="K701" s="7"/>
      <c r="L701" s="7"/>
      <c r="M701" s="7"/>
      <c r="N701" s="7"/>
      <c r="O701" s="7"/>
    </row>
    <row r="702">
      <c r="I702" s="7"/>
      <c r="J702" s="7"/>
      <c r="K702" s="7"/>
      <c r="L702" s="7"/>
      <c r="M702" s="7"/>
      <c r="N702" s="7"/>
      <c r="O702" s="7"/>
    </row>
    <row r="703">
      <c r="I703" s="7"/>
      <c r="J703" s="7"/>
      <c r="K703" s="7"/>
      <c r="L703" s="7"/>
      <c r="M703" s="7"/>
      <c r="N703" s="7"/>
      <c r="O703" s="7"/>
    </row>
    <row r="704">
      <c r="I704" s="7"/>
      <c r="J704" s="7"/>
      <c r="K704" s="7"/>
      <c r="L704" s="7"/>
      <c r="M704" s="7"/>
      <c r="N704" s="7"/>
      <c r="O704" s="7"/>
    </row>
    <row r="705">
      <c r="I705" s="7"/>
      <c r="J705" s="7"/>
      <c r="K705" s="7"/>
      <c r="L705" s="7"/>
      <c r="M705" s="7"/>
      <c r="N705" s="7"/>
      <c r="O705" s="7"/>
    </row>
    <row r="706">
      <c r="I706" s="7"/>
      <c r="J706" s="7"/>
      <c r="K706" s="7"/>
      <c r="L706" s="7"/>
      <c r="M706" s="7"/>
      <c r="N706" s="7"/>
      <c r="O706" s="7"/>
    </row>
    <row r="707">
      <c r="I707" s="7"/>
      <c r="J707" s="7"/>
      <c r="K707" s="7"/>
      <c r="L707" s="7"/>
      <c r="M707" s="7"/>
      <c r="N707" s="7"/>
      <c r="O707" s="7"/>
    </row>
    <row r="708">
      <c r="I708" s="7"/>
      <c r="J708" s="7"/>
      <c r="K708" s="7"/>
      <c r="L708" s="7"/>
      <c r="M708" s="7"/>
      <c r="N708" s="7"/>
      <c r="O708" s="7"/>
    </row>
    <row r="709">
      <c r="I709" s="7"/>
      <c r="J709" s="7"/>
      <c r="K709" s="7"/>
      <c r="L709" s="7"/>
      <c r="M709" s="7"/>
      <c r="N709" s="7"/>
      <c r="O709" s="7"/>
    </row>
    <row r="710">
      <c r="I710" s="7"/>
      <c r="J710" s="7"/>
      <c r="K710" s="7"/>
      <c r="L710" s="7"/>
      <c r="M710" s="7"/>
      <c r="N710" s="7"/>
      <c r="O710" s="7"/>
    </row>
    <row r="711">
      <c r="I711" s="7"/>
      <c r="J711" s="7"/>
      <c r="K711" s="7"/>
      <c r="L711" s="7"/>
      <c r="M711" s="7"/>
      <c r="N711" s="7"/>
      <c r="O711" s="7"/>
    </row>
    <row r="712">
      <c r="I712" s="7"/>
      <c r="J712" s="7"/>
      <c r="K712" s="7"/>
      <c r="L712" s="7"/>
      <c r="M712" s="7"/>
      <c r="N712" s="7"/>
      <c r="O712" s="7"/>
    </row>
    <row r="713">
      <c r="I713" s="7"/>
      <c r="J713" s="7"/>
      <c r="K713" s="7"/>
      <c r="L713" s="7"/>
      <c r="M713" s="7"/>
      <c r="N713" s="7"/>
      <c r="O713" s="7"/>
    </row>
    <row r="714">
      <c r="I714" s="7"/>
      <c r="J714" s="7"/>
      <c r="K714" s="7"/>
      <c r="L714" s="7"/>
      <c r="M714" s="7"/>
      <c r="N714" s="7"/>
      <c r="O714" s="7"/>
    </row>
    <row r="715">
      <c r="I715" s="7"/>
      <c r="J715" s="7"/>
      <c r="K715" s="7"/>
      <c r="L715" s="7"/>
      <c r="M715" s="7"/>
      <c r="N715" s="7"/>
      <c r="O715" s="7"/>
    </row>
    <row r="716">
      <c r="I716" s="7"/>
      <c r="J716" s="7"/>
      <c r="K716" s="7"/>
      <c r="L716" s="7"/>
      <c r="M716" s="7"/>
      <c r="N716" s="7"/>
      <c r="O716" s="7"/>
    </row>
    <row r="717">
      <c r="I717" s="7"/>
      <c r="J717" s="7"/>
      <c r="K717" s="7"/>
      <c r="L717" s="7"/>
      <c r="M717" s="7"/>
      <c r="N717" s="7"/>
      <c r="O717" s="7"/>
    </row>
    <row r="718">
      <c r="I718" s="7"/>
      <c r="J718" s="7"/>
      <c r="K718" s="7"/>
      <c r="L718" s="7"/>
      <c r="M718" s="7"/>
      <c r="N718" s="7"/>
      <c r="O718" s="7"/>
    </row>
    <row r="719">
      <c r="I719" s="7"/>
      <c r="J719" s="7"/>
      <c r="K719" s="7"/>
      <c r="L719" s="7"/>
      <c r="M719" s="7"/>
      <c r="N719" s="7"/>
      <c r="O719" s="7"/>
    </row>
    <row r="720">
      <c r="I720" s="7"/>
      <c r="J720" s="7"/>
      <c r="K720" s="7"/>
      <c r="L720" s="7"/>
      <c r="M720" s="7"/>
      <c r="N720" s="7"/>
      <c r="O720" s="7"/>
    </row>
    <row r="721">
      <c r="I721" s="7"/>
      <c r="J721" s="7"/>
      <c r="K721" s="7"/>
      <c r="L721" s="7"/>
      <c r="M721" s="7"/>
      <c r="N721" s="7"/>
      <c r="O721" s="7"/>
    </row>
    <row r="722">
      <c r="I722" s="7"/>
      <c r="J722" s="7"/>
      <c r="K722" s="7"/>
      <c r="L722" s="7"/>
      <c r="M722" s="7"/>
      <c r="N722" s="7"/>
      <c r="O722" s="7"/>
    </row>
    <row r="723">
      <c r="I723" s="7"/>
      <c r="J723" s="7"/>
      <c r="K723" s="7"/>
      <c r="L723" s="7"/>
      <c r="M723" s="7"/>
      <c r="N723" s="7"/>
      <c r="O723" s="7"/>
    </row>
    <row r="724">
      <c r="I724" s="7"/>
      <c r="J724" s="7"/>
      <c r="K724" s="7"/>
      <c r="L724" s="7"/>
      <c r="M724" s="7"/>
      <c r="N724" s="7"/>
      <c r="O724" s="7"/>
    </row>
    <row r="725">
      <c r="I725" s="7"/>
      <c r="J725" s="7"/>
      <c r="K725" s="7"/>
      <c r="L725" s="7"/>
      <c r="M725" s="7"/>
      <c r="N725" s="7"/>
      <c r="O725" s="7"/>
    </row>
    <row r="726">
      <c r="I726" s="7"/>
      <c r="J726" s="7"/>
      <c r="K726" s="7"/>
      <c r="L726" s="7"/>
      <c r="M726" s="7"/>
      <c r="N726" s="7"/>
      <c r="O726" s="7"/>
    </row>
    <row r="727">
      <c r="I727" s="7"/>
      <c r="J727" s="7"/>
      <c r="K727" s="7"/>
      <c r="L727" s="7"/>
      <c r="M727" s="7"/>
      <c r="N727" s="7"/>
      <c r="O727" s="7"/>
    </row>
    <row r="728">
      <c r="I728" s="7"/>
      <c r="J728" s="7"/>
      <c r="K728" s="7"/>
      <c r="L728" s="7"/>
      <c r="M728" s="7"/>
      <c r="N728" s="7"/>
      <c r="O728" s="7"/>
    </row>
    <row r="729">
      <c r="I729" s="7"/>
      <c r="J729" s="7"/>
      <c r="K729" s="7"/>
      <c r="L729" s="7"/>
      <c r="M729" s="7"/>
      <c r="N729" s="7"/>
      <c r="O729" s="7"/>
    </row>
    <row r="730">
      <c r="I730" s="7"/>
      <c r="J730" s="7"/>
      <c r="K730" s="7"/>
      <c r="L730" s="7"/>
      <c r="M730" s="7"/>
      <c r="N730" s="7"/>
      <c r="O730" s="7"/>
    </row>
    <row r="731">
      <c r="I731" s="7"/>
      <c r="J731" s="7"/>
      <c r="K731" s="7"/>
      <c r="L731" s="7"/>
      <c r="M731" s="7"/>
      <c r="N731" s="7"/>
      <c r="O731" s="7"/>
    </row>
    <row r="732">
      <c r="I732" s="7"/>
      <c r="J732" s="7"/>
      <c r="K732" s="7"/>
      <c r="L732" s="7"/>
      <c r="M732" s="7"/>
      <c r="N732" s="7"/>
      <c r="O732" s="7"/>
    </row>
    <row r="733">
      <c r="I733" s="7"/>
      <c r="J733" s="7"/>
      <c r="K733" s="7"/>
      <c r="L733" s="7"/>
      <c r="M733" s="7"/>
      <c r="N733" s="7"/>
      <c r="O733" s="7"/>
    </row>
    <row r="734">
      <c r="I734" s="7"/>
      <c r="J734" s="7"/>
      <c r="K734" s="7"/>
      <c r="L734" s="7"/>
      <c r="M734" s="7"/>
      <c r="N734" s="7"/>
      <c r="O734" s="7"/>
    </row>
    <row r="735">
      <c r="I735" s="7"/>
      <c r="J735" s="7"/>
      <c r="K735" s="7"/>
      <c r="L735" s="7"/>
      <c r="M735" s="7"/>
      <c r="N735" s="7"/>
      <c r="O735" s="7"/>
    </row>
    <row r="736">
      <c r="I736" s="7"/>
      <c r="J736" s="7"/>
      <c r="K736" s="7"/>
      <c r="L736" s="7"/>
      <c r="M736" s="7"/>
      <c r="N736" s="7"/>
      <c r="O736" s="7"/>
    </row>
    <row r="737">
      <c r="I737" s="7"/>
      <c r="J737" s="7"/>
      <c r="K737" s="7"/>
      <c r="L737" s="7"/>
      <c r="M737" s="7"/>
      <c r="N737" s="7"/>
      <c r="O737" s="7"/>
    </row>
    <row r="738">
      <c r="I738" s="7"/>
      <c r="J738" s="7"/>
      <c r="K738" s="7"/>
      <c r="L738" s="7"/>
      <c r="M738" s="7"/>
      <c r="N738" s="7"/>
      <c r="O738" s="7"/>
    </row>
    <row r="739">
      <c r="I739" s="7"/>
      <c r="J739" s="7"/>
      <c r="K739" s="7"/>
      <c r="L739" s="7"/>
      <c r="M739" s="7"/>
      <c r="N739" s="7"/>
      <c r="O739" s="7"/>
    </row>
    <row r="740">
      <c r="I740" s="7"/>
      <c r="J740" s="7"/>
      <c r="K740" s="7"/>
      <c r="L740" s="7"/>
      <c r="M740" s="7"/>
      <c r="N740" s="7"/>
      <c r="O740" s="7"/>
    </row>
    <row r="741">
      <c r="I741" s="7"/>
      <c r="J741" s="7"/>
      <c r="K741" s="7"/>
      <c r="L741" s="7"/>
      <c r="M741" s="7"/>
      <c r="N741" s="7"/>
      <c r="O741" s="7"/>
    </row>
    <row r="742">
      <c r="I742" s="7"/>
      <c r="J742" s="7"/>
      <c r="K742" s="7"/>
      <c r="L742" s="7"/>
      <c r="M742" s="7"/>
      <c r="N742" s="7"/>
      <c r="O742" s="7"/>
    </row>
    <row r="743">
      <c r="I743" s="7"/>
      <c r="J743" s="7"/>
      <c r="K743" s="7"/>
      <c r="L743" s="7"/>
      <c r="M743" s="7"/>
      <c r="N743" s="7"/>
      <c r="O743" s="7"/>
    </row>
    <row r="744">
      <c r="I744" s="7"/>
      <c r="J744" s="7"/>
      <c r="K744" s="7"/>
      <c r="L744" s="7"/>
      <c r="M744" s="7"/>
      <c r="N744" s="7"/>
      <c r="O744" s="7"/>
    </row>
    <row r="745">
      <c r="I745" s="7"/>
      <c r="J745" s="7"/>
      <c r="K745" s="7"/>
      <c r="L745" s="7"/>
      <c r="M745" s="7"/>
      <c r="N745" s="7"/>
      <c r="O745" s="7"/>
    </row>
    <row r="746">
      <c r="I746" s="7"/>
      <c r="J746" s="7"/>
      <c r="K746" s="7"/>
      <c r="L746" s="7"/>
      <c r="M746" s="7"/>
      <c r="N746" s="7"/>
      <c r="O746" s="7"/>
    </row>
    <row r="747">
      <c r="I747" s="7"/>
      <c r="J747" s="7"/>
      <c r="K747" s="7"/>
      <c r="L747" s="7"/>
      <c r="M747" s="7"/>
      <c r="N747" s="7"/>
      <c r="O747" s="7"/>
    </row>
    <row r="748">
      <c r="I748" s="7"/>
      <c r="J748" s="7"/>
      <c r="K748" s="7"/>
      <c r="L748" s="7"/>
      <c r="M748" s="7"/>
      <c r="N748" s="7"/>
      <c r="O748" s="7"/>
    </row>
    <row r="749">
      <c r="I749" s="7"/>
      <c r="J749" s="7"/>
      <c r="K749" s="7"/>
      <c r="L749" s="7"/>
      <c r="M749" s="7"/>
      <c r="N749" s="7"/>
      <c r="O749" s="7"/>
    </row>
    <row r="750">
      <c r="I750" s="7"/>
      <c r="J750" s="7"/>
      <c r="K750" s="7"/>
      <c r="L750" s="7"/>
      <c r="M750" s="7"/>
      <c r="N750" s="7"/>
      <c r="O750" s="7"/>
    </row>
    <row r="751">
      <c r="I751" s="7"/>
      <c r="J751" s="7"/>
      <c r="K751" s="7"/>
      <c r="L751" s="7"/>
      <c r="M751" s="7"/>
      <c r="N751" s="7"/>
      <c r="O751" s="7"/>
    </row>
    <row r="752">
      <c r="I752" s="7"/>
      <c r="J752" s="7"/>
      <c r="K752" s="7"/>
      <c r="L752" s="7"/>
      <c r="M752" s="7"/>
      <c r="N752" s="7"/>
      <c r="O752" s="7"/>
    </row>
    <row r="753">
      <c r="I753" s="7"/>
      <c r="J753" s="7"/>
      <c r="K753" s="7"/>
      <c r="L753" s="7"/>
      <c r="M753" s="7"/>
      <c r="N753" s="7"/>
      <c r="O753" s="7"/>
    </row>
    <row r="754">
      <c r="I754" s="7"/>
      <c r="J754" s="7"/>
      <c r="K754" s="7"/>
      <c r="L754" s="7"/>
      <c r="M754" s="7"/>
      <c r="N754" s="7"/>
      <c r="O754" s="7"/>
    </row>
    <row r="755">
      <c r="I755" s="7"/>
      <c r="J755" s="7"/>
      <c r="K755" s="7"/>
      <c r="L755" s="7"/>
      <c r="M755" s="7"/>
      <c r="N755" s="7"/>
      <c r="O755" s="7"/>
    </row>
    <row r="756">
      <c r="I756" s="7"/>
      <c r="J756" s="7"/>
      <c r="K756" s="7"/>
      <c r="L756" s="7"/>
      <c r="M756" s="7"/>
      <c r="N756" s="7"/>
      <c r="O756" s="7"/>
    </row>
    <row r="757">
      <c r="I757" s="7"/>
      <c r="J757" s="7"/>
      <c r="K757" s="7"/>
      <c r="L757" s="7"/>
      <c r="M757" s="7"/>
      <c r="N757" s="7"/>
      <c r="O757" s="7"/>
    </row>
    <row r="758">
      <c r="I758" s="7"/>
      <c r="J758" s="7"/>
      <c r="K758" s="7"/>
      <c r="L758" s="7"/>
      <c r="M758" s="7"/>
      <c r="N758" s="7"/>
      <c r="O758" s="7"/>
    </row>
    <row r="759">
      <c r="I759" s="7"/>
      <c r="J759" s="7"/>
      <c r="K759" s="7"/>
      <c r="L759" s="7"/>
      <c r="M759" s="7"/>
      <c r="N759" s="7"/>
      <c r="O759" s="7"/>
    </row>
    <row r="760">
      <c r="I760" s="7"/>
      <c r="J760" s="7"/>
      <c r="K760" s="7"/>
      <c r="L760" s="7"/>
      <c r="M760" s="7"/>
      <c r="N760" s="7"/>
      <c r="O760" s="7"/>
    </row>
    <row r="761">
      <c r="I761" s="7"/>
      <c r="J761" s="7"/>
      <c r="K761" s="7"/>
      <c r="L761" s="7"/>
      <c r="M761" s="7"/>
      <c r="N761" s="7"/>
      <c r="O761" s="7"/>
    </row>
    <row r="762">
      <c r="I762" s="7"/>
      <c r="J762" s="7"/>
      <c r="K762" s="7"/>
      <c r="L762" s="7"/>
      <c r="M762" s="7"/>
      <c r="N762" s="7"/>
      <c r="O762" s="7"/>
    </row>
    <row r="763">
      <c r="I763" s="7"/>
      <c r="J763" s="7"/>
      <c r="K763" s="7"/>
      <c r="L763" s="7"/>
      <c r="M763" s="7"/>
      <c r="N763" s="7"/>
      <c r="O763" s="7"/>
    </row>
    <row r="764">
      <c r="I764" s="7"/>
      <c r="J764" s="7"/>
      <c r="K764" s="7"/>
      <c r="L764" s="7"/>
      <c r="M764" s="7"/>
      <c r="N764" s="7"/>
      <c r="O764" s="7"/>
    </row>
    <row r="765">
      <c r="I765" s="7"/>
      <c r="J765" s="7"/>
      <c r="K765" s="7"/>
      <c r="L765" s="7"/>
      <c r="M765" s="7"/>
      <c r="N765" s="7"/>
      <c r="O765" s="7"/>
    </row>
    <row r="766">
      <c r="I766" s="7"/>
      <c r="J766" s="7"/>
      <c r="K766" s="7"/>
      <c r="L766" s="7"/>
      <c r="M766" s="7"/>
      <c r="N766" s="7"/>
      <c r="O766" s="7"/>
    </row>
    <row r="767">
      <c r="I767" s="7"/>
      <c r="J767" s="7"/>
      <c r="K767" s="7"/>
      <c r="L767" s="7"/>
      <c r="M767" s="7"/>
      <c r="N767" s="7"/>
      <c r="O767" s="7"/>
    </row>
    <row r="768">
      <c r="I768" s="7"/>
      <c r="J768" s="7"/>
      <c r="K768" s="7"/>
      <c r="L768" s="7"/>
      <c r="M768" s="7"/>
      <c r="N768" s="7"/>
      <c r="O768" s="7"/>
    </row>
    <row r="769">
      <c r="I769" s="7"/>
      <c r="J769" s="7"/>
      <c r="K769" s="7"/>
      <c r="L769" s="7"/>
      <c r="M769" s="7"/>
      <c r="N769" s="7"/>
      <c r="O769" s="7"/>
    </row>
    <row r="770">
      <c r="I770" s="7"/>
      <c r="J770" s="7"/>
      <c r="K770" s="7"/>
      <c r="L770" s="7"/>
      <c r="M770" s="7"/>
      <c r="N770" s="7"/>
      <c r="O770" s="7"/>
    </row>
    <row r="771">
      <c r="I771" s="7"/>
      <c r="J771" s="7"/>
      <c r="K771" s="7"/>
      <c r="L771" s="7"/>
      <c r="M771" s="7"/>
      <c r="N771" s="7"/>
      <c r="O771" s="7"/>
    </row>
    <row r="772">
      <c r="I772" s="7"/>
      <c r="J772" s="7"/>
      <c r="K772" s="7"/>
      <c r="L772" s="7"/>
      <c r="M772" s="7"/>
      <c r="N772" s="7"/>
      <c r="O772" s="7"/>
    </row>
    <row r="773">
      <c r="I773" s="7"/>
      <c r="J773" s="7"/>
      <c r="K773" s="7"/>
      <c r="L773" s="7"/>
      <c r="M773" s="7"/>
      <c r="N773" s="7"/>
      <c r="O773" s="7"/>
    </row>
    <row r="774">
      <c r="I774" s="7"/>
      <c r="J774" s="7"/>
      <c r="K774" s="7"/>
      <c r="L774" s="7"/>
      <c r="M774" s="7"/>
      <c r="N774" s="7"/>
      <c r="O774" s="7"/>
    </row>
    <row r="775">
      <c r="I775" s="7"/>
      <c r="J775" s="7"/>
      <c r="K775" s="7"/>
      <c r="L775" s="7"/>
      <c r="M775" s="7"/>
      <c r="N775" s="7"/>
      <c r="O775" s="7"/>
    </row>
    <row r="776">
      <c r="I776" s="7"/>
      <c r="J776" s="7"/>
      <c r="K776" s="7"/>
      <c r="L776" s="7"/>
      <c r="M776" s="7"/>
      <c r="N776" s="7"/>
      <c r="O776" s="7"/>
    </row>
    <row r="777">
      <c r="I777" s="7"/>
      <c r="J777" s="7"/>
      <c r="K777" s="7"/>
      <c r="L777" s="7"/>
      <c r="M777" s="7"/>
      <c r="N777" s="7"/>
      <c r="O777" s="7"/>
    </row>
    <row r="778">
      <c r="I778" s="7"/>
      <c r="J778" s="7"/>
      <c r="K778" s="7"/>
      <c r="L778" s="7"/>
      <c r="M778" s="7"/>
      <c r="N778" s="7"/>
      <c r="O778" s="7"/>
    </row>
    <row r="779">
      <c r="I779" s="7"/>
      <c r="J779" s="7"/>
      <c r="K779" s="7"/>
      <c r="L779" s="7"/>
      <c r="M779" s="7"/>
      <c r="N779" s="7"/>
      <c r="O779" s="7"/>
    </row>
    <row r="780">
      <c r="I780" s="7"/>
      <c r="J780" s="7"/>
      <c r="K780" s="7"/>
      <c r="L780" s="7"/>
      <c r="M780" s="7"/>
      <c r="N780" s="7"/>
      <c r="O780" s="7"/>
    </row>
    <row r="781">
      <c r="I781" s="7"/>
      <c r="J781" s="7"/>
      <c r="K781" s="7"/>
      <c r="L781" s="7"/>
      <c r="M781" s="7"/>
      <c r="N781" s="7"/>
      <c r="O781" s="7"/>
    </row>
    <row r="782">
      <c r="I782" s="7"/>
      <c r="J782" s="7"/>
      <c r="K782" s="7"/>
      <c r="L782" s="7"/>
      <c r="M782" s="7"/>
      <c r="N782" s="7"/>
      <c r="O782" s="7"/>
    </row>
    <row r="783">
      <c r="I783" s="7"/>
      <c r="J783" s="7"/>
      <c r="K783" s="7"/>
      <c r="L783" s="7"/>
      <c r="M783" s="7"/>
      <c r="N783" s="7"/>
      <c r="O783" s="7"/>
    </row>
    <row r="784">
      <c r="I784" s="7"/>
      <c r="J784" s="7"/>
      <c r="K784" s="7"/>
      <c r="L784" s="7"/>
      <c r="M784" s="7"/>
      <c r="N784" s="7"/>
      <c r="O784" s="7"/>
    </row>
    <row r="785">
      <c r="I785" s="7"/>
      <c r="J785" s="7"/>
      <c r="K785" s="7"/>
      <c r="L785" s="7"/>
      <c r="M785" s="7"/>
      <c r="N785" s="7"/>
      <c r="O785" s="7"/>
    </row>
    <row r="786">
      <c r="I786" s="7"/>
      <c r="J786" s="7"/>
      <c r="K786" s="7"/>
      <c r="L786" s="7"/>
      <c r="M786" s="7"/>
      <c r="N786" s="7"/>
      <c r="O786" s="7"/>
    </row>
    <row r="787">
      <c r="I787" s="7"/>
      <c r="J787" s="7"/>
      <c r="K787" s="7"/>
      <c r="L787" s="7"/>
      <c r="M787" s="7"/>
      <c r="N787" s="7"/>
      <c r="O787" s="7"/>
    </row>
    <row r="788">
      <c r="I788" s="7"/>
      <c r="J788" s="7"/>
      <c r="K788" s="7"/>
      <c r="L788" s="7"/>
      <c r="M788" s="7"/>
      <c r="N788" s="7"/>
      <c r="O788" s="7"/>
    </row>
    <row r="789">
      <c r="I789" s="7"/>
      <c r="J789" s="7"/>
      <c r="K789" s="7"/>
      <c r="L789" s="7"/>
      <c r="M789" s="7"/>
      <c r="N789" s="7"/>
      <c r="O789" s="7"/>
    </row>
    <row r="790">
      <c r="I790" s="7"/>
      <c r="J790" s="7"/>
      <c r="K790" s="7"/>
      <c r="L790" s="7"/>
      <c r="M790" s="7"/>
      <c r="N790" s="7"/>
      <c r="O790" s="7"/>
    </row>
    <row r="791">
      <c r="I791" s="7"/>
      <c r="J791" s="7"/>
      <c r="K791" s="7"/>
      <c r="L791" s="7"/>
      <c r="M791" s="7"/>
      <c r="N791" s="7"/>
      <c r="O791" s="7"/>
    </row>
    <row r="792">
      <c r="I792" s="7"/>
      <c r="J792" s="7"/>
      <c r="K792" s="7"/>
      <c r="L792" s="7"/>
      <c r="M792" s="7"/>
      <c r="N792" s="7"/>
      <c r="O792" s="7"/>
    </row>
    <row r="793">
      <c r="I793" s="7"/>
      <c r="J793" s="7"/>
      <c r="K793" s="7"/>
      <c r="L793" s="7"/>
      <c r="M793" s="7"/>
      <c r="N793" s="7"/>
      <c r="O793" s="7"/>
    </row>
    <row r="794">
      <c r="I794" s="7"/>
      <c r="J794" s="7"/>
      <c r="K794" s="7"/>
      <c r="L794" s="7"/>
      <c r="M794" s="7"/>
      <c r="N794" s="7"/>
      <c r="O794" s="7"/>
    </row>
    <row r="795">
      <c r="I795" s="7"/>
      <c r="J795" s="7"/>
      <c r="K795" s="7"/>
      <c r="L795" s="7"/>
      <c r="M795" s="7"/>
      <c r="N795" s="7"/>
      <c r="O795" s="7"/>
    </row>
    <row r="796">
      <c r="I796" s="7"/>
      <c r="J796" s="7"/>
      <c r="K796" s="7"/>
      <c r="L796" s="7"/>
      <c r="M796" s="7"/>
      <c r="N796" s="7"/>
      <c r="O796" s="7"/>
    </row>
    <row r="797">
      <c r="I797" s="7"/>
      <c r="J797" s="7"/>
      <c r="K797" s="7"/>
      <c r="L797" s="7"/>
      <c r="M797" s="7"/>
      <c r="N797" s="7"/>
      <c r="O797" s="7"/>
    </row>
    <row r="798">
      <c r="I798" s="7"/>
      <c r="J798" s="7"/>
      <c r="K798" s="7"/>
      <c r="L798" s="7"/>
      <c r="M798" s="7"/>
      <c r="N798" s="7"/>
      <c r="O798" s="7"/>
    </row>
    <row r="799">
      <c r="I799" s="7"/>
      <c r="J799" s="7"/>
      <c r="K799" s="7"/>
      <c r="L799" s="7"/>
      <c r="M799" s="7"/>
      <c r="N799" s="7"/>
      <c r="O799" s="7"/>
    </row>
    <row r="800">
      <c r="I800" s="7"/>
      <c r="J800" s="7"/>
      <c r="K800" s="7"/>
      <c r="L800" s="7"/>
      <c r="M800" s="7"/>
      <c r="N800" s="7"/>
      <c r="O800" s="7"/>
    </row>
    <row r="801">
      <c r="I801" s="7"/>
      <c r="J801" s="7"/>
      <c r="K801" s="7"/>
      <c r="L801" s="7"/>
      <c r="M801" s="7"/>
      <c r="N801" s="7"/>
      <c r="O801" s="7"/>
    </row>
    <row r="802">
      <c r="I802" s="7"/>
      <c r="J802" s="7"/>
      <c r="K802" s="7"/>
      <c r="L802" s="7"/>
      <c r="M802" s="7"/>
      <c r="N802" s="7"/>
      <c r="O802" s="7"/>
    </row>
    <row r="803">
      <c r="I803" s="7"/>
      <c r="J803" s="7"/>
      <c r="K803" s="7"/>
      <c r="L803" s="7"/>
      <c r="M803" s="7"/>
      <c r="N803" s="7"/>
      <c r="O803" s="7"/>
    </row>
    <row r="804">
      <c r="I804" s="7"/>
      <c r="J804" s="7"/>
      <c r="K804" s="7"/>
      <c r="L804" s="7"/>
      <c r="M804" s="7"/>
      <c r="N804" s="7"/>
      <c r="O804" s="7"/>
    </row>
    <row r="805">
      <c r="I805" s="7"/>
      <c r="J805" s="7"/>
      <c r="K805" s="7"/>
      <c r="L805" s="7"/>
      <c r="M805" s="7"/>
      <c r="N805" s="7"/>
      <c r="O805" s="7"/>
    </row>
    <row r="806">
      <c r="I806" s="7"/>
      <c r="J806" s="7"/>
      <c r="K806" s="7"/>
      <c r="L806" s="7"/>
      <c r="M806" s="7"/>
      <c r="N806" s="7"/>
      <c r="O806" s="7"/>
    </row>
    <row r="807">
      <c r="I807" s="7"/>
      <c r="J807" s="7"/>
      <c r="K807" s="7"/>
      <c r="L807" s="7"/>
      <c r="M807" s="7"/>
      <c r="N807" s="7"/>
      <c r="O807" s="7"/>
    </row>
    <row r="808">
      <c r="I808" s="7"/>
      <c r="J808" s="7"/>
      <c r="K808" s="7"/>
      <c r="L808" s="7"/>
      <c r="M808" s="7"/>
      <c r="N808" s="7"/>
      <c r="O808" s="7"/>
    </row>
    <row r="809">
      <c r="I809" s="7"/>
      <c r="J809" s="7"/>
      <c r="K809" s="7"/>
      <c r="L809" s="7"/>
      <c r="M809" s="7"/>
      <c r="N809" s="7"/>
      <c r="O809" s="7"/>
    </row>
    <row r="810">
      <c r="I810" s="7"/>
      <c r="J810" s="7"/>
      <c r="K810" s="7"/>
      <c r="L810" s="7"/>
      <c r="M810" s="7"/>
      <c r="N810" s="7"/>
      <c r="O810" s="7"/>
    </row>
    <row r="811">
      <c r="I811" s="7"/>
      <c r="J811" s="7"/>
      <c r="K811" s="7"/>
      <c r="L811" s="7"/>
      <c r="M811" s="7"/>
      <c r="N811" s="7"/>
      <c r="O811" s="7"/>
    </row>
    <row r="812">
      <c r="I812" s="7"/>
      <c r="J812" s="7"/>
      <c r="K812" s="7"/>
      <c r="L812" s="7"/>
      <c r="M812" s="7"/>
      <c r="N812" s="7"/>
      <c r="O812" s="7"/>
    </row>
    <row r="813">
      <c r="I813" s="7"/>
      <c r="J813" s="7"/>
      <c r="K813" s="7"/>
      <c r="L813" s="7"/>
      <c r="M813" s="7"/>
      <c r="N813" s="7"/>
      <c r="O813" s="7"/>
    </row>
    <row r="814">
      <c r="I814" s="7"/>
      <c r="J814" s="7"/>
      <c r="K814" s="7"/>
      <c r="L814" s="7"/>
      <c r="M814" s="7"/>
      <c r="N814" s="7"/>
      <c r="O814" s="7"/>
    </row>
    <row r="815">
      <c r="I815" s="7"/>
      <c r="J815" s="7"/>
      <c r="K815" s="7"/>
      <c r="L815" s="7"/>
      <c r="M815" s="7"/>
      <c r="N815" s="7"/>
      <c r="O815" s="7"/>
    </row>
    <row r="816">
      <c r="I816" s="7"/>
      <c r="J816" s="7"/>
      <c r="K816" s="7"/>
      <c r="L816" s="7"/>
      <c r="M816" s="7"/>
      <c r="N816" s="7"/>
      <c r="O816" s="7"/>
    </row>
    <row r="817">
      <c r="I817" s="7"/>
      <c r="J817" s="7"/>
      <c r="K817" s="7"/>
      <c r="L817" s="7"/>
      <c r="M817" s="7"/>
      <c r="N817" s="7"/>
      <c r="O817" s="7"/>
    </row>
    <row r="818">
      <c r="I818" s="7"/>
      <c r="J818" s="7"/>
      <c r="K818" s="7"/>
      <c r="L818" s="7"/>
      <c r="M818" s="7"/>
      <c r="N818" s="7"/>
      <c r="O818" s="7"/>
    </row>
    <row r="819">
      <c r="I819" s="7"/>
      <c r="J819" s="7"/>
      <c r="K819" s="7"/>
      <c r="L819" s="7"/>
      <c r="M819" s="7"/>
      <c r="N819" s="7"/>
      <c r="O819" s="7"/>
    </row>
    <row r="820">
      <c r="I820" s="7"/>
      <c r="J820" s="7"/>
      <c r="K820" s="7"/>
      <c r="L820" s="7"/>
      <c r="M820" s="7"/>
      <c r="N820" s="7"/>
      <c r="O820" s="7"/>
    </row>
    <row r="821">
      <c r="I821" s="7"/>
      <c r="J821" s="7"/>
      <c r="K821" s="7"/>
      <c r="L821" s="7"/>
      <c r="M821" s="7"/>
      <c r="N821" s="7"/>
      <c r="O821" s="7"/>
    </row>
    <row r="822">
      <c r="I822" s="7"/>
      <c r="J822" s="7"/>
      <c r="K822" s="7"/>
      <c r="L822" s="7"/>
      <c r="M822" s="7"/>
      <c r="N822" s="7"/>
      <c r="O822" s="7"/>
    </row>
    <row r="823">
      <c r="I823" s="7"/>
      <c r="J823" s="7"/>
      <c r="K823" s="7"/>
      <c r="L823" s="7"/>
      <c r="M823" s="7"/>
      <c r="N823" s="7"/>
      <c r="O823" s="7"/>
    </row>
    <row r="824">
      <c r="I824" s="7"/>
      <c r="J824" s="7"/>
      <c r="K824" s="7"/>
      <c r="L824" s="7"/>
      <c r="M824" s="7"/>
      <c r="N824" s="7"/>
      <c r="O824" s="7"/>
    </row>
    <row r="825">
      <c r="I825" s="7"/>
      <c r="J825" s="7"/>
      <c r="K825" s="7"/>
      <c r="L825" s="7"/>
      <c r="M825" s="7"/>
      <c r="N825" s="7"/>
      <c r="O825" s="7"/>
    </row>
    <row r="826">
      <c r="I826" s="7"/>
      <c r="J826" s="7"/>
      <c r="K826" s="7"/>
      <c r="L826" s="7"/>
      <c r="M826" s="7"/>
      <c r="N826" s="7"/>
      <c r="O826" s="7"/>
    </row>
    <row r="827">
      <c r="I827" s="7"/>
      <c r="J827" s="7"/>
      <c r="K827" s="7"/>
      <c r="L827" s="7"/>
      <c r="M827" s="7"/>
      <c r="N827" s="7"/>
      <c r="O827" s="7"/>
    </row>
    <row r="828">
      <c r="I828" s="7"/>
      <c r="J828" s="7"/>
      <c r="K828" s="7"/>
      <c r="L828" s="7"/>
      <c r="M828" s="7"/>
      <c r="N828" s="7"/>
      <c r="O828" s="7"/>
    </row>
    <row r="829">
      <c r="I829" s="7"/>
      <c r="J829" s="7"/>
      <c r="K829" s="7"/>
      <c r="L829" s="7"/>
      <c r="M829" s="7"/>
      <c r="N829" s="7"/>
      <c r="O829" s="7"/>
    </row>
    <row r="830">
      <c r="I830" s="7"/>
      <c r="J830" s="7"/>
      <c r="K830" s="7"/>
      <c r="L830" s="7"/>
      <c r="M830" s="7"/>
      <c r="N830" s="7"/>
      <c r="O830" s="7"/>
    </row>
    <row r="831">
      <c r="I831" s="7"/>
      <c r="J831" s="7"/>
      <c r="K831" s="7"/>
      <c r="L831" s="7"/>
      <c r="M831" s="7"/>
      <c r="N831" s="7"/>
      <c r="O831" s="7"/>
    </row>
    <row r="832">
      <c r="I832" s="7"/>
      <c r="J832" s="7"/>
      <c r="K832" s="7"/>
      <c r="L832" s="7"/>
      <c r="M832" s="7"/>
      <c r="N832" s="7"/>
      <c r="O832" s="7"/>
    </row>
    <row r="833">
      <c r="I833" s="7"/>
      <c r="J833" s="7"/>
      <c r="K833" s="7"/>
      <c r="L833" s="7"/>
      <c r="M833" s="7"/>
      <c r="N833" s="7"/>
      <c r="O833" s="7"/>
    </row>
    <row r="834">
      <c r="I834" s="7"/>
      <c r="J834" s="7"/>
      <c r="K834" s="7"/>
      <c r="L834" s="7"/>
      <c r="M834" s="7"/>
      <c r="N834" s="7"/>
      <c r="O834" s="7"/>
    </row>
    <row r="835">
      <c r="I835" s="7"/>
      <c r="J835" s="7"/>
      <c r="K835" s="7"/>
      <c r="L835" s="7"/>
      <c r="M835" s="7"/>
      <c r="N835" s="7"/>
      <c r="O835" s="7"/>
    </row>
    <row r="836">
      <c r="I836" s="7"/>
      <c r="J836" s="7"/>
      <c r="K836" s="7"/>
      <c r="L836" s="7"/>
      <c r="M836" s="7"/>
      <c r="N836" s="7"/>
      <c r="O836" s="7"/>
    </row>
    <row r="837">
      <c r="I837" s="7"/>
      <c r="J837" s="7"/>
      <c r="K837" s="7"/>
      <c r="L837" s="7"/>
      <c r="M837" s="7"/>
      <c r="N837" s="7"/>
      <c r="O837" s="7"/>
    </row>
    <row r="838">
      <c r="I838" s="7"/>
      <c r="J838" s="7"/>
      <c r="K838" s="7"/>
      <c r="L838" s="7"/>
      <c r="M838" s="7"/>
      <c r="N838" s="7"/>
      <c r="O838" s="7"/>
    </row>
    <row r="839">
      <c r="I839" s="7"/>
      <c r="J839" s="7"/>
      <c r="K839" s="7"/>
      <c r="L839" s="7"/>
      <c r="M839" s="7"/>
      <c r="N839" s="7"/>
      <c r="O839" s="7"/>
    </row>
    <row r="840">
      <c r="I840" s="7"/>
      <c r="J840" s="7"/>
      <c r="K840" s="7"/>
      <c r="L840" s="7"/>
      <c r="M840" s="7"/>
      <c r="N840" s="7"/>
      <c r="O840" s="7"/>
    </row>
    <row r="841">
      <c r="I841" s="7"/>
      <c r="J841" s="7"/>
      <c r="K841" s="7"/>
      <c r="L841" s="7"/>
      <c r="M841" s="7"/>
      <c r="N841" s="7"/>
      <c r="O841" s="7"/>
    </row>
    <row r="842">
      <c r="I842" s="7"/>
      <c r="J842" s="7"/>
      <c r="K842" s="7"/>
      <c r="L842" s="7"/>
      <c r="M842" s="7"/>
      <c r="N842" s="7"/>
      <c r="O842" s="7"/>
    </row>
    <row r="843">
      <c r="I843" s="7"/>
      <c r="J843" s="7"/>
      <c r="K843" s="7"/>
      <c r="L843" s="7"/>
      <c r="M843" s="7"/>
      <c r="N843" s="7"/>
      <c r="O843" s="7"/>
    </row>
    <row r="844">
      <c r="I844" s="7"/>
      <c r="J844" s="7"/>
      <c r="K844" s="7"/>
      <c r="L844" s="7"/>
      <c r="M844" s="7"/>
      <c r="N844" s="7"/>
      <c r="O844" s="7"/>
    </row>
    <row r="845">
      <c r="I845" s="7"/>
      <c r="J845" s="7"/>
      <c r="K845" s="7"/>
      <c r="L845" s="7"/>
      <c r="M845" s="7"/>
      <c r="N845" s="7"/>
      <c r="O845" s="7"/>
    </row>
    <row r="846">
      <c r="I846" s="7"/>
      <c r="J846" s="7"/>
      <c r="K846" s="7"/>
      <c r="L846" s="7"/>
      <c r="M846" s="7"/>
      <c r="N846" s="7"/>
      <c r="O846" s="7"/>
    </row>
    <row r="847">
      <c r="I847" s="7"/>
      <c r="J847" s="7"/>
      <c r="K847" s="7"/>
      <c r="L847" s="7"/>
      <c r="M847" s="7"/>
      <c r="N847" s="7"/>
      <c r="O847" s="7"/>
    </row>
    <row r="848">
      <c r="I848" s="7"/>
      <c r="J848" s="7"/>
      <c r="K848" s="7"/>
      <c r="L848" s="7"/>
      <c r="M848" s="7"/>
      <c r="N848" s="7"/>
      <c r="O848" s="7"/>
    </row>
    <row r="849">
      <c r="I849" s="7"/>
      <c r="J849" s="7"/>
      <c r="K849" s="7"/>
      <c r="L849" s="7"/>
      <c r="M849" s="7"/>
      <c r="N849" s="7"/>
      <c r="O849" s="7"/>
    </row>
    <row r="850">
      <c r="I850" s="7"/>
      <c r="J850" s="7"/>
      <c r="K850" s="7"/>
      <c r="L850" s="7"/>
      <c r="M850" s="7"/>
      <c r="N850" s="7"/>
      <c r="O850" s="7"/>
    </row>
    <row r="851">
      <c r="I851" s="7"/>
      <c r="J851" s="7"/>
      <c r="K851" s="7"/>
      <c r="L851" s="7"/>
      <c r="M851" s="7"/>
      <c r="N851" s="7"/>
      <c r="O851" s="7"/>
    </row>
    <row r="852">
      <c r="I852" s="7"/>
      <c r="J852" s="7"/>
      <c r="K852" s="7"/>
      <c r="L852" s="7"/>
      <c r="M852" s="7"/>
      <c r="N852" s="7"/>
      <c r="O852" s="7"/>
    </row>
    <row r="853">
      <c r="I853" s="7"/>
      <c r="J853" s="7"/>
      <c r="K853" s="7"/>
      <c r="L853" s="7"/>
      <c r="M853" s="7"/>
      <c r="N853" s="7"/>
      <c r="O853" s="7"/>
    </row>
    <row r="854">
      <c r="I854" s="7"/>
      <c r="J854" s="7"/>
      <c r="K854" s="7"/>
      <c r="L854" s="7"/>
      <c r="M854" s="7"/>
      <c r="N854" s="7"/>
      <c r="O854" s="7"/>
    </row>
    <row r="855">
      <c r="I855" s="7"/>
      <c r="J855" s="7"/>
      <c r="K855" s="7"/>
      <c r="L855" s="7"/>
      <c r="M855" s="7"/>
      <c r="N855" s="7"/>
      <c r="O855" s="7"/>
    </row>
    <row r="856">
      <c r="I856" s="7"/>
      <c r="J856" s="7"/>
      <c r="K856" s="7"/>
      <c r="L856" s="7"/>
      <c r="M856" s="7"/>
      <c r="N856" s="7"/>
      <c r="O856" s="7"/>
    </row>
    <row r="857">
      <c r="I857" s="7"/>
      <c r="J857" s="7"/>
      <c r="K857" s="7"/>
      <c r="L857" s="7"/>
      <c r="M857" s="7"/>
      <c r="N857" s="7"/>
      <c r="O857" s="7"/>
    </row>
    <row r="858">
      <c r="I858" s="7"/>
      <c r="J858" s="7"/>
      <c r="K858" s="7"/>
      <c r="L858" s="7"/>
      <c r="M858" s="7"/>
      <c r="N858" s="7"/>
      <c r="O858" s="7"/>
    </row>
    <row r="859">
      <c r="I859" s="7"/>
      <c r="J859" s="7"/>
      <c r="K859" s="7"/>
      <c r="L859" s="7"/>
      <c r="M859" s="7"/>
      <c r="N859" s="7"/>
      <c r="O859" s="7"/>
    </row>
    <row r="860">
      <c r="I860" s="7"/>
      <c r="J860" s="7"/>
      <c r="K860" s="7"/>
      <c r="L860" s="7"/>
      <c r="M860" s="7"/>
      <c r="N860" s="7"/>
      <c r="O860" s="7"/>
    </row>
    <row r="861">
      <c r="I861" s="7"/>
      <c r="J861" s="7"/>
      <c r="K861" s="7"/>
      <c r="L861" s="7"/>
      <c r="M861" s="7"/>
      <c r="N861" s="7"/>
      <c r="O861" s="7"/>
    </row>
    <row r="862">
      <c r="I862" s="7"/>
      <c r="J862" s="7"/>
      <c r="K862" s="7"/>
      <c r="L862" s="7"/>
      <c r="M862" s="7"/>
      <c r="N862" s="7"/>
      <c r="O862" s="7"/>
    </row>
    <row r="863">
      <c r="I863" s="7"/>
      <c r="J863" s="7"/>
      <c r="K863" s="7"/>
      <c r="L863" s="7"/>
      <c r="M863" s="7"/>
      <c r="N863" s="7"/>
      <c r="O863" s="7"/>
    </row>
    <row r="864">
      <c r="I864" s="7"/>
      <c r="J864" s="7"/>
      <c r="K864" s="7"/>
      <c r="L864" s="7"/>
      <c r="M864" s="7"/>
      <c r="N864" s="7"/>
      <c r="O864" s="7"/>
    </row>
    <row r="865">
      <c r="I865" s="7"/>
      <c r="J865" s="7"/>
      <c r="K865" s="7"/>
      <c r="L865" s="7"/>
      <c r="M865" s="7"/>
      <c r="N865" s="7"/>
      <c r="O865" s="7"/>
    </row>
    <row r="866">
      <c r="I866" s="7"/>
      <c r="J866" s="7"/>
      <c r="K866" s="7"/>
      <c r="L866" s="7"/>
      <c r="M866" s="7"/>
      <c r="N866" s="7"/>
      <c r="O866" s="7"/>
    </row>
    <row r="867">
      <c r="I867" s="7"/>
      <c r="J867" s="7"/>
      <c r="K867" s="7"/>
      <c r="L867" s="7"/>
      <c r="M867" s="7"/>
      <c r="N867" s="7"/>
      <c r="O867" s="7"/>
    </row>
    <row r="868">
      <c r="I868" s="7"/>
      <c r="J868" s="7"/>
      <c r="K868" s="7"/>
      <c r="L868" s="7"/>
      <c r="M868" s="7"/>
      <c r="N868" s="7"/>
      <c r="O868" s="7"/>
    </row>
    <row r="869">
      <c r="I869" s="7"/>
      <c r="J869" s="7"/>
      <c r="K869" s="7"/>
      <c r="L869" s="7"/>
      <c r="M869" s="7"/>
      <c r="N869" s="7"/>
      <c r="O869" s="7"/>
    </row>
    <row r="870">
      <c r="I870" s="7"/>
      <c r="J870" s="7"/>
      <c r="K870" s="7"/>
      <c r="L870" s="7"/>
      <c r="M870" s="7"/>
      <c r="N870" s="7"/>
      <c r="O870" s="7"/>
    </row>
    <row r="871">
      <c r="I871" s="7"/>
      <c r="J871" s="7"/>
      <c r="K871" s="7"/>
      <c r="L871" s="7"/>
      <c r="M871" s="7"/>
      <c r="N871" s="7"/>
      <c r="O871" s="7"/>
    </row>
    <row r="872">
      <c r="I872" s="7"/>
      <c r="J872" s="7"/>
      <c r="K872" s="7"/>
      <c r="L872" s="7"/>
      <c r="M872" s="7"/>
      <c r="N872" s="7"/>
      <c r="O872" s="7"/>
    </row>
    <row r="873">
      <c r="I873" s="7"/>
      <c r="J873" s="7"/>
      <c r="K873" s="7"/>
      <c r="L873" s="7"/>
      <c r="M873" s="7"/>
      <c r="N873" s="7"/>
      <c r="O873" s="7"/>
    </row>
    <row r="874">
      <c r="I874" s="7"/>
      <c r="J874" s="7"/>
      <c r="K874" s="7"/>
      <c r="L874" s="7"/>
      <c r="M874" s="7"/>
      <c r="N874" s="7"/>
      <c r="O874" s="7"/>
    </row>
    <row r="875">
      <c r="I875" s="7"/>
      <c r="J875" s="7"/>
      <c r="K875" s="7"/>
      <c r="L875" s="7"/>
      <c r="M875" s="7"/>
      <c r="N875" s="7"/>
      <c r="O875" s="7"/>
    </row>
    <row r="876">
      <c r="I876" s="7"/>
      <c r="J876" s="7"/>
      <c r="K876" s="7"/>
      <c r="L876" s="7"/>
      <c r="M876" s="7"/>
      <c r="N876" s="7"/>
      <c r="O876" s="7"/>
    </row>
    <row r="877">
      <c r="I877" s="7"/>
      <c r="J877" s="7"/>
      <c r="K877" s="7"/>
      <c r="L877" s="7"/>
      <c r="M877" s="7"/>
      <c r="N877" s="7"/>
      <c r="O877" s="7"/>
    </row>
    <row r="878">
      <c r="I878" s="7"/>
      <c r="J878" s="7"/>
      <c r="K878" s="7"/>
      <c r="L878" s="7"/>
      <c r="M878" s="7"/>
      <c r="N878" s="7"/>
      <c r="O878" s="7"/>
    </row>
    <row r="879">
      <c r="I879" s="7"/>
      <c r="J879" s="7"/>
      <c r="K879" s="7"/>
      <c r="L879" s="7"/>
      <c r="M879" s="7"/>
      <c r="N879" s="7"/>
      <c r="O879" s="7"/>
    </row>
    <row r="880">
      <c r="I880" s="7"/>
      <c r="J880" s="7"/>
      <c r="K880" s="7"/>
      <c r="L880" s="7"/>
      <c r="M880" s="7"/>
      <c r="N880" s="7"/>
      <c r="O880" s="7"/>
    </row>
    <row r="881">
      <c r="I881" s="7"/>
      <c r="J881" s="7"/>
      <c r="K881" s="7"/>
      <c r="L881" s="7"/>
      <c r="M881" s="7"/>
      <c r="N881" s="7"/>
      <c r="O881" s="7"/>
    </row>
    <row r="882">
      <c r="I882" s="7"/>
      <c r="J882" s="7"/>
      <c r="K882" s="7"/>
      <c r="L882" s="7"/>
      <c r="M882" s="7"/>
      <c r="N882" s="7"/>
      <c r="O882" s="7"/>
    </row>
    <row r="883">
      <c r="I883" s="7"/>
      <c r="J883" s="7"/>
      <c r="K883" s="7"/>
      <c r="L883" s="7"/>
      <c r="M883" s="7"/>
      <c r="N883" s="7"/>
      <c r="O883" s="7"/>
    </row>
    <row r="884">
      <c r="I884" s="7"/>
      <c r="J884" s="7"/>
      <c r="K884" s="7"/>
      <c r="L884" s="7"/>
      <c r="M884" s="7"/>
      <c r="N884" s="7"/>
      <c r="O884" s="7"/>
    </row>
    <row r="885">
      <c r="I885" s="7"/>
      <c r="J885" s="7"/>
      <c r="K885" s="7"/>
      <c r="L885" s="7"/>
      <c r="M885" s="7"/>
      <c r="N885" s="7"/>
      <c r="O885" s="7"/>
    </row>
    <row r="886">
      <c r="I886" s="7"/>
      <c r="J886" s="7"/>
      <c r="K886" s="7"/>
      <c r="L886" s="7"/>
      <c r="M886" s="7"/>
      <c r="N886" s="7"/>
      <c r="O886" s="7"/>
    </row>
    <row r="887">
      <c r="I887" s="7"/>
      <c r="J887" s="7"/>
      <c r="K887" s="7"/>
      <c r="L887" s="7"/>
      <c r="M887" s="7"/>
      <c r="N887" s="7"/>
      <c r="O887" s="7"/>
    </row>
    <row r="888">
      <c r="I888" s="7"/>
      <c r="J888" s="7"/>
      <c r="K888" s="7"/>
      <c r="L888" s="7"/>
      <c r="M888" s="7"/>
      <c r="N888" s="7"/>
      <c r="O888" s="7"/>
    </row>
    <row r="889">
      <c r="I889" s="7"/>
      <c r="J889" s="7"/>
      <c r="K889" s="7"/>
      <c r="L889" s="7"/>
      <c r="M889" s="7"/>
      <c r="N889" s="7"/>
      <c r="O889" s="7"/>
    </row>
    <row r="890">
      <c r="I890" s="7"/>
      <c r="J890" s="7"/>
      <c r="K890" s="7"/>
      <c r="L890" s="7"/>
      <c r="M890" s="7"/>
      <c r="N890" s="7"/>
      <c r="O890" s="7"/>
    </row>
    <row r="891">
      <c r="I891" s="7"/>
      <c r="J891" s="7"/>
      <c r="K891" s="7"/>
      <c r="L891" s="7"/>
      <c r="M891" s="7"/>
      <c r="N891" s="7"/>
      <c r="O891" s="7"/>
    </row>
    <row r="892">
      <c r="I892" s="7"/>
      <c r="J892" s="7"/>
      <c r="K892" s="7"/>
      <c r="L892" s="7"/>
      <c r="M892" s="7"/>
      <c r="N892" s="7"/>
      <c r="O892" s="7"/>
    </row>
    <row r="893">
      <c r="I893" s="7"/>
      <c r="J893" s="7"/>
      <c r="K893" s="7"/>
      <c r="L893" s="7"/>
      <c r="M893" s="7"/>
      <c r="N893" s="7"/>
      <c r="O893" s="7"/>
    </row>
    <row r="894">
      <c r="I894" s="7"/>
      <c r="J894" s="7"/>
      <c r="K894" s="7"/>
      <c r="L894" s="7"/>
      <c r="M894" s="7"/>
      <c r="N894" s="7"/>
      <c r="O894" s="7"/>
    </row>
    <row r="895">
      <c r="I895" s="7"/>
      <c r="J895" s="7"/>
      <c r="K895" s="7"/>
      <c r="L895" s="7"/>
      <c r="M895" s="7"/>
      <c r="N895" s="7"/>
      <c r="O895" s="7"/>
    </row>
    <row r="896">
      <c r="I896" s="7"/>
      <c r="J896" s="7"/>
      <c r="K896" s="7"/>
      <c r="L896" s="7"/>
      <c r="M896" s="7"/>
      <c r="N896" s="7"/>
      <c r="O896" s="7"/>
    </row>
    <row r="897">
      <c r="I897" s="7"/>
      <c r="J897" s="7"/>
      <c r="K897" s="7"/>
      <c r="L897" s="7"/>
      <c r="M897" s="7"/>
      <c r="N897" s="7"/>
      <c r="O897" s="7"/>
    </row>
    <row r="898">
      <c r="I898" s="7"/>
      <c r="J898" s="7"/>
      <c r="K898" s="7"/>
      <c r="L898" s="7"/>
      <c r="M898" s="7"/>
      <c r="N898" s="7"/>
      <c r="O898" s="7"/>
    </row>
    <row r="899">
      <c r="I899" s="7"/>
      <c r="J899" s="7"/>
      <c r="K899" s="7"/>
      <c r="L899" s="7"/>
      <c r="M899" s="7"/>
      <c r="N899" s="7"/>
      <c r="O899" s="7"/>
    </row>
    <row r="900">
      <c r="I900" s="7"/>
      <c r="J900" s="7"/>
      <c r="K900" s="7"/>
      <c r="L900" s="7"/>
      <c r="M900" s="7"/>
      <c r="N900" s="7"/>
      <c r="O900" s="7"/>
    </row>
    <row r="901">
      <c r="I901" s="7"/>
      <c r="J901" s="7"/>
      <c r="K901" s="7"/>
      <c r="L901" s="7"/>
      <c r="M901" s="7"/>
      <c r="N901" s="7"/>
      <c r="O901" s="7"/>
    </row>
    <row r="902">
      <c r="I902" s="7"/>
      <c r="J902" s="7"/>
      <c r="K902" s="7"/>
      <c r="L902" s="7"/>
      <c r="M902" s="7"/>
      <c r="N902" s="7"/>
      <c r="O902" s="7"/>
    </row>
    <row r="903">
      <c r="I903" s="7"/>
      <c r="J903" s="7"/>
      <c r="K903" s="7"/>
      <c r="L903" s="7"/>
      <c r="M903" s="7"/>
      <c r="N903" s="7"/>
      <c r="O903" s="7"/>
    </row>
    <row r="904">
      <c r="I904" s="7"/>
      <c r="J904" s="7"/>
      <c r="K904" s="7"/>
      <c r="L904" s="7"/>
      <c r="M904" s="7"/>
      <c r="N904" s="7"/>
      <c r="O904" s="7"/>
    </row>
    <row r="905">
      <c r="I905" s="7"/>
      <c r="J905" s="7"/>
      <c r="K905" s="7"/>
      <c r="L905" s="7"/>
      <c r="M905" s="7"/>
      <c r="N905" s="7"/>
      <c r="O905" s="7"/>
    </row>
    <row r="906">
      <c r="I906" s="7"/>
      <c r="J906" s="7"/>
      <c r="K906" s="7"/>
      <c r="L906" s="7"/>
      <c r="M906" s="7"/>
      <c r="N906" s="7"/>
      <c r="O906" s="7"/>
    </row>
    <row r="907">
      <c r="I907" s="7"/>
      <c r="J907" s="7"/>
      <c r="K907" s="7"/>
      <c r="L907" s="7"/>
      <c r="M907" s="7"/>
      <c r="N907" s="7"/>
      <c r="O907" s="7"/>
    </row>
    <row r="908">
      <c r="I908" s="7"/>
      <c r="J908" s="7"/>
      <c r="K908" s="7"/>
      <c r="L908" s="7"/>
      <c r="M908" s="7"/>
      <c r="N908" s="7"/>
      <c r="O908" s="7"/>
    </row>
    <row r="909">
      <c r="I909" s="7"/>
      <c r="J909" s="7"/>
      <c r="K909" s="7"/>
      <c r="L909" s="7"/>
      <c r="M909" s="7"/>
      <c r="N909" s="7"/>
      <c r="O909" s="7"/>
    </row>
    <row r="910">
      <c r="I910" s="7"/>
      <c r="J910" s="7"/>
      <c r="K910" s="7"/>
      <c r="L910" s="7"/>
      <c r="M910" s="7"/>
      <c r="N910" s="7"/>
      <c r="O910" s="7"/>
    </row>
    <row r="911">
      <c r="I911" s="7"/>
      <c r="J911" s="7"/>
      <c r="K911" s="7"/>
      <c r="L911" s="7"/>
      <c r="M911" s="7"/>
      <c r="N911" s="7"/>
      <c r="O911" s="7"/>
    </row>
    <row r="912">
      <c r="I912" s="7"/>
      <c r="J912" s="7"/>
      <c r="K912" s="7"/>
      <c r="L912" s="7"/>
      <c r="M912" s="7"/>
      <c r="N912" s="7"/>
      <c r="O912" s="7"/>
    </row>
    <row r="913">
      <c r="I913" s="7"/>
      <c r="J913" s="7"/>
      <c r="K913" s="7"/>
      <c r="L913" s="7"/>
      <c r="M913" s="7"/>
      <c r="N913" s="7"/>
      <c r="O913" s="7"/>
    </row>
    <row r="914">
      <c r="I914" s="7"/>
      <c r="J914" s="7"/>
      <c r="K914" s="7"/>
      <c r="L914" s="7"/>
      <c r="M914" s="7"/>
      <c r="N914" s="7"/>
      <c r="O914" s="7"/>
    </row>
    <row r="915">
      <c r="I915" s="7"/>
      <c r="J915" s="7"/>
      <c r="K915" s="7"/>
      <c r="L915" s="7"/>
      <c r="M915" s="7"/>
      <c r="N915" s="7"/>
      <c r="O915" s="7"/>
    </row>
    <row r="916">
      <c r="I916" s="7"/>
      <c r="J916" s="7"/>
      <c r="K916" s="7"/>
      <c r="L916" s="7"/>
      <c r="M916" s="7"/>
      <c r="N916" s="7"/>
      <c r="O916" s="7"/>
    </row>
    <row r="917">
      <c r="I917" s="7"/>
      <c r="J917" s="7"/>
      <c r="K917" s="7"/>
      <c r="L917" s="7"/>
      <c r="M917" s="7"/>
      <c r="N917" s="7"/>
      <c r="O917" s="7"/>
    </row>
    <row r="918">
      <c r="I918" s="7"/>
      <c r="J918" s="7"/>
      <c r="K918" s="7"/>
      <c r="L918" s="7"/>
      <c r="M918" s="7"/>
      <c r="N918" s="7"/>
      <c r="O918" s="7"/>
    </row>
    <row r="919">
      <c r="I919" s="7"/>
      <c r="J919" s="7"/>
      <c r="K919" s="7"/>
      <c r="L919" s="7"/>
      <c r="M919" s="7"/>
      <c r="N919" s="7"/>
      <c r="O919" s="7"/>
    </row>
    <row r="920">
      <c r="I920" s="7"/>
      <c r="J920" s="7"/>
      <c r="K920" s="7"/>
      <c r="L920" s="7"/>
      <c r="M920" s="7"/>
      <c r="N920" s="7"/>
      <c r="O920" s="7"/>
    </row>
    <row r="921">
      <c r="I921" s="7"/>
      <c r="J921" s="7"/>
      <c r="K921" s="7"/>
      <c r="L921" s="7"/>
      <c r="M921" s="7"/>
      <c r="N921" s="7"/>
      <c r="O921" s="7"/>
    </row>
    <row r="922">
      <c r="I922" s="7"/>
      <c r="J922" s="7"/>
      <c r="K922" s="7"/>
      <c r="L922" s="7"/>
      <c r="M922" s="7"/>
      <c r="N922" s="7"/>
      <c r="O922" s="7"/>
    </row>
    <row r="923">
      <c r="I923" s="7"/>
      <c r="J923" s="7"/>
      <c r="K923" s="7"/>
      <c r="L923" s="7"/>
      <c r="M923" s="7"/>
      <c r="N923" s="7"/>
      <c r="O923" s="7"/>
    </row>
    <row r="924">
      <c r="I924" s="7"/>
      <c r="J924" s="7"/>
      <c r="K924" s="7"/>
      <c r="L924" s="7"/>
      <c r="M924" s="7"/>
      <c r="N924" s="7"/>
      <c r="O924" s="7"/>
    </row>
    <row r="925">
      <c r="I925" s="7"/>
      <c r="J925" s="7"/>
      <c r="K925" s="7"/>
      <c r="L925" s="7"/>
      <c r="M925" s="7"/>
      <c r="N925" s="7"/>
      <c r="O925" s="7"/>
    </row>
    <row r="926">
      <c r="I926" s="7"/>
      <c r="J926" s="7"/>
      <c r="K926" s="7"/>
      <c r="L926" s="7"/>
      <c r="M926" s="7"/>
      <c r="N926" s="7"/>
      <c r="O926" s="7"/>
    </row>
    <row r="927">
      <c r="I927" s="7"/>
      <c r="J927" s="7"/>
      <c r="K927" s="7"/>
      <c r="L927" s="7"/>
      <c r="M927" s="7"/>
      <c r="N927" s="7"/>
      <c r="O927" s="7"/>
    </row>
    <row r="928">
      <c r="I928" s="7"/>
      <c r="J928" s="7"/>
      <c r="K928" s="7"/>
      <c r="L928" s="7"/>
      <c r="M928" s="7"/>
      <c r="N928" s="7"/>
      <c r="O928" s="7"/>
    </row>
    <row r="929">
      <c r="I929" s="7"/>
      <c r="J929" s="7"/>
      <c r="K929" s="7"/>
      <c r="L929" s="7"/>
      <c r="M929" s="7"/>
      <c r="N929" s="7"/>
      <c r="O929" s="7"/>
    </row>
    <row r="930">
      <c r="I930" s="7"/>
      <c r="J930" s="7"/>
      <c r="K930" s="7"/>
      <c r="L930" s="7"/>
      <c r="M930" s="7"/>
      <c r="N930" s="7"/>
      <c r="O930" s="7"/>
    </row>
    <row r="931">
      <c r="I931" s="7"/>
      <c r="J931" s="7"/>
      <c r="K931" s="7"/>
      <c r="L931" s="7"/>
      <c r="M931" s="7"/>
      <c r="N931" s="7"/>
      <c r="O931" s="7"/>
    </row>
    <row r="932">
      <c r="I932" s="7"/>
      <c r="J932" s="7"/>
      <c r="K932" s="7"/>
      <c r="L932" s="7"/>
      <c r="M932" s="7"/>
      <c r="N932" s="7"/>
      <c r="O932" s="7"/>
    </row>
    <row r="933">
      <c r="I933" s="7"/>
      <c r="J933" s="7"/>
      <c r="K933" s="7"/>
      <c r="L933" s="7"/>
      <c r="M933" s="7"/>
      <c r="N933" s="7"/>
      <c r="O933" s="7"/>
    </row>
    <row r="934">
      <c r="I934" s="7"/>
      <c r="J934" s="7"/>
      <c r="K934" s="7"/>
      <c r="L934" s="7"/>
      <c r="M934" s="7"/>
      <c r="N934" s="7"/>
      <c r="O934" s="7"/>
    </row>
    <row r="935">
      <c r="I935" s="7"/>
      <c r="J935" s="7"/>
      <c r="K935" s="7"/>
      <c r="L935" s="7"/>
      <c r="M935" s="7"/>
      <c r="N935" s="7"/>
      <c r="O935" s="7"/>
    </row>
    <row r="936">
      <c r="I936" s="7"/>
      <c r="J936" s="7"/>
      <c r="K936" s="7"/>
      <c r="L936" s="7"/>
      <c r="M936" s="7"/>
      <c r="N936" s="7"/>
      <c r="O936" s="7"/>
    </row>
    <row r="937">
      <c r="I937" s="7"/>
      <c r="J937" s="7"/>
      <c r="K937" s="7"/>
      <c r="L937" s="7"/>
      <c r="M937" s="7"/>
      <c r="N937" s="7"/>
      <c r="O937" s="7"/>
    </row>
    <row r="938">
      <c r="I938" s="7"/>
      <c r="J938" s="7"/>
      <c r="K938" s="7"/>
      <c r="L938" s="7"/>
      <c r="M938" s="7"/>
      <c r="N938" s="7"/>
      <c r="O938" s="7"/>
    </row>
    <row r="939">
      <c r="I939" s="7"/>
      <c r="J939" s="7"/>
      <c r="K939" s="7"/>
      <c r="L939" s="7"/>
      <c r="M939" s="7"/>
      <c r="N939" s="7"/>
      <c r="O939" s="7"/>
    </row>
    <row r="940">
      <c r="I940" s="7"/>
      <c r="J940" s="7"/>
      <c r="K940" s="7"/>
      <c r="L940" s="7"/>
      <c r="M940" s="7"/>
      <c r="N940" s="7"/>
      <c r="O940" s="7"/>
    </row>
    <row r="941">
      <c r="I941" s="7"/>
      <c r="J941" s="7"/>
      <c r="K941" s="7"/>
      <c r="L941" s="7"/>
      <c r="M941" s="7"/>
      <c r="N941" s="7"/>
      <c r="O941" s="7"/>
    </row>
    <row r="942">
      <c r="I942" s="7"/>
      <c r="J942" s="7"/>
      <c r="K942" s="7"/>
      <c r="L942" s="7"/>
      <c r="M942" s="7"/>
      <c r="N942" s="7"/>
      <c r="O942" s="7"/>
    </row>
    <row r="943">
      <c r="I943" s="7"/>
      <c r="J943" s="7"/>
      <c r="K943" s="7"/>
      <c r="L943" s="7"/>
      <c r="M943" s="7"/>
      <c r="N943" s="7"/>
      <c r="O943" s="7"/>
    </row>
    <row r="944">
      <c r="I944" s="7"/>
      <c r="J944" s="7"/>
      <c r="K944" s="7"/>
      <c r="L944" s="7"/>
      <c r="M944" s="7"/>
      <c r="N944" s="7"/>
      <c r="O944" s="7"/>
    </row>
    <row r="945">
      <c r="I945" s="7"/>
      <c r="J945" s="7"/>
      <c r="K945" s="7"/>
      <c r="L945" s="7"/>
      <c r="M945" s="7"/>
      <c r="N945" s="7"/>
      <c r="O945" s="7"/>
    </row>
    <row r="946">
      <c r="I946" s="7"/>
      <c r="J946" s="7"/>
      <c r="K946" s="7"/>
      <c r="L946" s="7"/>
      <c r="M946" s="7"/>
      <c r="N946" s="7"/>
      <c r="O946" s="7"/>
    </row>
    <row r="947">
      <c r="I947" s="7"/>
      <c r="J947" s="7"/>
      <c r="K947" s="7"/>
      <c r="L947" s="7"/>
      <c r="M947" s="7"/>
      <c r="N947" s="7"/>
      <c r="O947" s="7"/>
    </row>
    <row r="948">
      <c r="I948" s="7"/>
      <c r="J948" s="7"/>
      <c r="K948" s="7"/>
      <c r="L948" s="7"/>
      <c r="M948" s="7"/>
      <c r="N948" s="7"/>
      <c r="O948" s="7"/>
    </row>
    <row r="949">
      <c r="I949" s="7"/>
      <c r="J949" s="7"/>
      <c r="K949" s="7"/>
      <c r="L949" s="7"/>
      <c r="M949" s="7"/>
      <c r="N949" s="7"/>
      <c r="O949" s="7"/>
    </row>
    <row r="950">
      <c r="I950" s="7"/>
      <c r="J950" s="7"/>
      <c r="K950" s="7"/>
      <c r="L950" s="7"/>
      <c r="M950" s="7"/>
      <c r="N950" s="7"/>
      <c r="O950" s="7"/>
    </row>
    <row r="951">
      <c r="I951" s="7"/>
      <c r="J951" s="7"/>
      <c r="K951" s="7"/>
      <c r="L951" s="7"/>
      <c r="M951" s="7"/>
      <c r="N951" s="7"/>
      <c r="O951" s="7"/>
    </row>
    <row r="952">
      <c r="I952" s="7"/>
      <c r="J952" s="7"/>
      <c r="K952" s="7"/>
      <c r="L952" s="7"/>
      <c r="M952" s="7"/>
      <c r="N952" s="7"/>
      <c r="O952" s="7"/>
    </row>
    <row r="953">
      <c r="I953" s="7"/>
      <c r="J953" s="7"/>
      <c r="K953" s="7"/>
      <c r="L953" s="7"/>
      <c r="M953" s="7"/>
      <c r="N953" s="7"/>
      <c r="O953" s="7"/>
    </row>
    <row r="954">
      <c r="I954" s="7"/>
      <c r="J954" s="7"/>
      <c r="K954" s="7"/>
      <c r="L954" s="7"/>
      <c r="M954" s="7"/>
      <c r="N954" s="7"/>
      <c r="O954" s="7"/>
    </row>
    <row r="955">
      <c r="I955" s="7"/>
      <c r="J955" s="7"/>
      <c r="K955" s="7"/>
      <c r="L955" s="7"/>
      <c r="M955" s="7"/>
      <c r="N955" s="7"/>
      <c r="O955" s="7"/>
    </row>
    <row r="956">
      <c r="I956" s="7"/>
      <c r="J956" s="7"/>
      <c r="K956" s="7"/>
      <c r="L956" s="7"/>
      <c r="M956" s="7"/>
      <c r="N956" s="7"/>
      <c r="O956" s="7"/>
    </row>
    <row r="957">
      <c r="I957" s="7"/>
      <c r="J957" s="7"/>
      <c r="K957" s="7"/>
      <c r="L957" s="7"/>
      <c r="M957" s="7"/>
      <c r="N957" s="7"/>
      <c r="O957" s="7"/>
    </row>
    <row r="958">
      <c r="I958" s="7"/>
      <c r="J958" s="7"/>
      <c r="K958" s="7"/>
      <c r="L958" s="7"/>
      <c r="M958" s="7"/>
      <c r="N958" s="7"/>
      <c r="O958" s="7"/>
    </row>
    <row r="959">
      <c r="I959" s="7"/>
      <c r="J959" s="7"/>
      <c r="K959" s="7"/>
      <c r="L959" s="7"/>
      <c r="M959" s="7"/>
      <c r="N959" s="7"/>
      <c r="O959" s="7"/>
    </row>
    <row r="960">
      <c r="I960" s="7"/>
      <c r="J960" s="7"/>
      <c r="K960" s="7"/>
      <c r="L960" s="7"/>
      <c r="M960" s="7"/>
      <c r="N960" s="7"/>
      <c r="O960" s="7"/>
    </row>
    <row r="961">
      <c r="I961" s="7"/>
      <c r="J961" s="7"/>
      <c r="K961" s="7"/>
      <c r="L961" s="7"/>
      <c r="M961" s="7"/>
      <c r="N961" s="7"/>
      <c r="O961" s="7"/>
    </row>
    <row r="962">
      <c r="I962" s="7"/>
      <c r="J962" s="7"/>
      <c r="K962" s="7"/>
      <c r="L962" s="7"/>
      <c r="M962" s="7"/>
      <c r="N962" s="7"/>
      <c r="O962" s="7"/>
    </row>
    <row r="963">
      <c r="I963" s="7"/>
      <c r="J963" s="7"/>
      <c r="K963" s="7"/>
      <c r="L963" s="7"/>
      <c r="M963" s="7"/>
      <c r="N963" s="7"/>
      <c r="O963" s="7"/>
    </row>
    <row r="964">
      <c r="I964" s="7"/>
      <c r="J964" s="7"/>
      <c r="K964" s="7"/>
      <c r="L964" s="7"/>
      <c r="M964" s="7"/>
      <c r="N964" s="7"/>
      <c r="O964" s="7"/>
    </row>
    <row r="965">
      <c r="I965" s="7"/>
      <c r="J965" s="7"/>
      <c r="K965" s="7"/>
      <c r="L965" s="7"/>
      <c r="M965" s="7"/>
      <c r="N965" s="7"/>
      <c r="O965" s="7"/>
    </row>
    <row r="966">
      <c r="I966" s="7"/>
      <c r="J966" s="7"/>
      <c r="K966" s="7"/>
      <c r="L966" s="7"/>
      <c r="M966" s="7"/>
      <c r="N966" s="7"/>
      <c r="O966" s="7"/>
    </row>
    <row r="967">
      <c r="I967" s="7"/>
      <c r="J967" s="7"/>
      <c r="K967" s="7"/>
      <c r="L967" s="7"/>
      <c r="M967" s="7"/>
      <c r="N967" s="7"/>
      <c r="O967" s="7"/>
    </row>
    <row r="968">
      <c r="I968" s="7"/>
      <c r="J968" s="7"/>
      <c r="K968" s="7"/>
      <c r="L968" s="7"/>
      <c r="M968" s="7"/>
      <c r="N968" s="7"/>
      <c r="O968" s="7"/>
    </row>
    <row r="969">
      <c r="I969" s="7"/>
      <c r="J969" s="7"/>
      <c r="K969" s="7"/>
      <c r="L969" s="7"/>
      <c r="M969" s="7"/>
      <c r="N969" s="7"/>
      <c r="O969" s="7"/>
    </row>
    <row r="970">
      <c r="I970" s="7"/>
      <c r="J970" s="7"/>
      <c r="K970" s="7"/>
      <c r="L970" s="7"/>
      <c r="M970" s="7"/>
      <c r="N970" s="7"/>
      <c r="O970" s="7"/>
    </row>
    <row r="971">
      <c r="I971" s="7"/>
      <c r="J971" s="7"/>
      <c r="K971" s="7"/>
      <c r="L971" s="7"/>
      <c r="M971" s="7"/>
      <c r="N971" s="7"/>
      <c r="O971" s="7"/>
    </row>
    <row r="972">
      <c r="I972" s="7"/>
      <c r="J972" s="7"/>
      <c r="K972" s="7"/>
      <c r="L972" s="7"/>
      <c r="M972" s="7"/>
      <c r="N972" s="7"/>
      <c r="O972" s="7"/>
    </row>
    <row r="973">
      <c r="I973" s="7"/>
      <c r="J973" s="7"/>
      <c r="K973" s="7"/>
      <c r="L973" s="7"/>
      <c r="M973" s="7"/>
      <c r="N973" s="7"/>
      <c r="O973" s="7"/>
    </row>
    <row r="974">
      <c r="I974" s="7"/>
      <c r="J974" s="7"/>
      <c r="K974" s="7"/>
      <c r="L974" s="7"/>
      <c r="M974" s="7"/>
      <c r="N974" s="7"/>
      <c r="O974" s="7"/>
    </row>
    <row r="975">
      <c r="I975" s="7"/>
      <c r="J975" s="7"/>
      <c r="K975" s="7"/>
      <c r="L975" s="7"/>
      <c r="M975" s="7"/>
      <c r="N975" s="7"/>
      <c r="O975" s="7"/>
    </row>
    <row r="976">
      <c r="I976" s="7"/>
      <c r="J976" s="7"/>
      <c r="K976" s="7"/>
      <c r="L976" s="7"/>
      <c r="M976" s="7"/>
      <c r="N976" s="7"/>
      <c r="O976" s="7"/>
    </row>
    <row r="977">
      <c r="I977" s="7"/>
      <c r="J977" s="7"/>
      <c r="K977" s="7"/>
      <c r="L977" s="7"/>
      <c r="M977" s="7"/>
      <c r="N977" s="7"/>
      <c r="O977" s="7"/>
    </row>
    <row r="978">
      <c r="I978" s="7"/>
      <c r="J978" s="7"/>
      <c r="K978" s="7"/>
      <c r="L978" s="7"/>
      <c r="M978" s="7"/>
      <c r="N978" s="7"/>
      <c r="O978" s="7"/>
    </row>
    <row r="979">
      <c r="I979" s="7"/>
      <c r="J979" s="7"/>
      <c r="K979" s="7"/>
      <c r="L979" s="7"/>
      <c r="M979" s="7"/>
      <c r="N979" s="7"/>
      <c r="O979" s="7"/>
    </row>
    <row r="980">
      <c r="I980" s="7"/>
      <c r="J980" s="7"/>
      <c r="K980" s="7"/>
      <c r="L980" s="7"/>
      <c r="M980" s="7"/>
      <c r="N980" s="7"/>
      <c r="O980" s="7"/>
    </row>
    <row r="981">
      <c r="I981" s="7"/>
      <c r="J981" s="7"/>
      <c r="K981" s="7"/>
      <c r="L981" s="7"/>
      <c r="M981" s="7"/>
      <c r="N981" s="7"/>
      <c r="O981" s="7"/>
    </row>
    <row r="982">
      <c r="I982" s="7"/>
      <c r="J982" s="7"/>
      <c r="K982" s="7"/>
      <c r="L982" s="7"/>
      <c r="M982" s="7"/>
      <c r="N982" s="7"/>
      <c r="O982" s="7"/>
    </row>
    <row r="983">
      <c r="I983" s="7"/>
      <c r="J983" s="7"/>
      <c r="K983" s="7"/>
      <c r="L983" s="7"/>
      <c r="M983" s="7"/>
      <c r="N983" s="7"/>
      <c r="O983" s="7"/>
    </row>
    <row r="984">
      <c r="I984" s="7"/>
      <c r="J984" s="7"/>
      <c r="K984" s="7"/>
      <c r="L984" s="7"/>
      <c r="M984" s="7"/>
      <c r="N984" s="7"/>
      <c r="O984" s="7"/>
    </row>
    <row r="985">
      <c r="I985" s="7"/>
      <c r="J985" s="7"/>
      <c r="K985" s="7"/>
      <c r="L985" s="7"/>
      <c r="M985" s="7"/>
      <c r="N985" s="7"/>
      <c r="O985" s="7"/>
    </row>
    <row r="986">
      <c r="I986" s="7"/>
      <c r="J986" s="7"/>
      <c r="K986" s="7"/>
      <c r="L986" s="7"/>
      <c r="M986" s="7"/>
      <c r="N986" s="7"/>
      <c r="O986" s="7"/>
    </row>
    <row r="987">
      <c r="I987" s="7"/>
      <c r="J987" s="7"/>
      <c r="K987" s="7"/>
      <c r="L987" s="7"/>
      <c r="M987" s="7"/>
      <c r="N987" s="7"/>
      <c r="O987" s="7"/>
    </row>
    <row r="988">
      <c r="I988" s="7"/>
      <c r="J988" s="7"/>
      <c r="K988" s="7"/>
      <c r="L988" s="7"/>
      <c r="M988" s="7"/>
      <c r="N988" s="7"/>
      <c r="O988" s="7"/>
    </row>
    <row r="989">
      <c r="I989" s="7"/>
      <c r="J989" s="7"/>
      <c r="K989" s="7"/>
      <c r="L989" s="7"/>
      <c r="M989" s="7"/>
      <c r="N989" s="7"/>
      <c r="O989" s="7"/>
    </row>
    <row r="990">
      <c r="I990" s="7"/>
      <c r="J990" s="7"/>
      <c r="K990" s="7"/>
      <c r="L990" s="7"/>
      <c r="M990" s="7"/>
      <c r="N990" s="7"/>
      <c r="O990" s="7"/>
    </row>
    <row r="991">
      <c r="I991" s="7"/>
      <c r="J991" s="7"/>
      <c r="K991" s="7"/>
      <c r="L991" s="7"/>
      <c r="M991" s="7"/>
      <c r="N991" s="7"/>
      <c r="O991" s="7"/>
    </row>
    <row r="992">
      <c r="I992" s="7"/>
      <c r="J992" s="7"/>
      <c r="K992" s="7"/>
      <c r="L992" s="7"/>
      <c r="M992" s="7"/>
      <c r="N992" s="7"/>
      <c r="O992" s="7"/>
    </row>
    <row r="993">
      <c r="I993" s="7"/>
      <c r="J993" s="7"/>
      <c r="K993" s="7"/>
      <c r="L993" s="7"/>
      <c r="M993" s="7"/>
      <c r="N993" s="7"/>
      <c r="O993" s="7"/>
    </row>
    <row r="994">
      <c r="I994" s="7"/>
      <c r="J994" s="7"/>
      <c r="K994" s="7"/>
      <c r="L994" s="7"/>
      <c r="M994" s="7"/>
      <c r="N994" s="7"/>
      <c r="O994" s="7"/>
    </row>
    <row r="995">
      <c r="I995" s="7"/>
      <c r="J995" s="7"/>
      <c r="K995" s="7"/>
      <c r="L995" s="7"/>
      <c r="M995" s="7"/>
      <c r="N995" s="7"/>
      <c r="O995" s="7"/>
    </row>
    <row r="996">
      <c r="I996" s="7"/>
      <c r="J996" s="7"/>
      <c r="K996" s="7"/>
      <c r="L996" s="7"/>
      <c r="M996" s="7"/>
      <c r="N996" s="7"/>
      <c r="O996" s="7"/>
    </row>
    <row r="997">
      <c r="I997" s="7"/>
      <c r="J997" s="7"/>
      <c r="K997" s="7"/>
      <c r="L997" s="7"/>
      <c r="M997" s="7"/>
      <c r="N997" s="7"/>
      <c r="O997" s="7"/>
    </row>
    <row r="998">
      <c r="I998" s="7"/>
      <c r="J998" s="7"/>
      <c r="K998" s="7"/>
      <c r="L998" s="7"/>
      <c r="M998" s="7"/>
      <c r="N998" s="7"/>
      <c r="O998" s="7"/>
    </row>
    <row r="999">
      <c r="I999" s="7"/>
      <c r="J999" s="7"/>
      <c r="K999" s="7"/>
      <c r="L999" s="7"/>
      <c r="M999" s="7"/>
      <c r="N999" s="7"/>
      <c r="O999" s="7"/>
    </row>
    <row r="1000">
      <c r="I1000" s="7"/>
      <c r="J1000" s="7"/>
      <c r="K1000" s="7"/>
      <c r="L1000" s="7"/>
      <c r="M1000" s="7"/>
      <c r="N1000" s="7"/>
      <c r="O1000" s="7"/>
    </row>
    <row r="1001">
      <c r="I1001" s="7"/>
      <c r="J1001" s="7"/>
      <c r="K1001" s="7"/>
      <c r="L1001" s="7"/>
      <c r="M1001" s="7"/>
      <c r="N1001" s="7"/>
      <c r="O1001" s="7"/>
    </row>
    <row r="1002">
      <c r="I1002" s="7"/>
      <c r="J1002" s="7"/>
      <c r="K1002" s="7"/>
      <c r="L1002" s="7"/>
      <c r="M1002" s="7"/>
      <c r="N1002" s="7"/>
      <c r="O1002" s="7"/>
    </row>
    <row r="1003">
      <c r="I1003" s="7"/>
      <c r="J1003" s="7"/>
      <c r="K1003" s="7"/>
      <c r="L1003" s="7"/>
      <c r="M1003" s="7"/>
      <c r="N1003" s="7"/>
      <c r="O1003" s="7"/>
    </row>
    <row r="1004">
      <c r="I1004" s="7"/>
      <c r="J1004" s="7"/>
      <c r="K1004" s="7"/>
      <c r="L1004" s="7"/>
      <c r="M1004" s="7"/>
      <c r="N1004" s="7"/>
      <c r="O1004" s="7"/>
    </row>
    <row r="1005">
      <c r="I1005" s="7"/>
      <c r="J1005" s="7"/>
      <c r="K1005" s="7"/>
      <c r="L1005" s="7"/>
      <c r="M1005" s="7"/>
      <c r="N1005" s="7"/>
      <c r="O1005" s="7"/>
    </row>
    <row r="1006">
      <c r="I1006" s="7"/>
      <c r="J1006" s="7"/>
      <c r="K1006" s="7"/>
      <c r="L1006" s="7"/>
      <c r="M1006" s="7"/>
      <c r="N1006" s="7"/>
      <c r="O1006" s="7"/>
    </row>
    <row r="1007">
      <c r="I1007" s="7"/>
      <c r="J1007" s="7"/>
      <c r="K1007" s="7"/>
      <c r="L1007" s="7"/>
      <c r="M1007" s="7"/>
      <c r="N1007" s="7"/>
      <c r="O1007" s="7"/>
    </row>
    <row r="1008">
      <c r="I1008" s="7"/>
      <c r="J1008" s="7"/>
      <c r="K1008" s="7"/>
      <c r="L1008" s="7"/>
      <c r="M1008" s="7"/>
      <c r="N1008" s="7"/>
      <c r="O1008" s="7"/>
    </row>
    <row r="1009">
      <c r="I1009" s="7"/>
      <c r="J1009" s="7"/>
      <c r="K1009" s="7"/>
      <c r="L1009" s="7"/>
      <c r="M1009" s="7"/>
      <c r="N1009" s="7"/>
      <c r="O1009" s="7"/>
    </row>
    <row r="1010">
      <c r="I1010" s="7"/>
      <c r="J1010" s="7"/>
      <c r="K1010" s="7"/>
      <c r="L1010" s="7"/>
      <c r="M1010" s="7"/>
      <c r="N1010" s="7"/>
      <c r="O1010" s="7"/>
    </row>
    <row r="1011">
      <c r="I1011" s="7"/>
      <c r="J1011" s="7"/>
      <c r="K1011" s="7"/>
      <c r="L1011" s="7"/>
      <c r="M1011" s="7"/>
      <c r="N1011" s="7"/>
      <c r="O1011" s="7"/>
    </row>
    <row r="1012">
      <c r="I1012" s="7"/>
      <c r="J1012" s="7"/>
      <c r="K1012" s="7"/>
      <c r="L1012" s="7"/>
      <c r="M1012" s="7"/>
      <c r="N1012" s="7"/>
      <c r="O1012" s="7"/>
    </row>
    <row r="1013">
      <c r="I1013" s="7"/>
      <c r="J1013" s="7"/>
      <c r="K1013" s="7"/>
      <c r="L1013" s="7"/>
      <c r="M1013" s="7"/>
      <c r="N1013" s="7"/>
      <c r="O1013" s="7"/>
    </row>
    <row r="1014">
      <c r="I1014" s="7"/>
      <c r="J1014" s="7"/>
      <c r="K1014" s="7"/>
      <c r="L1014" s="7"/>
      <c r="M1014" s="7"/>
      <c r="N1014" s="7"/>
      <c r="O1014" s="7"/>
    </row>
    <row r="1015">
      <c r="I1015" s="7"/>
      <c r="J1015" s="7"/>
      <c r="K1015" s="7"/>
      <c r="L1015" s="7"/>
      <c r="M1015" s="7"/>
      <c r="N1015" s="7"/>
      <c r="O1015" s="7"/>
    </row>
    <row r="1016">
      <c r="I1016" s="7"/>
      <c r="J1016" s="7"/>
      <c r="K1016" s="7"/>
      <c r="L1016" s="7"/>
      <c r="M1016" s="7"/>
      <c r="N1016" s="7"/>
      <c r="O1016" s="7"/>
    </row>
    <row r="1017">
      <c r="I1017" s="7"/>
      <c r="J1017" s="7"/>
      <c r="K1017" s="7"/>
      <c r="L1017" s="7"/>
      <c r="M1017" s="7"/>
      <c r="N1017" s="7"/>
      <c r="O1017" s="7"/>
    </row>
    <row r="1018">
      <c r="I1018" s="7"/>
      <c r="J1018" s="7"/>
      <c r="K1018" s="7"/>
      <c r="L1018" s="7"/>
      <c r="M1018" s="7"/>
      <c r="N1018" s="7"/>
      <c r="O1018" s="7"/>
    </row>
    <row r="1019">
      <c r="I1019" s="7"/>
      <c r="J1019" s="7"/>
      <c r="K1019" s="7"/>
      <c r="L1019" s="7"/>
      <c r="M1019" s="7"/>
      <c r="N1019" s="7"/>
      <c r="O1019" s="7"/>
    </row>
    <row r="1020">
      <c r="I1020" s="7"/>
      <c r="J1020" s="7"/>
      <c r="K1020" s="7"/>
      <c r="L1020" s="7"/>
      <c r="M1020" s="7"/>
      <c r="N1020" s="7"/>
      <c r="O1020" s="7"/>
    </row>
    <row r="1021">
      <c r="I1021" s="7"/>
      <c r="J1021" s="7"/>
      <c r="K1021" s="7"/>
      <c r="L1021" s="7"/>
      <c r="M1021" s="7"/>
      <c r="N1021" s="7"/>
      <c r="O1021" s="7"/>
    </row>
    <row r="1022">
      <c r="I1022" s="7"/>
      <c r="J1022" s="7"/>
      <c r="K1022" s="7"/>
      <c r="L1022" s="7"/>
      <c r="M1022" s="7"/>
      <c r="N1022" s="7"/>
      <c r="O1022" s="7"/>
    </row>
    <row r="1023">
      <c r="I1023" s="7"/>
      <c r="J1023" s="7"/>
      <c r="K1023" s="7"/>
      <c r="L1023" s="7"/>
      <c r="M1023" s="7"/>
      <c r="N1023" s="7"/>
      <c r="O1023" s="7"/>
    </row>
    <row r="1024">
      <c r="I1024" s="7"/>
      <c r="J1024" s="7"/>
      <c r="K1024" s="7"/>
      <c r="L1024" s="7"/>
      <c r="M1024" s="7"/>
      <c r="N1024" s="7"/>
      <c r="O1024" s="7"/>
    </row>
    <row r="1025">
      <c r="I1025" s="7"/>
      <c r="J1025" s="7"/>
      <c r="K1025" s="7"/>
      <c r="L1025" s="7"/>
      <c r="M1025" s="7"/>
      <c r="N1025" s="7"/>
      <c r="O1025" s="7"/>
    </row>
    <row r="1026">
      <c r="I1026" s="7"/>
      <c r="J1026" s="7"/>
      <c r="K1026" s="7"/>
      <c r="L1026" s="7"/>
      <c r="M1026" s="7"/>
      <c r="N1026" s="7"/>
      <c r="O1026" s="7"/>
    </row>
    <row r="1027">
      <c r="I1027" s="7"/>
      <c r="J1027" s="7"/>
      <c r="K1027" s="7"/>
      <c r="L1027" s="7"/>
      <c r="M1027" s="7"/>
      <c r="N1027" s="7"/>
      <c r="O1027" s="7"/>
    </row>
    <row r="1028">
      <c r="I1028" s="7"/>
      <c r="J1028" s="7"/>
      <c r="K1028" s="7"/>
      <c r="L1028" s="7"/>
      <c r="M1028" s="7"/>
      <c r="N1028" s="7"/>
      <c r="O1028" s="7"/>
    </row>
    <row r="1029">
      <c r="I1029" s="7"/>
      <c r="J1029" s="7"/>
      <c r="K1029" s="7"/>
      <c r="L1029" s="7"/>
      <c r="M1029" s="7"/>
      <c r="N1029" s="7"/>
      <c r="O1029" s="7"/>
    </row>
    <row r="1030">
      <c r="I1030" s="7"/>
      <c r="J1030" s="7"/>
      <c r="K1030" s="7"/>
      <c r="L1030" s="7"/>
      <c r="M1030" s="7"/>
      <c r="N1030" s="7"/>
      <c r="O1030" s="7"/>
    </row>
    <row r="1031">
      <c r="I1031" s="7"/>
      <c r="J1031" s="7"/>
      <c r="K1031" s="7"/>
      <c r="L1031" s="7"/>
      <c r="M1031" s="7"/>
      <c r="N1031" s="7"/>
      <c r="O1031" s="7"/>
    </row>
    <row r="1032">
      <c r="I1032" s="7"/>
      <c r="J1032" s="7"/>
      <c r="K1032" s="7"/>
      <c r="L1032" s="7"/>
      <c r="M1032" s="7"/>
      <c r="N1032" s="7"/>
      <c r="O1032" s="7"/>
    </row>
    <row r="1033">
      <c r="I1033" s="7"/>
      <c r="J1033" s="7"/>
      <c r="K1033" s="7"/>
      <c r="L1033" s="7"/>
      <c r="M1033" s="7"/>
      <c r="N1033" s="7"/>
      <c r="O1033" s="7"/>
    </row>
    <row r="1034">
      <c r="I1034" s="7"/>
      <c r="J1034" s="7"/>
      <c r="K1034" s="7"/>
      <c r="L1034" s="7"/>
      <c r="M1034" s="7"/>
      <c r="N1034" s="7"/>
      <c r="O1034" s="7"/>
    </row>
    <row r="1035">
      <c r="I1035" s="7"/>
      <c r="J1035" s="7"/>
      <c r="K1035" s="7"/>
      <c r="L1035" s="7"/>
      <c r="M1035" s="7"/>
      <c r="N1035" s="7"/>
      <c r="O1035" s="7"/>
    </row>
    <row r="1036">
      <c r="I1036" s="7"/>
      <c r="J1036" s="7"/>
      <c r="K1036" s="7"/>
      <c r="L1036" s="7"/>
      <c r="M1036" s="7"/>
      <c r="N1036" s="7"/>
      <c r="O1036" s="7"/>
    </row>
    <row r="1037">
      <c r="I1037" s="7"/>
      <c r="J1037" s="7"/>
      <c r="K1037" s="7"/>
      <c r="L1037" s="7"/>
      <c r="M1037" s="7"/>
      <c r="N1037" s="7"/>
      <c r="O1037" s="7"/>
    </row>
    <row r="1038">
      <c r="I1038" s="7"/>
      <c r="J1038" s="7"/>
      <c r="K1038" s="7"/>
      <c r="L1038" s="7"/>
      <c r="M1038" s="7"/>
      <c r="N1038" s="7"/>
      <c r="O1038" s="7"/>
    </row>
    <row r="1039">
      <c r="I1039" s="7"/>
      <c r="J1039" s="7"/>
      <c r="K1039" s="7"/>
      <c r="L1039" s="7"/>
      <c r="M1039" s="7"/>
      <c r="N1039" s="7"/>
      <c r="O1039" s="7"/>
    </row>
    <row r="1040">
      <c r="I1040" s="7"/>
      <c r="J1040" s="7"/>
      <c r="K1040" s="7"/>
      <c r="L1040" s="7"/>
      <c r="M1040" s="7"/>
      <c r="N1040" s="7"/>
      <c r="O1040" s="7"/>
    </row>
    <row r="1041">
      <c r="I1041" s="7"/>
      <c r="J1041" s="7"/>
      <c r="K1041" s="7"/>
      <c r="L1041" s="7"/>
      <c r="M1041" s="7"/>
      <c r="N1041" s="7"/>
      <c r="O1041" s="7"/>
    </row>
  </sheetData>
  <mergeCells count="780">
    <mergeCell ref="G426:I426"/>
    <mergeCell ref="G427:I427"/>
    <mergeCell ref="A422:B422"/>
    <mergeCell ref="A423:B423"/>
    <mergeCell ref="A424:B424"/>
    <mergeCell ref="A425:B425"/>
    <mergeCell ref="G425:I425"/>
    <mergeCell ref="A426:B426"/>
    <mergeCell ref="A427:B427"/>
    <mergeCell ref="E437:H437"/>
    <mergeCell ref="E438:H438"/>
    <mergeCell ref="E439:H439"/>
    <mergeCell ref="E440:H440"/>
    <mergeCell ref="E441:H441"/>
    <mergeCell ref="E442:H442"/>
    <mergeCell ref="E443:H443"/>
    <mergeCell ref="E444:H444"/>
    <mergeCell ref="E445:H445"/>
    <mergeCell ref="E446:H446"/>
    <mergeCell ref="E447:H447"/>
    <mergeCell ref="E448:H448"/>
    <mergeCell ref="E449:H449"/>
    <mergeCell ref="E450:H450"/>
    <mergeCell ref="E451:H451"/>
    <mergeCell ref="E452:H452"/>
    <mergeCell ref="E453:H453"/>
    <mergeCell ref="E454:H454"/>
    <mergeCell ref="E455:H455"/>
    <mergeCell ref="E456:H456"/>
    <mergeCell ref="E457:H457"/>
    <mergeCell ref="B476:H476"/>
    <mergeCell ref="B477:H477"/>
    <mergeCell ref="B478:H478"/>
    <mergeCell ref="A479:H479"/>
    <mergeCell ref="A480:H480"/>
    <mergeCell ref="A481:H481"/>
    <mergeCell ref="A468:H468"/>
    <mergeCell ref="B470:H470"/>
    <mergeCell ref="B471:H471"/>
    <mergeCell ref="B472:H472"/>
    <mergeCell ref="B473:H473"/>
    <mergeCell ref="B474:H474"/>
    <mergeCell ref="B475:H475"/>
    <mergeCell ref="F322:H322"/>
    <mergeCell ref="F323:H323"/>
    <mergeCell ref="F324:H324"/>
    <mergeCell ref="F325:H325"/>
    <mergeCell ref="F326:H326"/>
    <mergeCell ref="F327:H327"/>
    <mergeCell ref="F328:H328"/>
    <mergeCell ref="F329:H329"/>
    <mergeCell ref="G333:H333"/>
    <mergeCell ref="G334:H334"/>
    <mergeCell ref="G335:H335"/>
    <mergeCell ref="G336:H336"/>
    <mergeCell ref="G337:H337"/>
    <mergeCell ref="G338:H338"/>
    <mergeCell ref="G365:I365"/>
    <mergeCell ref="G366:I366"/>
    <mergeCell ref="G362:I362"/>
    <mergeCell ref="A363:B363"/>
    <mergeCell ref="G363:I363"/>
    <mergeCell ref="A364:B364"/>
    <mergeCell ref="G364:I364"/>
    <mergeCell ref="A365:B365"/>
    <mergeCell ref="A366:B366"/>
    <mergeCell ref="A367:B367"/>
    <mergeCell ref="G367:I367"/>
    <mergeCell ref="A368:B368"/>
    <mergeCell ref="G368:I368"/>
    <mergeCell ref="A369:B369"/>
    <mergeCell ref="G369:I369"/>
    <mergeCell ref="G370:I370"/>
    <mergeCell ref="A370:B370"/>
    <mergeCell ref="A371:B371"/>
    <mergeCell ref="A372:B372"/>
    <mergeCell ref="A373:B373"/>
    <mergeCell ref="A374:B374"/>
    <mergeCell ref="A375:B375"/>
    <mergeCell ref="A376:B376"/>
    <mergeCell ref="A428:B428"/>
    <mergeCell ref="G428:I428"/>
    <mergeCell ref="B431:I431"/>
    <mergeCell ref="A432:I432"/>
    <mergeCell ref="E434:H434"/>
    <mergeCell ref="E435:H435"/>
    <mergeCell ref="E436:H436"/>
    <mergeCell ref="G396:I396"/>
    <mergeCell ref="G397:I397"/>
    <mergeCell ref="A392:B392"/>
    <mergeCell ref="G392:I392"/>
    <mergeCell ref="A393:B393"/>
    <mergeCell ref="G393:I393"/>
    <mergeCell ref="A394:B394"/>
    <mergeCell ref="G394:I394"/>
    <mergeCell ref="G395:I395"/>
    <mergeCell ref="G399:I399"/>
    <mergeCell ref="G400:I400"/>
    <mergeCell ref="A395:B395"/>
    <mergeCell ref="A396:B396"/>
    <mergeCell ref="A397:B397"/>
    <mergeCell ref="A398:B398"/>
    <mergeCell ref="G398:I398"/>
    <mergeCell ref="A399:B399"/>
    <mergeCell ref="A400:B400"/>
    <mergeCell ref="G405:I405"/>
    <mergeCell ref="G406:I406"/>
    <mergeCell ref="A401:B401"/>
    <mergeCell ref="G401:I401"/>
    <mergeCell ref="A402:B402"/>
    <mergeCell ref="G402:I402"/>
    <mergeCell ref="A403:B403"/>
    <mergeCell ref="G403:I403"/>
    <mergeCell ref="G404:I404"/>
    <mergeCell ref="G408:I408"/>
    <mergeCell ref="G409:I409"/>
    <mergeCell ref="A404:B404"/>
    <mergeCell ref="A405:B405"/>
    <mergeCell ref="A406:B406"/>
    <mergeCell ref="A407:B407"/>
    <mergeCell ref="G407:I407"/>
    <mergeCell ref="A408:B408"/>
    <mergeCell ref="A409:B409"/>
    <mergeCell ref="G414:I414"/>
    <mergeCell ref="G415:I415"/>
    <mergeCell ref="A410:B410"/>
    <mergeCell ref="G410:I410"/>
    <mergeCell ref="A411:B411"/>
    <mergeCell ref="G411:I411"/>
    <mergeCell ref="A412:B412"/>
    <mergeCell ref="G412:I412"/>
    <mergeCell ref="G413:I413"/>
    <mergeCell ref="G417:I417"/>
    <mergeCell ref="G418:I418"/>
    <mergeCell ref="A413:B413"/>
    <mergeCell ref="A414:B414"/>
    <mergeCell ref="A415:B415"/>
    <mergeCell ref="A416:B416"/>
    <mergeCell ref="G416:I416"/>
    <mergeCell ref="A417:B417"/>
    <mergeCell ref="A418:B418"/>
    <mergeCell ref="G423:I423"/>
    <mergeCell ref="G424:I424"/>
    <mergeCell ref="A419:B419"/>
    <mergeCell ref="G419:I419"/>
    <mergeCell ref="A420:B420"/>
    <mergeCell ref="G420:I420"/>
    <mergeCell ref="A421:B421"/>
    <mergeCell ref="G421:I421"/>
    <mergeCell ref="G422:I422"/>
    <mergeCell ref="D12:E12"/>
    <mergeCell ref="F12:H12"/>
    <mergeCell ref="B10:C10"/>
    <mergeCell ref="D10:E10"/>
    <mergeCell ref="F10:H10"/>
    <mergeCell ref="B11:C11"/>
    <mergeCell ref="D11:E11"/>
    <mergeCell ref="F11:H11"/>
    <mergeCell ref="B12:C12"/>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19:C19"/>
    <mergeCell ref="D19:E19"/>
    <mergeCell ref="F19:H19"/>
    <mergeCell ref="B20:C20"/>
    <mergeCell ref="D20:E20"/>
    <mergeCell ref="F20:H20"/>
    <mergeCell ref="B21:C21"/>
    <mergeCell ref="D24:E24"/>
    <mergeCell ref="F24:H24"/>
    <mergeCell ref="B22:C22"/>
    <mergeCell ref="D22:E22"/>
    <mergeCell ref="F22:H22"/>
    <mergeCell ref="B23:C23"/>
    <mergeCell ref="D23:E23"/>
    <mergeCell ref="F23:H23"/>
    <mergeCell ref="B24:C24"/>
    <mergeCell ref="D27:E27"/>
    <mergeCell ref="F27:H27"/>
    <mergeCell ref="B25:C25"/>
    <mergeCell ref="D25:E25"/>
    <mergeCell ref="F25:H25"/>
    <mergeCell ref="B26:C26"/>
    <mergeCell ref="D26:E26"/>
    <mergeCell ref="F26:H26"/>
    <mergeCell ref="B27:C27"/>
    <mergeCell ref="D30:E30"/>
    <mergeCell ref="F30:H30"/>
    <mergeCell ref="B28:C28"/>
    <mergeCell ref="D28:E28"/>
    <mergeCell ref="F28:H28"/>
    <mergeCell ref="B29:C29"/>
    <mergeCell ref="D29:E29"/>
    <mergeCell ref="F29:H29"/>
    <mergeCell ref="B30:C30"/>
    <mergeCell ref="D33:E33"/>
    <mergeCell ref="F33:H33"/>
    <mergeCell ref="B31:C31"/>
    <mergeCell ref="D31:E31"/>
    <mergeCell ref="F31:H31"/>
    <mergeCell ref="B32:C32"/>
    <mergeCell ref="D32:E32"/>
    <mergeCell ref="F32:H32"/>
    <mergeCell ref="B33:C33"/>
    <mergeCell ref="D36:E36"/>
    <mergeCell ref="F36:H36"/>
    <mergeCell ref="B34:C34"/>
    <mergeCell ref="D34:E34"/>
    <mergeCell ref="F34:H34"/>
    <mergeCell ref="B35:C35"/>
    <mergeCell ref="D35:E35"/>
    <mergeCell ref="F35:H35"/>
    <mergeCell ref="B36:C36"/>
    <mergeCell ref="D39:E39"/>
    <mergeCell ref="F39:H39"/>
    <mergeCell ref="B37:C37"/>
    <mergeCell ref="D37:E37"/>
    <mergeCell ref="F37:H37"/>
    <mergeCell ref="B38:C38"/>
    <mergeCell ref="D38:E38"/>
    <mergeCell ref="F38:H38"/>
    <mergeCell ref="B39:C39"/>
    <mergeCell ref="D42:E42"/>
    <mergeCell ref="F42:H42"/>
    <mergeCell ref="B40:C40"/>
    <mergeCell ref="D40:E40"/>
    <mergeCell ref="F40:H40"/>
    <mergeCell ref="B41:C41"/>
    <mergeCell ref="D41:E41"/>
    <mergeCell ref="F41:H41"/>
    <mergeCell ref="B42:C42"/>
    <mergeCell ref="D45:E45"/>
    <mergeCell ref="F45:H45"/>
    <mergeCell ref="B43:C43"/>
    <mergeCell ref="D43:E43"/>
    <mergeCell ref="F43:H43"/>
    <mergeCell ref="B44:C44"/>
    <mergeCell ref="D44:E44"/>
    <mergeCell ref="F44:H44"/>
    <mergeCell ref="B45:C45"/>
    <mergeCell ref="D48:E48"/>
    <mergeCell ref="F48:H48"/>
    <mergeCell ref="B46:C46"/>
    <mergeCell ref="D46:E46"/>
    <mergeCell ref="F46:H46"/>
    <mergeCell ref="B47:C47"/>
    <mergeCell ref="D47:E47"/>
    <mergeCell ref="F47:H47"/>
    <mergeCell ref="B48:C48"/>
    <mergeCell ref="D51:E51"/>
    <mergeCell ref="F51:H51"/>
    <mergeCell ref="B49:C49"/>
    <mergeCell ref="D49:E49"/>
    <mergeCell ref="F49:H49"/>
    <mergeCell ref="B50:C50"/>
    <mergeCell ref="D50:E50"/>
    <mergeCell ref="F50:H50"/>
    <mergeCell ref="B51:C51"/>
    <mergeCell ref="D54:E54"/>
    <mergeCell ref="F54:H54"/>
    <mergeCell ref="B52:C52"/>
    <mergeCell ref="D52:E52"/>
    <mergeCell ref="F52:H52"/>
    <mergeCell ref="B53:C53"/>
    <mergeCell ref="D53:E53"/>
    <mergeCell ref="F53:H53"/>
    <mergeCell ref="B54:C54"/>
    <mergeCell ref="D57:E57"/>
    <mergeCell ref="F57:H57"/>
    <mergeCell ref="B55:C55"/>
    <mergeCell ref="D55:E55"/>
    <mergeCell ref="F55:H55"/>
    <mergeCell ref="B56:C56"/>
    <mergeCell ref="D56:E56"/>
    <mergeCell ref="F56:H56"/>
    <mergeCell ref="B57:C57"/>
    <mergeCell ref="D60:E60"/>
    <mergeCell ref="F60:H60"/>
    <mergeCell ref="B58:C58"/>
    <mergeCell ref="D58:E58"/>
    <mergeCell ref="F58:H58"/>
    <mergeCell ref="B59:C59"/>
    <mergeCell ref="D59:E59"/>
    <mergeCell ref="F59:H59"/>
    <mergeCell ref="B60:C60"/>
    <mergeCell ref="D63:E63"/>
    <mergeCell ref="F63:H63"/>
    <mergeCell ref="B61:C61"/>
    <mergeCell ref="D61:E61"/>
    <mergeCell ref="F61:H61"/>
    <mergeCell ref="B62:C62"/>
    <mergeCell ref="D62:E62"/>
    <mergeCell ref="F62:H62"/>
    <mergeCell ref="B63:C63"/>
    <mergeCell ref="D66:E66"/>
    <mergeCell ref="F66:H66"/>
    <mergeCell ref="B64:C64"/>
    <mergeCell ref="D64:E64"/>
    <mergeCell ref="F64:H64"/>
    <mergeCell ref="B65:C65"/>
    <mergeCell ref="D65:E65"/>
    <mergeCell ref="F65:H65"/>
    <mergeCell ref="B66:C66"/>
    <mergeCell ref="D69:E69"/>
    <mergeCell ref="F69:H69"/>
    <mergeCell ref="B67:C67"/>
    <mergeCell ref="D67:E67"/>
    <mergeCell ref="F67:H67"/>
    <mergeCell ref="B68:C68"/>
    <mergeCell ref="D68:E68"/>
    <mergeCell ref="F68:H68"/>
    <mergeCell ref="B69:C69"/>
    <mergeCell ref="D72:E72"/>
    <mergeCell ref="F72:H72"/>
    <mergeCell ref="B70:C70"/>
    <mergeCell ref="D70:E70"/>
    <mergeCell ref="F70:H70"/>
    <mergeCell ref="B71:C71"/>
    <mergeCell ref="D71:E71"/>
    <mergeCell ref="F71:H71"/>
    <mergeCell ref="B72:C72"/>
    <mergeCell ref="D75:E75"/>
    <mergeCell ref="F75:H75"/>
    <mergeCell ref="B73:C73"/>
    <mergeCell ref="D73:E73"/>
    <mergeCell ref="F73:H73"/>
    <mergeCell ref="B74:C74"/>
    <mergeCell ref="D74:E74"/>
    <mergeCell ref="F74:H74"/>
    <mergeCell ref="B75:C75"/>
    <mergeCell ref="D78:E78"/>
    <mergeCell ref="F78:H78"/>
    <mergeCell ref="B76:C76"/>
    <mergeCell ref="D76:E76"/>
    <mergeCell ref="F76:H76"/>
    <mergeCell ref="B77:C77"/>
    <mergeCell ref="D77:E77"/>
    <mergeCell ref="F77:H77"/>
    <mergeCell ref="B78:C78"/>
    <mergeCell ref="D81:E81"/>
    <mergeCell ref="F81:H81"/>
    <mergeCell ref="B79:C79"/>
    <mergeCell ref="D79:E79"/>
    <mergeCell ref="F79:H79"/>
    <mergeCell ref="B80:C80"/>
    <mergeCell ref="D80:E80"/>
    <mergeCell ref="F80:H80"/>
    <mergeCell ref="B81:C81"/>
    <mergeCell ref="D84:E84"/>
    <mergeCell ref="F84:H84"/>
    <mergeCell ref="B82:C82"/>
    <mergeCell ref="D82:E82"/>
    <mergeCell ref="F82:H82"/>
    <mergeCell ref="B83:C83"/>
    <mergeCell ref="D83:E83"/>
    <mergeCell ref="F83:H83"/>
    <mergeCell ref="B84:C84"/>
    <mergeCell ref="D87:E87"/>
    <mergeCell ref="F87:H87"/>
    <mergeCell ref="B85:C85"/>
    <mergeCell ref="D85:E85"/>
    <mergeCell ref="F85:H85"/>
    <mergeCell ref="B86:C86"/>
    <mergeCell ref="D86:E86"/>
    <mergeCell ref="F86:H86"/>
    <mergeCell ref="B87:C87"/>
    <mergeCell ref="D90:E90"/>
    <mergeCell ref="F90:H90"/>
    <mergeCell ref="B88:C88"/>
    <mergeCell ref="D88:E88"/>
    <mergeCell ref="F88:H88"/>
    <mergeCell ref="B89:C89"/>
    <mergeCell ref="D89:E89"/>
    <mergeCell ref="F89:H89"/>
    <mergeCell ref="B90:C90"/>
    <mergeCell ref="D93:E93"/>
    <mergeCell ref="F93:H93"/>
    <mergeCell ref="B91:C91"/>
    <mergeCell ref="D91:E91"/>
    <mergeCell ref="F91:H91"/>
    <mergeCell ref="B92:C92"/>
    <mergeCell ref="D92:E92"/>
    <mergeCell ref="F92:H92"/>
    <mergeCell ref="B93:C93"/>
    <mergeCell ref="D96:E96"/>
    <mergeCell ref="F96:H96"/>
    <mergeCell ref="B94:C94"/>
    <mergeCell ref="D94:E94"/>
    <mergeCell ref="F94:H94"/>
    <mergeCell ref="B95:C95"/>
    <mergeCell ref="D95:E95"/>
    <mergeCell ref="F95:H95"/>
    <mergeCell ref="B96:C96"/>
    <mergeCell ref="D99:E99"/>
    <mergeCell ref="F99:H99"/>
    <mergeCell ref="B97:C97"/>
    <mergeCell ref="D97:E97"/>
    <mergeCell ref="F97:H97"/>
    <mergeCell ref="B98:C98"/>
    <mergeCell ref="D98:E98"/>
    <mergeCell ref="F98:H98"/>
    <mergeCell ref="B99:C99"/>
    <mergeCell ref="D102:E102"/>
    <mergeCell ref="F102:H102"/>
    <mergeCell ref="B100:C100"/>
    <mergeCell ref="D100:E100"/>
    <mergeCell ref="F100:H100"/>
    <mergeCell ref="B101:C101"/>
    <mergeCell ref="D101:E101"/>
    <mergeCell ref="F101:H101"/>
    <mergeCell ref="B102:C102"/>
    <mergeCell ref="D105:E105"/>
    <mergeCell ref="F105:H105"/>
    <mergeCell ref="B103:C103"/>
    <mergeCell ref="D103:E103"/>
    <mergeCell ref="F103:H103"/>
    <mergeCell ref="B104:C104"/>
    <mergeCell ref="D104:E104"/>
    <mergeCell ref="F104:H104"/>
    <mergeCell ref="B105:C105"/>
    <mergeCell ref="D108:E108"/>
    <mergeCell ref="F108:H108"/>
    <mergeCell ref="B106:C106"/>
    <mergeCell ref="D106:E106"/>
    <mergeCell ref="F106:H106"/>
    <mergeCell ref="B107:C107"/>
    <mergeCell ref="D107:E107"/>
    <mergeCell ref="F107:H107"/>
    <mergeCell ref="B108:C108"/>
    <mergeCell ref="D111:E111"/>
    <mergeCell ref="F111:H111"/>
    <mergeCell ref="B109:C109"/>
    <mergeCell ref="D109:E109"/>
    <mergeCell ref="F109:H109"/>
    <mergeCell ref="B110:C110"/>
    <mergeCell ref="D110:E110"/>
    <mergeCell ref="F110:H110"/>
    <mergeCell ref="B111:C111"/>
    <mergeCell ref="D114:E114"/>
    <mergeCell ref="F114:H114"/>
    <mergeCell ref="B112:C112"/>
    <mergeCell ref="D112:E112"/>
    <mergeCell ref="F112:H112"/>
    <mergeCell ref="B113:C113"/>
    <mergeCell ref="D113:E113"/>
    <mergeCell ref="F113:H113"/>
    <mergeCell ref="B114:C114"/>
    <mergeCell ref="D117:E117"/>
    <mergeCell ref="F117:H117"/>
    <mergeCell ref="B115:C115"/>
    <mergeCell ref="D115:E115"/>
    <mergeCell ref="F115:H115"/>
    <mergeCell ref="B116:C116"/>
    <mergeCell ref="D116:E116"/>
    <mergeCell ref="F116:H116"/>
    <mergeCell ref="B117:C117"/>
    <mergeCell ref="D120:E120"/>
    <mergeCell ref="F120:H120"/>
    <mergeCell ref="B118:C118"/>
    <mergeCell ref="D118:E118"/>
    <mergeCell ref="F118:H118"/>
    <mergeCell ref="B119:C119"/>
    <mergeCell ref="D119:E119"/>
    <mergeCell ref="F119:H119"/>
    <mergeCell ref="B120:C120"/>
    <mergeCell ref="D123:E123"/>
    <mergeCell ref="F123:H123"/>
    <mergeCell ref="B121:C121"/>
    <mergeCell ref="D121:E121"/>
    <mergeCell ref="F121:H121"/>
    <mergeCell ref="B122:C122"/>
    <mergeCell ref="D122:E122"/>
    <mergeCell ref="F122:H122"/>
    <mergeCell ref="B123:C123"/>
    <mergeCell ref="D126:E126"/>
    <mergeCell ref="F126:H126"/>
    <mergeCell ref="B124:C124"/>
    <mergeCell ref="D124:E124"/>
    <mergeCell ref="F124:H124"/>
    <mergeCell ref="B125:C125"/>
    <mergeCell ref="D125:E125"/>
    <mergeCell ref="F125:H125"/>
    <mergeCell ref="B126:C126"/>
    <mergeCell ref="D129:E129"/>
    <mergeCell ref="F129:H129"/>
    <mergeCell ref="B127:C127"/>
    <mergeCell ref="D127:E127"/>
    <mergeCell ref="F127:H127"/>
    <mergeCell ref="B128:C128"/>
    <mergeCell ref="D128:E128"/>
    <mergeCell ref="F128:H128"/>
    <mergeCell ref="B129:C129"/>
    <mergeCell ref="D3:E3"/>
    <mergeCell ref="F3:H3"/>
    <mergeCell ref="B1:C1"/>
    <mergeCell ref="D1:E1"/>
    <mergeCell ref="F1:H1"/>
    <mergeCell ref="B2:C2"/>
    <mergeCell ref="D2:E2"/>
    <mergeCell ref="F2:H2"/>
    <mergeCell ref="B3:C3"/>
    <mergeCell ref="D6:E6"/>
    <mergeCell ref="F6:H6"/>
    <mergeCell ref="B4:C4"/>
    <mergeCell ref="D4:E4"/>
    <mergeCell ref="F4:H4"/>
    <mergeCell ref="B5:C5"/>
    <mergeCell ref="D5:E5"/>
    <mergeCell ref="F5:H5"/>
    <mergeCell ref="B6:C6"/>
    <mergeCell ref="D9:E9"/>
    <mergeCell ref="F9:H9"/>
    <mergeCell ref="B7:C7"/>
    <mergeCell ref="D7:E7"/>
    <mergeCell ref="F7:H7"/>
    <mergeCell ref="B8:C8"/>
    <mergeCell ref="D8:E8"/>
    <mergeCell ref="F8:H8"/>
    <mergeCell ref="B9:C9"/>
    <mergeCell ref="B130:C130"/>
    <mergeCell ref="D130:E130"/>
    <mergeCell ref="F130:H130"/>
    <mergeCell ref="B131:C131"/>
    <mergeCell ref="D131:E131"/>
    <mergeCell ref="F131:H131"/>
    <mergeCell ref="B132:C132"/>
    <mergeCell ref="D132:E132"/>
    <mergeCell ref="F132:H132"/>
    <mergeCell ref="F135:H135"/>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F313:H313"/>
    <mergeCell ref="F314:H314"/>
    <mergeCell ref="F315:H315"/>
    <mergeCell ref="F316:H316"/>
    <mergeCell ref="F317:H317"/>
    <mergeCell ref="F318:H318"/>
    <mergeCell ref="F319:H319"/>
    <mergeCell ref="F320:H320"/>
    <mergeCell ref="F321:H321"/>
    <mergeCell ref="G346:H346"/>
    <mergeCell ref="G347:H347"/>
    <mergeCell ref="G348:H348"/>
    <mergeCell ref="G349:H349"/>
    <mergeCell ref="G339:H339"/>
    <mergeCell ref="G340:H340"/>
    <mergeCell ref="G341:H341"/>
    <mergeCell ref="G342:H342"/>
    <mergeCell ref="G343:H343"/>
    <mergeCell ref="G344:H344"/>
    <mergeCell ref="G345:H345"/>
    <mergeCell ref="G378:I378"/>
    <mergeCell ref="G379:I379"/>
    <mergeCell ref="G371:I371"/>
    <mergeCell ref="G372:I372"/>
    <mergeCell ref="G373:I373"/>
    <mergeCell ref="G374:I374"/>
    <mergeCell ref="G375:I375"/>
    <mergeCell ref="G376:I376"/>
    <mergeCell ref="G377:I377"/>
    <mergeCell ref="G381:I381"/>
    <mergeCell ref="G382:I382"/>
    <mergeCell ref="A377:B377"/>
    <mergeCell ref="A378:B378"/>
    <mergeCell ref="A379:B379"/>
    <mergeCell ref="A380:B380"/>
    <mergeCell ref="G380:I380"/>
    <mergeCell ref="A381:B381"/>
    <mergeCell ref="A382:B382"/>
    <mergeCell ref="G387:I387"/>
    <mergeCell ref="G388:I388"/>
    <mergeCell ref="A383:B383"/>
    <mergeCell ref="G383:I383"/>
    <mergeCell ref="A384:B384"/>
    <mergeCell ref="G384:I384"/>
    <mergeCell ref="A385:B385"/>
    <mergeCell ref="G385:I385"/>
    <mergeCell ref="G386:I386"/>
    <mergeCell ref="G390:I390"/>
    <mergeCell ref="G391:I391"/>
    <mergeCell ref="A386:B386"/>
    <mergeCell ref="A387:B387"/>
    <mergeCell ref="A388:B388"/>
    <mergeCell ref="A389:B389"/>
    <mergeCell ref="G389:I389"/>
    <mergeCell ref="A390:B390"/>
    <mergeCell ref="A391:B391"/>
  </mergeCells>
  <conditionalFormatting sqref="A1:Z1">
    <cfRule type="notContainsBlanks" dxfId="0" priority="1">
      <formula>LEN(TRIM(A1))&gt;0</formula>
    </cfRule>
  </conditionalFormatting>
  <conditionalFormatting sqref="J363:J428">
    <cfRule type="containsText" dxfId="0" priority="2" operator="containsText" text="Yes">
      <formula>NOT(ISERROR(SEARCH(("Yes"),(J363))))</formula>
    </cfRule>
  </conditionalFormatting>
  <conditionalFormatting sqref="J363:J428">
    <cfRule type="containsText" dxfId="1" priority="3" operator="containsText" text="No">
      <formula>NOT(ISERROR(SEARCH(("No"),(J363))))</formula>
    </cfRule>
  </conditionalFormatting>
  <conditionalFormatting sqref="J363:J428">
    <cfRule type="containsText" dxfId="2" priority="4" operator="containsText" text="Changes">
      <formula>NOT(ISERROR(SEARCH(("Changes"),(J363))))</formula>
    </cfRule>
  </conditionalFormatting>
  <hyperlinks>
    <hyperlink r:id="rId4" ref="A2"/>
    <hyperlink r:id="rId5" location="Hats" ref="D2"/>
    <hyperlink r:id="rId6" ref="A3"/>
    <hyperlink r:id="rId7" location="Hats" ref="D3"/>
    <hyperlink r:id="rId8" ref="A4"/>
    <hyperlink r:id="rId9" ref="A5"/>
    <hyperlink r:id="rId10" location="Hats" ref="D5"/>
    <hyperlink r:id="rId11" ref="A6"/>
    <hyperlink r:id="rId12" ref="D6"/>
    <hyperlink r:id="rId13" ref="A7"/>
    <hyperlink r:id="rId14" location="Hats" ref="D7"/>
    <hyperlink r:id="rId15" ref="A8"/>
    <hyperlink r:id="rId16" ref="D8"/>
    <hyperlink r:id="rId17" ref="A9"/>
    <hyperlink r:id="rId18" ref="A10"/>
    <hyperlink r:id="rId19" location="Villager_Shops" ref="D10"/>
    <hyperlink r:id="rId20" ref="A11"/>
    <hyperlink r:id="rId21" location="Hats" ref="D11"/>
    <hyperlink r:id="rId22" ref="A12"/>
    <hyperlink r:id="rId23" ref="D12"/>
    <hyperlink r:id="rId24" ref="A13"/>
    <hyperlink r:id="rId25" ref="D13"/>
    <hyperlink r:id="rId26" ref="A14"/>
    <hyperlink r:id="rId27" ref="D14"/>
    <hyperlink r:id="rId28" ref="A15"/>
    <hyperlink r:id="rId29" location="Hats" ref="D15"/>
    <hyperlink r:id="rId30" ref="A16"/>
    <hyperlink r:id="rId31" location="Hats" ref="D16"/>
    <hyperlink r:id="rId32" ref="A17"/>
    <hyperlink r:id="rId33" ref="D17"/>
    <hyperlink r:id="rId34" ref="A18"/>
    <hyperlink r:id="rId35" ref="D18"/>
    <hyperlink r:id="rId36" location="Hats" ref="D19"/>
    <hyperlink r:id="rId37" ref="A20"/>
    <hyperlink r:id="rId38" ref="D20"/>
    <hyperlink r:id="rId39" ref="A21"/>
    <hyperlink r:id="rId40" ref="D21"/>
    <hyperlink r:id="rId41" ref="A22"/>
    <hyperlink r:id="rId42" location="Hats" ref="D22"/>
    <hyperlink r:id="rId43" ref="A23"/>
    <hyperlink r:id="rId44" location="Prize_Machine" ref="D23"/>
    <hyperlink r:id="rId45" ref="A24"/>
    <hyperlink r:id="rId46" ref="D24"/>
    <hyperlink r:id="rId47" ref="A25"/>
    <hyperlink r:id="rId48" ref="D25"/>
    <hyperlink r:id="rId49" ref="A26"/>
    <hyperlink r:id="rId50" ref="A27"/>
    <hyperlink r:id="rId51" ref="D27"/>
    <hyperlink r:id="rId52" ref="A28"/>
    <hyperlink r:id="rId53" location="Monster_Eradication_Goals" ref="D28"/>
    <hyperlink r:id="rId54" ref="D29"/>
    <hyperlink r:id="rId55" ref="A30"/>
    <hyperlink r:id="rId56" ref="D30"/>
    <hyperlink r:id="rId57" ref="A31"/>
    <hyperlink r:id="rId58" ref="D31"/>
    <hyperlink r:id="rId59" ref="A32"/>
    <hyperlink r:id="rId60" ref="D32"/>
    <hyperlink r:id="rId61" ref="A33"/>
    <hyperlink r:id="rId62" location="Hats" ref="D33"/>
    <hyperlink r:id="rId63" ref="A34"/>
    <hyperlink r:id="rId64" ref="D34"/>
    <hyperlink r:id="rId65" ref="A35"/>
    <hyperlink r:id="rId66" location="Hats" ref="D35"/>
    <hyperlink r:id="rId67" ref="A36"/>
    <hyperlink r:id="rId68" location="Hats" ref="D36"/>
    <hyperlink r:id="rId69" ref="A37"/>
    <hyperlink r:id="rId70" location="Hats" ref="D37"/>
    <hyperlink r:id="rId71" ref="A38"/>
    <hyperlink r:id="rId72" location="Help_Wanted_Quests" ref="D38"/>
    <hyperlink r:id="rId73" ref="A39"/>
    <hyperlink r:id="rId74" ref="D39"/>
    <hyperlink r:id="rId75" ref="A40"/>
    <hyperlink r:id="rId76" location="Hats" ref="D40"/>
    <hyperlink r:id="rId77" ref="A41"/>
    <hyperlink r:id="rId78" ref="D41"/>
    <hyperlink r:id="rId79" ref="A42"/>
    <hyperlink r:id="rId80" location="Hats" ref="D42"/>
    <hyperlink r:id="rId81" ref="A43"/>
    <hyperlink r:id="rId82" location="Hats" ref="D43"/>
    <hyperlink r:id="rId83" ref="A44"/>
    <hyperlink r:id="rId84" location="Hats" ref="D44"/>
    <hyperlink r:id="rId85" ref="A45"/>
    <hyperlink r:id="rId86" ref="D45"/>
    <hyperlink r:id="rId87" ref="A46"/>
    <hyperlink r:id="rId88" location="cite_note-tgp-2" ref="D46"/>
    <hyperlink r:id="rId89" ref="A47"/>
    <hyperlink r:id="rId90" ref="D47"/>
    <hyperlink r:id="rId91" ref="A48"/>
    <hyperlink r:id="rId92" ref="D48"/>
    <hyperlink r:id="rId93" ref="A49"/>
    <hyperlink r:id="rId94" ref="D49"/>
    <hyperlink r:id="rId95" ref="A50"/>
    <hyperlink r:id="rId96" ref="D50"/>
    <hyperlink r:id="rId97" ref="A51"/>
    <hyperlink r:id="rId98" location="Calico_Egg_Merchant" ref="D51"/>
    <hyperlink r:id="rId99" ref="A52"/>
    <hyperlink r:id="rId100" ref="D52"/>
    <hyperlink r:id="rId101" ref="A53"/>
    <hyperlink r:id="rId102" ref="D53"/>
    <hyperlink r:id="rId103" ref="A54"/>
    <hyperlink r:id="rId104" ref="D54"/>
    <hyperlink r:id="rId105" ref="A55"/>
    <hyperlink r:id="rId106" ref="D55"/>
    <hyperlink r:id="rId107" ref="A56"/>
    <hyperlink r:id="rId108" ref="A57"/>
    <hyperlink r:id="rId109" location="Hats" ref="D57"/>
    <hyperlink r:id="rId110" ref="A58"/>
    <hyperlink r:id="rId111" ref="D58"/>
    <hyperlink r:id="rId112" ref="A59"/>
    <hyperlink r:id="rId113" ref="D59"/>
    <hyperlink r:id="rId114" ref="A60"/>
    <hyperlink r:id="rId115" location="Emily.27s_Outfit_Services" ref="D60"/>
    <hyperlink r:id="rId116" ref="A61"/>
    <hyperlink r:id="rId117" location="Monster_Eradication_Goals" ref="D61"/>
    <hyperlink r:id="rId118" ref="A62"/>
    <hyperlink r:id="rId119" ref="D62"/>
    <hyperlink r:id="rId120" ref="A63"/>
    <hyperlink r:id="rId121" location="Emily.27s_Outfit_Services" ref="D63"/>
    <hyperlink r:id="rId122" ref="A64"/>
    <hyperlink r:id="rId123" ref="D64"/>
    <hyperlink r:id="rId124" ref="A65"/>
    <hyperlink r:id="rId125" ref="D65"/>
    <hyperlink r:id="rId126" ref="A66"/>
    <hyperlink r:id="rId127" ref="D66"/>
    <hyperlink r:id="rId128" ref="A67"/>
    <hyperlink r:id="rId129" ref="A68"/>
    <hyperlink r:id="rId130" location="Monster_Eradication_Goals" ref="D68"/>
    <hyperlink r:id="rId131" ref="A69"/>
    <hyperlink r:id="rId132" location="Hats" ref="D69"/>
    <hyperlink r:id="rId133" ref="A70"/>
    <hyperlink r:id="rId134" ref="D70"/>
    <hyperlink r:id="rId135" ref="A71"/>
    <hyperlink r:id="rId136" ref="D71"/>
    <hyperlink r:id="rId137" ref="A72"/>
    <hyperlink r:id="rId138" ref="A73"/>
    <hyperlink r:id="rId139" location="Hats" ref="D73"/>
    <hyperlink r:id="rId140" ref="A74"/>
    <hyperlink r:id="rId141" ref="D74"/>
    <hyperlink r:id="rId142" ref="A75"/>
    <hyperlink r:id="rId143" ref="D75"/>
    <hyperlink r:id="rId144" ref="A76"/>
    <hyperlink r:id="rId145" location="Hats" ref="D76"/>
    <hyperlink r:id="rId146" ref="A77"/>
    <hyperlink r:id="rId147" ref="D77"/>
    <hyperlink r:id="rId148" ref="A78"/>
    <hyperlink r:id="rId149" ref="D78"/>
    <hyperlink r:id="rId150" ref="A79"/>
    <hyperlink r:id="rId151" location="Skull_Cavern" ref="D79"/>
    <hyperlink r:id="rId152" ref="A80"/>
    <hyperlink r:id="rId153" ref="D80"/>
    <hyperlink r:id="rId154" ref="A81"/>
    <hyperlink r:id="rId155" location="Presents" ref="D81"/>
    <hyperlink r:id="rId156" ref="A82"/>
    <hyperlink r:id="rId157" location="Hats" ref="D82"/>
    <hyperlink r:id="rId158" ref="A83"/>
    <hyperlink r:id="rId159" location="Hats" ref="D83"/>
    <hyperlink r:id="rId160" ref="A84"/>
    <hyperlink r:id="rId161" location="Hats" ref="D84"/>
    <hyperlink r:id="rId162" ref="A85"/>
    <hyperlink r:id="rId163" location="Hats" ref="D85"/>
    <hyperlink r:id="rId164" ref="A86"/>
    <hyperlink r:id="rId165" ref="D86"/>
    <hyperlink r:id="rId166" ref="A87"/>
    <hyperlink r:id="rId167" location="Hats" ref="D87"/>
    <hyperlink r:id="rId168" ref="A88"/>
    <hyperlink r:id="rId169" ref="D88"/>
    <hyperlink r:id="rId170" ref="A89"/>
    <hyperlink r:id="rId171" ref="D89"/>
    <hyperlink r:id="rId172" ref="A90"/>
    <hyperlink r:id="rId173" ref="D90"/>
    <hyperlink r:id="rId174" ref="A91"/>
    <hyperlink r:id="rId175" ref="D91"/>
    <hyperlink r:id="rId176" ref="A92"/>
    <hyperlink r:id="rId177" location="Hats" ref="D92"/>
    <hyperlink r:id="rId178" ref="A93"/>
    <hyperlink r:id="rId179" ref="D93"/>
    <hyperlink r:id="rId180" ref="A94"/>
    <hyperlink r:id="rId181" ref="D94"/>
    <hyperlink r:id="rId182" ref="A95"/>
    <hyperlink r:id="rId183" ref="D95"/>
    <hyperlink r:id="rId184" ref="A96"/>
    <hyperlink r:id="rId185" location="Calico_Egg_Merchant" ref="D96"/>
    <hyperlink r:id="rId186" ref="A97"/>
    <hyperlink r:id="rId187" ref="D97"/>
    <hyperlink r:id="rId188" ref="A98"/>
    <hyperlink r:id="rId189" location="Emily.27s_Outfit_Services" ref="D98"/>
    <hyperlink r:id="rId190" ref="A99"/>
    <hyperlink r:id="rId191" ref="D99"/>
    <hyperlink r:id="rId192" ref="A100"/>
    <hyperlink r:id="rId193" ref="D100"/>
    <hyperlink r:id="rId194" ref="A101"/>
    <hyperlink r:id="rId195" ref="D101"/>
    <hyperlink r:id="rId196" ref="A102"/>
    <hyperlink r:id="rId197" ref="D102"/>
    <hyperlink r:id="rId198" ref="A103"/>
    <hyperlink r:id="rId199" ref="D103"/>
    <hyperlink r:id="rId200" ref="A104"/>
    <hyperlink r:id="rId201" ref="A105"/>
    <hyperlink r:id="rId202" location="Magic_Shop_Boat" ref="D105"/>
    <hyperlink r:id="rId203" location="Help_Wanted_Quests" ref="D106"/>
    <hyperlink r:id="rId204" ref="A107"/>
    <hyperlink r:id="rId205" ref="D107"/>
    <hyperlink r:id="rId206" ref="A108"/>
    <hyperlink r:id="rId207" ref="D108"/>
    <hyperlink r:id="rId208" ref="A109"/>
    <hyperlink r:id="rId209" ref="D109"/>
    <hyperlink r:id="rId210" ref="A110"/>
    <hyperlink r:id="rId211" ref="D110"/>
    <hyperlink r:id="rId212" ref="A111"/>
    <hyperlink r:id="rId213" location="Hats" ref="D111"/>
    <hyperlink r:id="rId214" ref="A112"/>
    <hyperlink r:id="rId215" ref="A113"/>
    <hyperlink r:id="rId216" ref="D113"/>
    <hyperlink r:id="rId217" ref="A114"/>
    <hyperlink r:id="rId218" ref="D114"/>
    <hyperlink r:id="rId219" ref="A115"/>
    <hyperlink r:id="rId220" ref="D115"/>
    <hyperlink r:id="rId221" ref="A116"/>
    <hyperlink r:id="rId222" location="Calico_Egg_Merchant" ref="D116"/>
    <hyperlink r:id="rId223" ref="A117"/>
    <hyperlink r:id="rId224" ref="D117"/>
    <hyperlink r:id="rId225" ref="A118"/>
    <hyperlink r:id="rId226" location="Hats" ref="D118"/>
    <hyperlink r:id="rId227" ref="A119"/>
    <hyperlink r:id="rId228" location="Hats" ref="D119"/>
    <hyperlink r:id="rId229" ref="A120"/>
    <hyperlink r:id="rId230" ref="D120"/>
    <hyperlink r:id="rId231" ref="A121"/>
    <hyperlink r:id="rId232" location="Monster_Eradication_Goals" ref="D121"/>
    <hyperlink r:id="rId233" ref="A122"/>
    <hyperlink r:id="rId234" location="Villager_Shops" ref="D122"/>
    <hyperlink r:id="rId235" ref="A132"/>
    <hyperlink r:id="rId236" ref="D132"/>
    <hyperlink r:id="rId237" ref="E135"/>
    <hyperlink r:id="rId238" ref="E136"/>
    <hyperlink r:id="rId239" ref="E137"/>
    <hyperlink r:id="rId240" ref="E140"/>
    <hyperlink r:id="rId241" ref="E141"/>
    <hyperlink r:id="rId242" ref="E142"/>
    <hyperlink r:id="rId243" ref="E143"/>
    <hyperlink r:id="rId244" location="cite_note-softedgepullover-3" ref="D144"/>
    <hyperlink r:id="rId245" ref="E144"/>
    <hyperlink r:id="rId246" ref="E145"/>
    <hyperlink r:id="rId247" ref="E146"/>
    <hyperlink r:id="rId248" ref="E147"/>
    <hyperlink r:id="rId249" ref="E148"/>
    <hyperlink r:id="rId250" ref="E149"/>
    <hyperlink r:id="rId251" ref="E150"/>
    <hyperlink r:id="rId252" ref="E151"/>
    <hyperlink r:id="rId253" ref="E152"/>
    <hyperlink r:id="rId254" ref="E153"/>
    <hyperlink r:id="rId255" ref="E154"/>
    <hyperlink r:id="rId256" ref="E155"/>
    <hyperlink r:id="rId257" ref="E156"/>
    <hyperlink r:id="rId258" ref="E157"/>
    <hyperlink r:id="rId259" ref="E158"/>
    <hyperlink r:id="rId260" ref="E160"/>
    <hyperlink r:id="rId261" ref="E161"/>
    <hyperlink r:id="rId262" ref="E162"/>
    <hyperlink r:id="rId263" ref="E163"/>
    <hyperlink r:id="rId264" ref="E164"/>
    <hyperlink r:id="rId265" ref="E165"/>
    <hyperlink r:id="rId266" ref="E166"/>
    <hyperlink r:id="rId267" ref="E167"/>
    <hyperlink r:id="rId268" ref="E168"/>
    <hyperlink r:id="rId269" ref="E169"/>
    <hyperlink r:id="rId270" ref="E170"/>
    <hyperlink r:id="rId271" ref="E171"/>
    <hyperlink r:id="rId272" ref="E173"/>
    <hyperlink r:id="rId273" ref="E174"/>
    <hyperlink r:id="rId274" ref="E175"/>
    <hyperlink r:id="rId275" ref="D176"/>
    <hyperlink r:id="rId276" ref="E176"/>
    <hyperlink r:id="rId277" ref="D177"/>
    <hyperlink r:id="rId278" ref="E177"/>
    <hyperlink r:id="rId279" ref="E178"/>
    <hyperlink r:id="rId280" ref="E179"/>
    <hyperlink r:id="rId281" ref="E180"/>
    <hyperlink r:id="rId282" ref="E181"/>
    <hyperlink r:id="rId283" ref="E182"/>
    <hyperlink r:id="rId284" ref="E183"/>
    <hyperlink r:id="rId285" ref="E184"/>
    <hyperlink r:id="rId286" ref="E186"/>
    <hyperlink r:id="rId287" location="Medical_Supplies" ref="E187"/>
    <hyperlink r:id="rId288" ref="E188"/>
    <hyperlink r:id="rId289" ref="E189"/>
    <hyperlink r:id="rId290" ref="E191"/>
    <hyperlink r:id="rId291" ref="E192"/>
    <hyperlink r:id="rId292" ref="E193"/>
    <hyperlink r:id="rId293" ref="E194"/>
    <hyperlink r:id="rId294" ref="E195"/>
    <hyperlink r:id="rId295" ref="E197"/>
    <hyperlink r:id="rId296" ref="E198"/>
    <hyperlink r:id="rId297" ref="E199"/>
    <hyperlink r:id="rId298" ref="E201"/>
    <hyperlink r:id="rId299" ref="D202"/>
    <hyperlink r:id="rId300" ref="E202"/>
    <hyperlink r:id="rId301" ref="E203"/>
    <hyperlink r:id="rId302" ref="E204"/>
    <hyperlink r:id="rId303" ref="E205"/>
    <hyperlink r:id="rId304" ref="E206"/>
    <hyperlink r:id="rId305" ref="E207"/>
    <hyperlink r:id="rId306" ref="E208"/>
    <hyperlink r:id="rId307" ref="E209"/>
    <hyperlink r:id="rId308" ref="E211"/>
    <hyperlink r:id="rId309" ref="E212"/>
    <hyperlink r:id="rId310" ref="E213"/>
    <hyperlink r:id="rId311" ref="E214"/>
    <hyperlink r:id="rId312" ref="E215"/>
    <hyperlink r:id="rId313" ref="D216"/>
    <hyperlink r:id="rId314" ref="E217"/>
    <hyperlink r:id="rId315" ref="E218"/>
    <hyperlink r:id="rId316" ref="E219"/>
    <hyperlink r:id="rId317" ref="E220"/>
    <hyperlink r:id="rId318" ref="E221"/>
    <hyperlink r:id="rId319" ref="E222"/>
    <hyperlink r:id="rId320" ref="E223"/>
    <hyperlink r:id="rId321" ref="E224"/>
    <hyperlink r:id="rId322" ref="E225"/>
    <hyperlink r:id="rId323" ref="E226"/>
    <hyperlink r:id="rId324" ref="E227"/>
    <hyperlink r:id="rId325" ref="E228"/>
    <hyperlink r:id="rId326" ref="E229"/>
    <hyperlink r:id="rId327" location="Medical_Supplies" ref="E230"/>
    <hyperlink r:id="rId328" ref="E231"/>
    <hyperlink r:id="rId329" ref="E232"/>
    <hyperlink r:id="rId330" ref="E233"/>
    <hyperlink r:id="rId331" ref="E234"/>
    <hyperlink r:id="rId332" ref="E235"/>
    <hyperlink r:id="rId333" ref="E236"/>
    <hyperlink r:id="rId334" ref="E237"/>
    <hyperlink r:id="rId335" ref="E238"/>
    <hyperlink r:id="rId336" ref="E239"/>
    <hyperlink r:id="rId337" ref="E240"/>
    <hyperlink r:id="rId338" ref="E241"/>
    <hyperlink r:id="rId339" ref="E246"/>
    <hyperlink r:id="rId340" ref="E247"/>
    <hyperlink r:id="rId341" ref="E248"/>
    <hyperlink r:id="rId342" ref="E249"/>
    <hyperlink r:id="rId343" ref="E250"/>
    <hyperlink r:id="rId344" ref="E251"/>
    <hyperlink r:id="rId345" ref="E252"/>
    <hyperlink r:id="rId346" ref="E253"/>
    <hyperlink r:id="rId347" ref="E254"/>
    <hyperlink r:id="rId348" ref="E256"/>
    <hyperlink r:id="rId349" ref="E257"/>
    <hyperlink r:id="rId350" ref="E258"/>
    <hyperlink r:id="rId351" ref="E259"/>
    <hyperlink r:id="rId352" ref="E260"/>
    <hyperlink r:id="rId353" ref="E261"/>
    <hyperlink r:id="rId354" ref="E262"/>
    <hyperlink r:id="rId355" ref="E263"/>
    <hyperlink r:id="rId356" ref="E265"/>
    <hyperlink r:id="rId357" ref="E266"/>
    <hyperlink r:id="rId358" ref="E268"/>
    <hyperlink r:id="rId359" ref="E269"/>
    <hyperlink r:id="rId360" ref="E270"/>
    <hyperlink r:id="rId361" ref="E271"/>
    <hyperlink r:id="rId362" ref="E272"/>
    <hyperlink r:id="rId363" ref="E273"/>
    <hyperlink r:id="rId364" ref="E274"/>
    <hyperlink r:id="rId365" ref="E275"/>
    <hyperlink r:id="rId366" ref="E277"/>
    <hyperlink r:id="rId367" ref="E278"/>
    <hyperlink r:id="rId368" ref="E279"/>
    <hyperlink r:id="rId369" ref="E280"/>
    <hyperlink r:id="rId370" ref="E281"/>
    <hyperlink r:id="rId371" ref="E282"/>
    <hyperlink r:id="rId372" ref="E283"/>
    <hyperlink r:id="rId373" ref="E284"/>
    <hyperlink r:id="rId374" ref="D285"/>
    <hyperlink r:id="rId375" ref="E285"/>
    <hyperlink r:id="rId376" ref="D286"/>
    <hyperlink r:id="rId377" ref="E286"/>
    <hyperlink r:id="rId378" ref="E287"/>
    <hyperlink r:id="rId379" ref="E288"/>
    <hyperlink r:id="rId380" ref="E289"/>
    <hyperlink r:id="rId381" ref="E290"/>
    <hyperlink r:id="rId382" ref="E291"/>
    <hyperlink r:id="rId383" ref="E293"/>
    <hyperlink r:id="rId384" ref="E294"/>
    <hyperlink r:id="rId385" ref="E295"/>
    <hyperlink r:id="rId386" ref="E296"/>
    <hyperlink r:id="rId387" ref="E297"/>
    <hyperlink r:id="rId388" ref="E298"/>
    <hyperlink r:id="rId389" ref="E299"/>
    <hyperlink r:id="rId390" ref="E300"/>
    <hyperlink r:id="rId391" ref="E301"/>
    <hyperlink r:id="rId392" ref="E303"/>
    <hyperlink r:id="rId393" ref="E304"/>
    <hyperlink r:id="rId394" ref="E305"/>
    <hyperlink r:id="rId395" ref="E306"/>
    <hyperlink r:id="rId396" ref="E307"/>
    <hyperlink r:id="rId397" ref="E308"/>
    <hyperlink r:id="rId398" ref="E309"/>
    <hyperlink r:id="rId399" ref="E310"/>
    <hyperlink r:id="rId400" ref="E311"/>
    <hyperlink r:id="rId401" ref="E312"/>
    <hyperlink r:id="rId402" ref="E313"/>
    <hyperlink r:id="rId403" ref="E314"/>
    <hyperlink r:id="rId404" ref="E315"/>
    <hyperlink r:id="rId405" ref="E316"/>
    <hyperlink r:id="rId406" ref="E318"/>
    <hyperlink r:id="rId407" ref="E319"/>
    <hyperlink r:id="rId408" ref="E320"/>
    <hyperlink r:id="rId409" ref="E321"/>
    <hyperlink r:id="rId410" ref="E322"/>
    <hyperlink r:id="rId411" ref="E323"/>
    <hyperlink r:id="rId412" ref="E324"/>
    <hyperlink r:id="rId413" ref="E325"/>
    <hyperlink r:id="rId414" ref="E326"/>
    <hyperlink r:id="rId415" ref="E327"/>
    <hyperlink r:id="rId416" ref="E328"/>
    <hyperlink r:id="rId417" ref="D333"/>
    <hyperlink r:id="rId418" ref="D334"/>
    <hyperlink r:id="rId419" ref="D335"/>
    <hyperlink r:id="rId420" ref="D336"/>
    <hyperlink r:id="rId421" ref="D337"/>
    <hyperlink r:id="rId422" ref="D338"/>
    <hyperlink r:id="rId423" ref="D340"/>
    <hyperlink r:id="rId424" ref="D341"/>
    <hyperlink r:id="rId425" ref="D342"/>
    <hyperlink r:id="rId426" ref="D343"/>
    <hyperlink r:id="rId427" ref="D344"/>
    <hyperlink r:id="rId428" ref="D345"/>
    <hyperlink r:id="rId429" ref="D346"/>
    <hyperlink r:id="rId430" ref="D347"/>
  </hyperlinks>
  <drawing r:id="rId431"/>
  <legacyDrawing r:id="rId4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0.38"/>
    <col customWidth="1" min="3" max="3" width="20.38"/>
    <col customWidth="1" min="4" max="4" width="20.5"/>
    <col customWidth="1" min="5" max="5" width="22.0"/>
    <col customWidth="1" min="8" max="8" width="46.13"/>
    <col customWidth="1" min="9" max="9" width="26.63"/>
  </cols>
  <sheetData>
    <row r="1">
      <c r="A1" s="1" t="s">
        <v>0</v>
      </c>
      <c r="B1" s="2" t="s">
        <v>1</v>
      </c>
      <c r="C1" s="3"/>
      <c r="D1" s="4" t="s">
        <v>2</v>
      </c>
      <c r="E1" s="3"/>
      <c r="F1" s="4" t="s">
        <v>3</v>
      </c>
      <c r="G1" s="5"/>
      <c r="H1" s="3"/>
      <c r="I1" s="6" t="s">
        <v>4</v>
      </c>
      <c r="J1" s="7"/>
      <c r="K1" s="7"/>
      <c r="L1" s="7"/>
      <c r="M1" s="7"/>
      <c r="N1" s="7"/>
      <c r="O1" s="7"/>
    </row>
    <row r="2">
      <c r="A2" s="8" t="s">
        <v>5</v>
      </c>
      <c r="B2" s="9" t="s">
        <v>6</v>
      </c>
      <c r="C2" s="10"/>
      <c r="D2" s="11" t="s">
        <v>7</v>
      </c>
      <c r="E2" s="10"/>
      <c r="F2" s="12" t="s">
        <v>8</v>
      </c>
      <c r="G2" s="13"/>
      <c r="H2" s="10"/>
      <c r="I2" s="14"/>
      <c r="J2" s="7"/>
      <c r="K2" s="7"/>
      <c r="L2" s="7"/>
      <c r="M2" s="7"/>
      <c r="N2" s="7">
        <f t="shared" ref="N2:N132" si="1"> IF(ISBLANK(F2), 0, 1)</f>
        <v>1</v>
      </c>
      <c r="O2" s="7"/>
    </row>
    <row r="3" ht="16.5" customHeight="1">
      <c r="A3" s="8" t="s">
        <v>9</v>
      </c>
      <c r="B3" s="9" t="s">
        <v>10</v>
      </c>
      <c r="C3" s="10"/>
      <c r="D3" s="11" t="s">
        <v>11</v>
      </c>
      <c r="E3" s="10"/>
      <c r="F3" s="12" t="s">
        <v>13</v>
      </c>
      <c r="G3" s="13"/>
      <c r="H3" s="10"/>
      <c r="I3" s="14"/>
      <c r="J3" s="7"/>
      <c r="K3" s="7"/>
      <c r="L3" s="7"/>
      <c r="M3" s="7"/>
      <c r="N3" s="7">
        <f t="shared" si="1"/>
        <v>1</v>
      </c>
      <c r="O3" s="7"/>
    </row>
    <row r="4">
      <c r="A4" s="8" t="s">
        <v>14</v>
      </c>
      <c r="B4" s="9" t="s">
        <v>15</v>
      </c>
      <c r="C4" s="10"/>
      <c r="D4" s="15" t="s">
        <v>16</v>
      </c>
      <c r="E4" s="10"/>
      <c r="F4" s="16"/>
      <c r="G4" s="13"/>
      <c r="H4" s="10"/>
      <c r="I4" s="14"/>
      <c r="J4" s="7"/>
      <c r="K4" s="7"/>
      <c r="L4" s="7"/>
      <c r="M4" s="7"/>
      <c r="N4" s="7">
        <f t="shared" si="1"/>
        <v>0</v>
      </c>
      <c r="O4" s="7"/>
    </row>
    <row r="5">
      <c r="A5" s="8" t="s">
        <v>17</v>
      </c>
      <c r="B5" s="9" t="s">
        <v>18</v>
      </c>
      <c r="C5" s="10"/>
      <c r="D5" s="11" t="s">
        <v>7</v>
      </c>
      <c r="E5" s="10"/>
      <c r="F5" s="12" t="s">
        <v>19</v>
      </c>
      <c r="G5" s="13"/>
      <c r="H5" s="10"/>
      <c r="I5" s="17" t="s">
        <v>20</v>
      </c>
      <c r="J5" s="7"/>
      <c r="K5" s="7"/>
      <c r="L5" s="7"/>
      <c r="M5" s="7"/>
      <c r="N5" s="7">
        <f t="shared" si="1"/>
        <v>1</v>
      </c>
      <c r="O5" s="7"/>
    </row>
    <row r="6">
      <c r="A6" s="8" t="s">
        <v>21</v>
      </c>
      <c r="B6" s="9" t="s">
        <v>22</v>
      </c>
      <c r="C6" s="10"/>
      <c r="D6" s="18" t="s">
        <v>23</v>
      </c>
      <c r="E6" s="10"/>
      <c r="F6" s="12" t="s">
        <v>24</v>
      </c>
      <c r="G6" s="13"/>
      <c r="H6" s="10"/>
      <c r="I6" s="14"/>
      <c r="J6" s="7"/>
      <c r="K6" s="7"/>
      <c r="L6" s="7"/>
      <c r="M6" s="7"/>
      <c r="N6" s="7">
        <f t="shared" si="1"/>
        <v>1</v>
      </c>
      <c r="O6" s="7"/>
    </row>
    <row r="7">
      <c r="A7" s="8" t="s">
        <v>25</v>
      </c>
      <c r="B7" s="9" t="s">
        <v>26</v>
      </c>
      <c r="C7" s="10"/>
      <c r="D7" s="11" t="s">
        <v>7</v>
      </c>
      <c r="E7" s="10"/>
      <c r="F7" s="12" t="s">
        <v>27</v>
      </c>
      <c r="G7" s="13"/>
      <c r="H7" s="10"/>
      <c r="I7" s="14"/>
      <c r="J7" s="7"/>
      <c r="K7" s="7"/>
      <c r="L7" s="7"/>
      <c r="M7" s="7"/>
      <c r="N7" s="7">
        <f t="shared" si="1"/>
        <v>1</v>
      </c>
      <c r="O7" s="7"/>
    </row>
    <row r="8">
      <c r="A8" s="8" t="s">
        <v>28</v>
      </c>
      <c r="B8" s="9" t="s">
        <v>29</v>
      </c>
      <c r="C8" s="10"/>
      <c r="D8" s="11" t="s">
        <v>30</v>
      </c>
      <c r="E8" s="10"/>
      <c r="F8" s="12" t="s">
        <v>31</v>
      </c>
      <c r="G8" s="13"/>
      <c r="H8" s="10"/>
      <c r="I8" s="14"/>
      <c r="J8" s="7"/>
      <c r="K8" s="7"/>
      <c r="L8" s="7"/>
      <c r="M8" s="7"/>
      <c r="N8" s="7">
        <f t="shared" si="1"/>
        <v>1</v>
      </c>
      <c r="O8" s="7"/>
    </row>
    <row r="9">
      <c r="A9" s="8" t="s">
        <v>32</v>
      </c>
      <c r="B9" s="9" t="s">
        <v>33</v>
      </c>
      <c r="C9" s="10"/>
      <c r="D9" s="9" t="s">
        <v>34</v>
      </c>
      <c r="E9" s="10"/>
      <c r="F9" s="16"/>
      <c r="G9" s="13"/>
      <c r="H9" s="10"/>
      <c r="I9" s="14"/>
      <c r="J9" s="7"/>
      <c r="K9" s="7"/>
      <c r="L9" s="7"/>
      <c r="M9" s="7"/>
      <c r="N9" s="7">
        <f t="shared" si="1"/>
        <v>0</v>
      </c>
      <c r="O9" s="7"/>
    </row>
    <row r="10">
      <c r="A10" s="8" t="s">
        <v>35</v>
      </c>
      <c r="B10" s="15" t="s">
        <v>36</v>
      </c>
      <c r="C10" s="10"/>
      <c r="D10" s="19" t="s">
        <v>1745</v>
      </c>
      <c r="E10" s="10"/>
      <c r="F10" s="12" t="s">
        <v>38</v>
      </c>
      <c r="G10" s="13"/>
      <c r="H10" s="10"/>
      <c r="I10" s="17" t="s">
        <v>39</v>
      </c>
      <c r="J10" s="7"/>
      <c r="K10" s="7"/>
      <c r="L10" s="7"/>
      <c r="M10" s="7"/>
      <c r="N10" s="7">
        <f t="shared" si="1"/>
        <v>1</v>
      </c>
      <c r="O10" s="7"/>
    </row>
    <row r="11">
      <c r="A11" s="8" t="s">
        <v>40</v>
      </c>
      <c r="B11" s="9" t="s">
        <v>42</v>
      </c>
      <c r="C11" s="10"/>
      <c r="D11" s="11" t="s">
        <v>7</v>
      </c>
      <c r="E11" s="10"/>
      <c r="F11" s="12" t="s">
        <v>43</v>
      </c>
      <c r="G11" s="13"/>
      <c r="H11" s="10"/>
      <c r="I11" s="14"/>
      <c r="J11" s="7"/>
      <c r="K11" s="7"/>
      <c r="L11" s="7"/>
      <c r="M11" s="7"/>
      <c r="N11" s="7">
        <f t="shared" si="1"/>
        <v>1</v>
      </c>
      <c r="O11" s="7"/>
    </row>
    <row r="12">
      <c r="A12" s="8" t="s">
        <v>44</v>
      </c>
      <c r="B12" s="9" t="s">
        <v>45</v>
      </c>
      <c r="C12" s="10"/>
      <c r="D12" s="19" t="s">
        <v>1749</v>
      </c>
      <c r="E12" s="10"/>
      <c r="F12" s="12" t="s">
        <v>47</v>
      </c>
      <c r="G12" s="13"/>
      <c r="H12" s="10"/>
      <c r="I12" s="14"/>
      <c r="J12" s="7"/>
      <c r="K12" s="7"/>
      <c r="L12" s="7"/>
      <c r="M12" s="7"/>
      <c r="N12" s="7">
        <f t="shared" si="1"/>
        <v>1</v>
      </c>
      <c r="O12" s="7"/>
    </row>
    <row r="13">
      <c r="A13" s="8" t="s">
        <v>48</v>
      </c>
      <c r="B13" s="9" t="s">
        <v>49</v>
      </c>
      <c r="C13" s="10"/>
      <c r="D13" s="18" t="s">
        <v>50</v>
      </c>
      <c r="E13" s="10"/>
      <c r="F13" s="12" t="s">
        <v>51</v>
      </c>
      <c r="G13" s="13"/>
      <c r="H13" s="10"/>
      <c r="I13" s="17" t="s">
        <v>52</v>
      </c>
      <c r="J13" s="7"/>
      <c r="K13" s="7"/>
      <c r="L13" s="7"/>
      <c r="M13" s="7"/>
      <c r="N13" s="7">
        <f t="shared" si="1"/>
        <v>1</v>
      </c>
      <c r="O13" s="7"/>
    </row>
    <row r="14">
      <c r="A14" s="8" t="s">
        <v>53</v>
      </c>
      <c r="B14" s="15" t="s">
        <v>54</v>
      </c>
      <c r="C14" s="10"/>
      <c r="D14" s="19" t="s">
        <v>1752</v>
      </c>
      <c r="E14" s="10"/>
      <c r="F14" s="12" t="s">
        <v>57</v>
      </c>
      <c r="G14" s="13"/>
      <c r="H14" s="10"/>
      <c r="I14" s="14"/>
      <c r="J14" s="7"/>
      <c r="K14" s="7"/>
      <c r="L14" s="7"/>
      <c r="M14" s="7"/>
      <c r="N14" s="7">
        <f t="shared" si="1"/>
        <v>1</v>
      </c>
      <c r="O14" s="7"/>
    </row>
    <row r="15">
      <c r="A15" s="8" t="s">
        <v>59</v>
      </c>
      <c r="B15" s="9" t="s">
        <v>60</v>
      </c>
      <c r="C15" s="10"/>
      <c r="D15" s="11" t="s">
        <v>7</v>
      </c>
      <c r="E15" s="10"/>
      <c r="F15" s="12" t="s">
        <v>61</v>
      </c>
      <c r="G15" s="13"/>
      <c r="H15" s="10"/>
      <c r="I15" s="14"/>
      <c r="J15" s="7"/>
      <c r="K15" s="7"/>
      <c r="L15" s="7"/>
      <c r="M15" s="7"/>
      <c r="N15" s="7">
        <f t="shared" si="1"/>
        <v>1</v>
      </c>
      <c r="O15" s="7"/>
    </row>
    <row r="16">
      <c r="A16" s="8" t="s">
        <v>63</v>
      </c>
      <c r="B16" s="9" t="s">
        <v>64</v>
      </c>
      <c r="C16" s="10"/>
      <c r="D16" s="11" t="s">
        <v>7</v>
      </c>
      <c r="E16" s="10"/>
      <c r="F16" s="12" t="s">
        <v>65</v>
      </c>
      <c r="G16" s="13"/>
      <c r="H16" s="10"/>
      <c r="I16" s="14"/>
      <c r="J16" s="7"/>
      <c r="K16" s="7"/>
      <c r="L16" s="7"/>
      <c r="M16" s="7"/>
      <c r="N16" s="7">
        <f t="shared" si="1"/>
        <v>1</v>
      </c>
      <c r="O16" s="7"/>
    </row>
    <row r="17">
      <c r="A17" s="8" t="s">
        <v>67</v>
      </c>
      <c r="B17" s="9" t="s">
        <v>68</v>
      </c>
      <c r="C17" s="10"/>
      <c r="D17" s="18" t="s">
        <v>70</v>
      </c>
      <c r="E17" s="10"/>
      <c r="F17" s="12" t="s">
        <v>72</v>
      </c>
      <c r="G17" s="13"/>
      <c r="H17" s="10"/>
      <c r="I17" s="14"/>
      <c r="J17" s="7"/>
      <c r="K17" s="7"/>
      <c r="L17" s="7"/>
      <c r="M17" s="7"/>
      <c r="N17" s="7">
        <f t="shared" si="1"/>
        <v>1</v>
      </c>
      <c r="O17" s="7"/>
    </row>
    <row r="18">
      <c r="A18" s="8" t="s">
        <v>73</v>
      </c>
      <c r="B18" s="9" t="s">
        <v>75</v>
      </c>
      <c r="C18" s="10"/>
      <c r="D18" s="18" t="s">
        <v>76</v>
      </c>
      <c r="E18" s="10"/>
      <c r="F18" s="12" t="s">
        <v>77</v>
      </c>
      <c r="G18" s="13"/>
      <c r="H18" s="10"/>
      <c r="I18" s="14"/>
      <c r="J18" s="7"/>
      <c r="K18" s="7"/>
      <c r="L18" s="7"/>
      <c r="M18" s="7"/>
      <c r="N18" s="7">
        <f t="shared" si="1"/>
        <v>1</v>
      </c>
      <c r="O18" s="7"/>
    </row>
    <row r="19">
      <c r="A19" s="20" t="s">
        <v>78</v>
      </c>
      <c r="B19" s="9" t="s">
        <v>79</v>
      </c>
      <c r="C19" s="10"/>
      <c r="D19" s="11" t="s">
        <v>7</v>
      </c>
      <c r="E19" s="10"/>
      <c r="F19" s="12" t="s">
        <v>80</v>
      </c>
      <c r="G19" s="13"/>
      <c r="H19" s="10"/>
      <c r="I19" s="17" t="s">
        <v>82</v>
      </c>
      <c r="J19" s="7"/>
      <c r="K19" s="7"/>
      <c r="L19" s="7"/>
      <c r="M19" s="7"/>
      <c r="N19" s="7">
        <f t="shared" si="1"/>
        <v>1</v>
      </c>
      <c r="O19" s="7"/>
    </row>
    <row r="20">
      <c r="A20" s="8" t="s">
        <v>83</v>
      </c>
      <c r="B20" s="15" t="s">
        <v>86</v>
      </c>
      <c r="C20" s="10"/>
      <c r="D20" s="19" t="s">
        <v>1754</v>
      </c>
      <c r="E20" s="10"/>
      <c r="F20" s="12" t="s">
        <v>88</v>
      </c>
      <c r="G20" s="13"/>
      <c r="H20" s="10"/>
      <c r="I20" s="14"/>
      <c r="J20" s="7"/>
      <c r="K20" s="7"/>
      <c r="L20" s="7"/>
      <c r="M20" s="7"/>
      <c r="N20" s="7">
        <f t="shared" si="1"/>
        <v>1</v>
      </c>
      <c r="O20" s="7"/>
    </row>
    <row r="21">
      <c r="A21" s="8" t="s">
        <v>89</v>
      </c>
      <c r="B21" s="15" t="s">
        <v>90</v>
      </c>
      <c r="C21" s="10"/>
      <c r="D21" s="18" t="s">
        <v>91</v>
      </c>
      <c r="E21" s="10"/>
      <c r="F21" s="12" t="s">
        <v>92</v>
      </c>
      <c r="G21" s="13"/>
      <c r="H21" s="10"/>
      <c r="I21" s="14"/>
      <c r="J21" s="7"/>
      <c r="K21" s="7"/>
      <c r="L21" s="7"/>
      <c r="M21" s="7"/>
      <c r="N21" s="7">
        <f t="shared" si="1"/>
        <v>1</v>
      </c>
      <c r="O21" s="7"/>
    </row>
    <row r="22">
      <c r="A22" s="8" t="s">
        <v>93</v>
      </c>
      <c r="B22" s="9" t="s">
        <v>94</v>
      </c>
      <c r="C22" s="10"/>
      <c r="D22" s="11" t="s">
        <v>7</v>
      </c>
      <c r="E22" s="10"/>
      <c r="F22" s="16"/>
      <c r="G22" s="13"/>
      <c r="H22" s="10"/>
      <c r="I22" s="14"/>
      <c r="J22" s="7"/>
      <c r="K22" s="7"/>
      <c r="L22" s="7"/>
      <c r="M22" s="7"/>
      <c r="N22" s="7">
        <f t="shared" si="1"/>
        <v>0</v>
      </c>
      <c r="O22" s="7"/>
    </row>
    <row r="23">
      <c r="A23" s="8" t="s">
        <v>95</v>
      </c>
      <c r="B23" s="9" t="s">
        <v>96</v>
      </c>
      <c r="C23" s="10"/>
      <c r="D23" s="19" t="s">
        <v>1755</v>
      </c>
      <c r="E23" s="10"/>
      <c r="F23" s="12" t="s">
        <v>99</v>
      </c>
      <c r="G23" s="13"/>
      <c r="H23" s="10"/>
      <c r="I23" s="14"/>
      <c r="J23" s="7"/>
      <c r="K23" s="7"/>
      <c r="L23" s="7"/>
      <c r="M23" s="7"/>
      <c r="N23" s="7">
        <f t="shared" si="1"/>
        <v>1</v>
      </c>
      <c r="O23" s="7"/>
    </row>
    <row r="24">
      <c r="A24" s="8" t="s">
        <v>100</v>
      </c>
      <c r="B24" s="15" t="s">
        <v>101</v>
      </c>
      <c r="C24" s="10"/>
      <c r="D24" s="19" t="s">
        <v>1756</v>
      </c>
      <c r="E24" s="10"/>
      <c r="F24" s="12" t="s">
        <v>103</v>
      </c>
      <c r="G24" s="13"/>
      <c r="H24" s="10"/>
      <c r="I24" s="14"/>
      <c r="J24" s="7"/>
      <c r="K24" s="7"/>
      <c r="L24" s="7"/>
      <c r="M24" s="7"/>
      <c r="N24" s="7">
        <f t="shared" si="1"/>
        <v>1</v>
      </c>
      <c r="O24" s="7"/>
    </row>
    <row r="25">
      <c r="A25" s="8" t="s">
        <v>104</v>
      </c>
      <c r="B25" s="9" t="s">
        <v>105</v>
      </c>
      <c r="C25" s="10"/>
      <c r="D25" s="19" t="s">
        <v>1757</v>
      </c>
      <c r="E25" s="10"/>
      <c r="F25" s="16"/>
      <c r="G25" s="13"/>
      <c r="H25" s="10"/>
      <c r="I25" s="14"/>
      <c r="J25" s="7"/>
      <c r="K25" s="7"/>
      <c r="L25" s="7"/>
      <c r="M25" s="7"/>
      <c r="N25" s="7">
        <f t="shared" si="1"/>
        <v>0</v>
      </c>
      <c r="O25" s="7"/>
    </row>
    <row r="26">
      <c r="A26" s="8" t="s">
        <v>107</v>
      </c>
      <c r="B26" s="15" t="s">
        <v>109</v>
      </c>
      <c r="C26" s="10"/>
      <c r="D26" s="9" t="s">
        <v>110</v>
      </c>
      <c r="E26" s="10"/>
      <c r="F26" s="12" t="s">
        <v>111</v>
      </c>
      <c r="G26" s="13"/>
      <c r="H26" s="10"/>
      <c r="I26" s="14"/>
      <c r="J26" s="7"/>
      <c r="K26" s="7"/>
      <c r="L26" s="7"/>
      <c r="M26" s="7"/>
      <c r="N26" s="7">
        <f t="shared" si="1"/>
        <v>1</v>
      </c>
      <c r="O26" s="7"/>
    </row>
    <row r="27">
      <c r="A27" s="8" t="s">
        <v>112</v>
      </c>
      <c r="B27" s="9" t="s">
        <v>113</v>
      </c>
      <c r="C27" s="10"/>
      <c r="D27" s="11" t="s">
        <v>114</v>
      </c>
      <c r="E27" s="10"/>
      <c r="F27" s="16"/>
      <c r="G27" s="13"/>
      <c r="H27" s="10"/>
      <c r="I27" s="14"/>
      <c r="J27" s="7"/>
      <c r="K27" s="7"/>
      <c r="L27" s="7"/>
      <c r="M27" s="7"/>
      <c r="N27" s="7">
        <f t="shared" si="1"/>
        <v>0</v>
      </c>
      <c r="O27" s="7"/>
    </row>
    <row r="28">
      <c r="A28" s="8" t="s">
        <v>115</v>
      </c>
      <c r="B28" s="9" t="s">
        <v>117</v>
      </c>
      <c r="C28" s="10"/>
      <c r="D28" s="21" t="s">
        <v>1758</v>
      </c>
      <c r="E28" s="10"/>
      <c r="F28" s="12" t="s">
        <v>121</v>
      </c>
      <c r="G28" s="13"/>
      <c r="H28" s="10"/>
      <c r="I28" s="17" t="s">
        <v>122</v>
      </c>
      <c r="J28" s="7"/>
      <c r="K28" s="7"/>
      <c r="L28" s="7"/>
      <c r="M28" s="7"/>
      <c r="N28" s="7">
        <f t="shared" si="1"/>
        <v>1</v>
      </c>
      <c r="O28" s="7"/>
    </row>
    <row r="29">
      <c r="A29" s="20" t="s">
        <v>123</v>
      </c>
      <c r="B29" s="9" t="s">
        <v>124</v>
      </c>
      <c r="C29" s="10"/>
      <c r="D29" s="19" t="s">
        <v>1759</v>
      </c>
      <c r="E29" s="10"/>
      <c r="F29" s="12" t="s">
        <v>126</v>
      </c>
      <c r="G29" s="13"/>
      <c r="H29" s="10"/>
      <c r="I29" s="17" t="s">
        <v>127</v>
      </c>
      <c r="J29" s="7"/>
      <c r="K29" s="7"/>
      <c r="L29" s="7"/>
      <c r="M29" s="7"/>
      <c r="N29" s="7">
        <f t="shared" si="1"/>
        <v>1</v>
      </c>
      <c r="O29" s="7"/>
    </row>
    <row r="30">
      <c r="A30" s="8" t="s">
        <v>128</v>
      </c>
      <c r="B30" s="9" t="s">
        <v>130</v>
      </c>
      <c r="C30" s="10"/>
      <c r="D30" s="18" t="s">
        <v>131</v>
      </c>
      <c r="E30" s="10"/>
      <c r="F30" s="12" t="s">
        <v>132</v>
      </c>
      <c r="G30" s="13"/>
      <c r="H30" s="10"/>
      <c r="I30" s="14"/>
      <c r="J30" s="7"/>
      <c r="K30" s="7"/>
      <c r="L30" s="7"/>
      <c r="M30" s="7"/>
      <c r="N30" s="7">
        <f t="shared" si="1"/>
        <v>1</v>
      </c>
      <c r="O30" s="7"/>
    </row>
    <row r="31">
      <c r="A31" s="8" t="s">
        <v>133</v>
      </c>
      <c r="B31" s="15" t="s">
        <v>134</v>
      </c>
      <c r="C31" s="10"/>
      <c r="D31" s="19" t="s">
        <v>1760</v>
      </c>
      <c r="E31" s="10"/>
      <c r="F31" s="12"/>
      <c r="G31" s="13"/>
      <c r="H31" s="10"/>
      <c r="I31" s="14"/>
      <c r="J31" s="7"/>
      <c r="K31" s="7"/>
      <c r="L31" s="7"/>
      <c r="M31" s="7"/>
      <c r="N31" s="7">
        <f t="shared" si="1"/>
        <v>0</v>
      </c>
      <c r="O31" s="7"/>
    </row>
    <row r="32">
      <c r="A32" s="8" t="s">
        <v>139</v>
      </c>
      <c r="B32" s="9" t="s">
        <v>140</v>
      </c>
      <c r="C32" s="10"/>
      <c r="D32" s="11" t="s">
        <v>141</v>
      </c>
      <c r="E32" s="10"/>
      <c r="F32" s="12" t="s">
        <v>144</v>
      </c>
      <c r="G32" s="13"/>
      <c r="H32" s="10"/>
      <c r="I32" s="14"/>
      <c r="J32" s="7"/>
      <c r="K32" s="7"/>
      <c r="L32" s="7"/>
      <c r="M32" s="7"/>
      <c r="N32" s="7">
        <f t="shared" si="1"/>
        <v>1</v>
      </c>
      <c r="O32" s="7"/>
    </row>
    <row r="33">
      <c r="A33" s="8" t="s">
        <v>145</v>
      </c>
      <c r="B33" s="15" t="s">
        <v>147</v>
      </c>
      <c r="C33" s="10"/>
      <c r="D33" s="11" t="s">
        <v>7</v>
      </c>
      <c r="E33" s="10"/>
      <c r="F33" s="12" t="s">
        <v>148</v>
      </c>
      <c r="G33" s="13"/>
      <c r="H33" s="10"/>
      <c r="I33" s="14"/>
      <c r="J33" s="7"/>
      <c r="K33" s="7"/>
      <c r="L33" s="7"/>
      <c r="M33" s="7"/>
      <c r="N33" s="7">
        <f t="shared" si="1"/>
        <v>1</v>
      </c>
      <c r="O33" s="7"/>
    </row>
    <row r="34">
      <c r="A34" s="8" t="s">
        <v>150</v>
      </c>
      <c r="B34" s="9" t="s">
        <v>151</v>
      </c>
      <c r="C34" s="10"/>
      <c r="D34" s="18" t="s">
        <v>152</v>
      </c>
      <c r="E34" s="10"/>
      <c r="F34" s="12" t="s">
        <v>154</v>
      </c>
      <c r="G34" s="13"/>
      <c r="H34" s="10"/>
      <c r="I34" s="14"/>
      <c r="J34" s="7"/>
      <c r="K34" s="7"/>
      <c r="L34" s="7"/>
      <c r="M34" s="7"/>
      <c r="N34" s="7">
        <f t="shared" si="1"/>
        <v>1</v>
      </c>
      <c r="O34" s="7"/>
    </row>
    <row r="35">
      <c r="A35" s="8" t="s">
        <v>155</v>
      </c>
      <c r="B35" s="9" t="s">
        <v>156</v>
      </c>
      <c r="C35" s="10"/>
      <c r="D35" s="11" t="s">
        <v>7</v>
      </c>
      <c r="E35" s="10"/>
      <c r="F35" s="16"/>
      <c r="G35" s="13"/>
      <c r="H35" s="10"/>
      <c r="I35" s="14"/>
      <c r="J35" s="7"/>
      <c r="K35" s="7"/>
      <c r="L35" s="7"/>
      <c r="M35" s="7"/>
      <c r="N35" s="7">
        <f t="shared" si="1"/>
        <v>0</v>
      </c>
      <c r="O35" s="7"/>
    </row>
    <row r="36">
      <c r="A36" s="8" t="s">
        <v>157</v>
      </c>
      <c r="B36" s="15" t="s">
        <v>159</v>
      </c>
      <c r="C36" s="10"/>
      <c r="D36" s="11" t="s">
        <v>7</v>
      </c>
      <c r="E36" s="10"/>
      <c r="F36" s="12" t="s">
        <v>161</v>
      </c>
      <c r="G36" s="13"/>
      <c r="H36" s="10"/>
      <c r="I36" s="14"/>
      <c r="J36" s="7"/>
      <c r="K36" s="7"/>
      <c r="L36" s="7"/>
      <c r="M36" s="7"/>
      <c r="N36" s="7">
        <f t="shared" si="1"/>
        <v>1</v>
      </c>
      <c r="O36" s="7"/>
    </row>
    <row r="37">
      <c r="A37" s="8" t="s">
        <v>162</v>
      </c>
      <c r="B37" s="9" t="s">
        <v>163</v>
      </c>
      <c r="C37" s="10"/>
      <c r="D37" s="11" t="s">
        <v>7</v>
      </c>
      <c r="E37" s="10"/>
      <c r="F37" s="16"/>
      <c r="G37" s="13"/>
      <c r="H37" s="10"/>
      <c r="I37" s="14"/>
      <c r="J37" s="7"/>
      <c r="K37" s="7"/>
      <c r="L37" s="7"/>
      <c r="M37" s="22" t="s">
        <v>166</v>
      </c>
      <c r="N37" s="7">
        <f t="shared" si="1"/>
        <v>0</v>
      </c>
      <c r="O37" s="7"/>
    </row>
    <row r="38">
      <c r="A38" s="8" t="s">
        <v>169</v>
      </c>
      <c r="B38" s="9" t="s">
        <v>170</v>
      </c>
      <c r="C38" s="10"/>
      <c r="D38" s="18" t="s">
        <v>171</v>
      </c>
      <c r="E38" s="10"/>
      <c r="F38" s="12" t="s">
        <v>173</v>
      </c>
      <c r="G38" s="13"/>
      <c r="H38" s="10"/>
      <c r="I38" s="14"/>
      <c r="J38" s="7"/>
      <c r="K38" s="7"/>
      <c r="L38" s="7"/>
      <c r="M38" s="7"/>
      <c r="N38" s="7">
        <f t="shared" si="1"/>
        <v>1</v>
      </c>
      <c r="O38" s="7"/>
    </row>
    <row r="39">
      <c r="A39" s="8" t="s">
        <v>174</v>
      </c>
      <c r="B39" s="9" t="s">
        <v>175</v>
      </c>
      <c r="C39" s="10"/>
      <c r="D39" s="18" t="s">
        <v>176</v>
      </c>
      <c r="E39" s="10"/>
      <c r="F39" s="16"/>
      <c r="G39" s="13"/>
      <c r="H39" s="10"/>
      <c r="I39" s="14"/>
      <c r="J39" s="7"/>
      <c r="K39" s="7"/>
      <c r="L39" s="7"/>
      <c r="M39" s="7"/>
      <c r="N39" s="7">
        <f t="shared" si="1"/>
        <v>0</v>
      </c>
      <c r="O39" s="7"/>
    </row>
    <row r="40">
      <c r="A40" s="8" t="s">
        <v>178</v>
      </c>
      <c r="B40" s="9" t="s">
        <v>181</v>
      </c>
      <c r="C40" s="10"/>
      <c r="D40" s="11" t="s">
        <v>7</v>
      </c>
      <c r="E40" s="10"/>
      <c r="F40" s="12" t="s">
        <v>182</v>
      </c>
      <c r="G40" s="13"/>
      <c r="H40" s="10"/>
      <c r="I40" s="14"/>
      <c r="J40" s="7"/>
      <c r="K40" s="7"/>
      <c r="L40" s="7"/>
      <c r="M40" s="7"/>
      <c r="N40" s="7">
        <f t="shared" si="1"/>
        <v>1</v>
      </c>
      <c r="O40" s="7"/>
    </row>
    <row r="41">
      <c r="A41" s="8" t="s">
        <v>183</v>
      </c>
      <c r="B41" s="9" t="s">
        <v>184</v>
      </c>
      <c r="C41" s="10"/>
      <c r="D41" s="18" t="s">
        <v>185</v>
      </c>
      <c r="E41" s="10"/>
      <c r="F41" s="16"/>
      <c r="G41" s="13"/>
      <c r="H41" s="10"/>
      <c r="I41" s="14"/>
      <c r="J41" s="7"/>
      <c r="K41" s="7"/>
      <c r="L41" s="7"/>
      <c r="M41" s="7"/>
      <c r="N41" s="7">
        <f t="shared" si="1"/>
        <v>0</v>
      </c>
      <c r="O41" s="7"/>
    </row>
    <row r="42">
      <c r="A42" s="8" t="s">
        <v>186</v>
      </c>
      <c r="B42" s="9" t="s">
        <v>187</v>
      </c>
      <c r="C42" s="10"/>
      <c r="D42" s="11" t="s">
        <v>7</v>
      </c>
      <c r="E42" s="10"/>
      <c r="F42" s="12" t="s">
        <v>188</v>
      </c>
      <c r="G42" s="13"/>
      <c r="H42" s="10"/>
      <c r="I42" s="14"/>
      <c r="J42" s="7"/>
      <c r="K42" s="7"/>
      <c r="L42" s="7"/>
      <c r="M42" s="7"/>
      <c r="N42" s="7">
        <f t="shared" si="1"/>
        <v>1</v>
      </c>
      <c r="O42" s="7"/>
    </row>
    <row r="43">
      <c r="A43" s="8" t="s">
        <v>186</v>
      </c>
      <c r="B43" s="9" t="s">
        <v>189</v>
      </c>
      <c r="C43" s="10"/>
      <c r="D43" s="11" t="s">
        <v>7</v>
      </c>
      <c r="E43" s="10"/>
      <c r="F43" s="12"/>
      <c r="G43" s="13"/>
      <c r="H43" s="10"/>
      <c r="I43" s="14"/>
      <c r="J43" s="7"/>
      <c r="K43" s="7"/>
      <c r="L43" s="7"/>
      <c r="M43" s="7"/>
      <c r="N43" s="7">
        <f t="shared" si="1"/>
        <v>0</v>
      </c>
      <c r="O43" s="7"/>
    </row>
    <row r="44">
      <c r="A44" s="8" t="s">
        <v>186</v>
      </c>
      <c r="B44" s="9" t="s">
        <v>190</v>
      </c>
      <c r="C44" s="10"/>
      <c r="D44" s="11" t="s">
        <v>7</v>
      </c>
      <c r="E44" s="10"/>
      <c r="F44" s="12"/>
      <c r="G44" s="13"/>
      <c r="H44" s="10"/>
      <c r="I44" s="14"/>
      <c r="J44" s="7"/>
      <c r="K44" s="7"/>
      <c r="L44" s="7"/>
      <c r="M44" s="7"/>
      <c r="N44" s="7">
        <f t="shared" si="1"/>
        <v>0</v>
      </c>
      <c r="O44" s="7"/>
    </row>
    <row r="45">
      <c r="A45" s="8" t="s">
        <v>192</v>
      </c>
      <c r="B45" s="9" t="s">
        <v>193</v>
      </c>
      <c r="C45" s="10"/>
      <c r="D45" s="18" t="s">
        <v>194</v>
      </c>
      <c r="E45" s="10"/>
      <c r="F45" s="16"/>
      <c r="G45" s="13"/>
      <c r="H45" s="10"/>
      <c r="I45" s="14"/>
      <c r="J45" s="7"/>
      <c r="K45" s="7"/>
      <c r="L45" s="7"/>
      <c r="M45" s="7"/>
      <c r="N45" s="7">
        <f t="shared" si="1"/>
        <v>0</v>
      </c>
      <c r="O45" s="7"/>
    </row>
    <row r="46">
      <c r="A46" s="8" t="s">
        <v>195</v>
      </c>
      <c r="B46" s="9" t="s">
        <v>196</v>
      </c>
      <c r="C46" s="10"/>
      <c r="D46" s="23" t="s">
        <v>197</v>
      </c>
      <c r="E46" s="10"/>
      <c r="F46" s="16"/>
      <c r="G46" s="13"/>
      <c r="H46" s="10"/>
      <c r="I46" s="14"/>
      <c r="J46" s="7"/>
      <c r="K46" s="7"/>
      <c r="L46" s="7"/>
      <c r="M46" s="7"/>
      <c r="N46" s="7">
        <f t="shared" si="1"/>
        <v>0</v>
      </c>
      <c r="O46" s="7"/>
    </row>
    <row r="47">
      <c r="A47" s="8" t="s">
        <v>198</v>
      </c>
      <c r="B47" s="15" t="s">
        <v>199</v>
      </c>
      <c r="C47" s="10"/>
      <c r="D47" s="18" t="s">
        <v>200</v>
      </c>
      <c r="E47" s="10"/>
      <c r="F47" s="12" t="s">
        <v>201</v>
      </c>
      <c r="G47" s="13"/>
      <c r="H47" s="10"/>
      <c r="I47" s="14"/>
      <c r="J47" s="7"/>
      <c r="K47" s="7"/>
      <c r="L47" s="7"/>
      <c r="M47" s="7"/>
      <c r="N47" s="7">
        <f t="shared" si="1"/>
        <v>1</v>
      </c>
      <c r="O47" s="7"/>
    </row>
    <row r="48">
      <c r="A48" s="8" t="s">
        <v>203</v>
      </c>
      <c r="B48" s="15" t="s">
        <v>204</v>
      </c>
      <c r="C48" s="10"/>
      <c r="D48" s="18" t="s">
        <v>205</v>
      </c>
      <c r="E48" s="10"/>
      <c r="F48" s="12" t="s">
        <v>206</v>
      </c>
      <c r="G48" s="13"/>
      <c r="H48" s="10"/>
      <c r="I48" s="14"/>
      <c r="J48" s="7"/>
      <c r="K48" s="7"/>
      <c r="L48" s="7"/>
      <c r="M48" s="7"/>
      <c r="N48" s="7">
        <f t="shared" si="1"/>
        <v>1</v>
      </c>
      <c r="O48" s="7"/>
    </row>
    <row r="49">
      <c r="A49" s="8" t="s">
        <v>207</v>
      </c>
      <c r="B49" s="9" t="s">
        <v>208</v>
      </c>
      <c r="C49" s="10"/>
      <c r="D49" s="11" t="s">
        <v>209</v>
      </c>
      <c r="E49" s="10"/>
      <c r="F49" s="16"/>
      <c r="G49" s="13"/>
      <c r="H49" s="10"/>
      <c r="I49" s="14"/>
      <c r="J49" s="7"/>
      <c r="K49" s="7"/>
      <c r="L49" s="7"/>
      <c r="M49" s="7"/>
      <c r="N49" s="7">
        <f t="shared" si="1"/>
        <v>0</v>
      </c>
      <c r="O49" s="7"/>
    </row>
    <row r="50">
      <c r="A50" s="8" t="s">
        <v>211</v>
      </c>
      <c r="B50" s="9" t="s">
        <v>212</v>
      </c>
      <c r="C50" s="10"/>
      <c r="D50" s="19" t="s">
        <v>1761</v>
      </c>
      <c r="E50" s="10"/>
      <c r="F50" s="12" t="s">
        <v>215</v>
      </c>
      <c r="G50" s="13"/>
      <c r="H50" s="10"/>
      <c r="I50" s="14"/>
      <c r="J50" s="7"/>
      <c r="K50" s="7"/>
      <c r="L50" s="7"/>
      <c r="M50" s="7"/>
      <c r="N50" s="7">
        <f t="shared" si="1"/>
        <v>1</v>
      </c>
      <c r="O50" s="7"/>
    </row>
    <row r="51">
      <c r="A51" s="8" t="s">
        <v>216</v>
      </c>
      <c r="B51" s="9" t="s">
        <v>217</v>
      </c>
      <c r="C51" s="10"/>
      <c r="D51" s="19" t="s">
        <v>1762</v>
      </c>
      <c r="E51" s="10"/>
      <c r="F51" s="12" t="s">
        <v>219</v>
      </c>
      <c r="G51" s="13"/>
      <c r="H51" s="10"/>
      <c r="I51" s="14"/>
      <c r="J51" s="7"/>
      <c r="K51" s="7"/>
      <c r="L51" s="7"/>
      <c r="M51" s="7"/>
      <c r="N51" s="7">
        <f t="shared" si="1"/>
        <v>1</v>
      </c>
      <c r="O51" s="7"/>
    </row>
    <row r="52">
      <c r="A52" s="8" t="s">
        <v>220</v>
      </c>
      <c r="B52" s="9" t="s">
        <v>221</v>
      </c>
      <c r="C52" s="10"/>
      <c r="D52" s="18" t="s">
        <v>222</v>
      </c>
      <c r="E52" s="10"/>
      <c r="F52" s="16"/>
      <c r="G52" s="13"/>
      <c r="H52" s="10"/>
      <c r="I52" s="14"/>
      <c r="J52" s="7"/>
      <c r="K52" s="7"/>
      <c r="L52" s="7"/>
      <c r="M52" s="7"/>
      <c r="N52" s="7">
        <f t="shared" si="1"/>
        <v>0</v>
      </c>
      <c r="O52" s="7"/>
    </row>
    <row r="53">
      <c r="A53" s="8" t="s">
        <v>224</v>
      </c>
      <c r="B53" s="9" t="s">
        <v>225</v>
      </c>
      <c r="C53" s="10"/>
      <c r="D53" s="18" t="s">
        <v>226</v>
      </c>
      <c r="E53" s="10"/>
      <c r="F53" s="12" t="s">
        <v>227</v>
      </c>
      <c r="G53" s="13"/>
      <c r="H53" s="10"/>
      <c r="I53" s="14"/>
      <c r="J53" s="7"/>
      <c r="K53" s="7"/>
      <c r="L53" s="7"/>
      <c r="M53" s="7"/>
      <c r="N53" s="7">
        <f t="shared" si="1"/>
        <v>1</v>
      </c>
      <c r="O53" s="7"/>
    </row>
    <row r="54">
      <c r="A54" s="8" t="s">
        <v>228</v>
      </c>
      <c r="B54" s="9" t="s">
        <v>229</v>
      </c>
      <c r="C54" s="10"/>
      <c r="D54" s="11" t="s">
        <v>230</v>
      </c>
      <c r="E54" s="10"/>
      <c r="F54" s="12" t="s">
        <v>231</v>
      </c>
      <c r="G54" s="13"/>
      <c r="H54" s="10"/>
      <c r="I54" s="17"/>
      <c r="J54" s="7"/>
      <c r="K54" s="7"/>
      <c r="L54" s="7"/>
      <c r="M54" s="7"/>
      <c r="N54" s="7">
        <f t="shared" si="1"/>
        <v>1</v>
      </c>
      <c r="O54" s="7"/>
    </row>
    <row r="55">
      <c r="A55" s="8" t="s">
        <v>232</v>
      </c>
      <c r="B55" s="9" t="s">
        <v>229</v>
      </c>
      <c r="C55" s="10"/>
      <c r="D55" s="11" t="s">
        <v>233</v>
      </c>
      <c r="E55" s="10"/>
      <c r="F55" s="12" t="s">
        <v>234</v>
      </c>
      <c r="G55" s="13"/>
      <c r="H55" s="10"/>
      <c r="I55" s="14"/>
      <c r="J55" s="7"/>
      <c r="K55" s="7"/>
      <c r="L55" s="7"/>
      <c r="M55" s="7"/>
      <c r="N55" s="7">
        <f t="shared" si="1"/>
        <v>1</v>
      </c>
      <c r="O55" s="7"/>
    </row>
    <row r="56">
      <c r="A56" s="8" t="s">
        <v>236</v>
      </c>
      <c r="B56" s="9" t="s">
        <v>237</v>
      </c>
      <c r="C56" s="10"/>
      <c r="D56" s="9" t="s">
        <v>238</v>
      </c>
      <c r="E56" s="10"/>
      <c r="F56" s="12" t="s">
        <v>239</v>
      </c>
      <c r="G56" s="13"/>
      <c r="H56" s="10"/>
      <c r="I56" s="14"/>
      <c r="J56" s="7"/>
      <c r="K56" s="7"/>
      <c r="L56" s="7"/>
      <c r="M56" s="7"/>
      <c r="N56" s="7">
        <f t="shared" si="1"/>
        <v>1</v>
      </c>
      <c r="O56" s="7"/>
    </row>
    <row r="57">
      <c r="A57" s="8" t="s">
        <v>240</v>
      </c>
      <c r="B57" s="9" t="s">
        <v>241</v>
      </c>
      <c r="C57" s="10"/>
      <c r="D57" s="11" t="s">
        <v>7</v>
      </c>
      <c r="E57" s="10"/>
      <c r="F57" s="16"/>
      <c r="G57" s="13"/>
      <c r="H57" s="10"/>
      <c r="I57" s="14"/>
      <c r="J57" s="7"/>
      <c r="K57" s="7"/>
      <c r="L57" s="7"/>
      <c r="M57" s="7"/>
      <c r="N57" s="7">
        <f t="shared" si="1"/>
        <v>0</v>
      </c>
      <c r="O57" s="7"/>
    </row>
    <row r="58" ht="15.75" customHeight="1">
      <c r="A58" s="8" t="s">
        <v>242</v>
      </c>
      <c r="B58" s="9" t="s">
        <v>244</v>
      </c>
      <c r="C58" s="10"/>
      <c r="D58" s="19" t="s">
        <v>1763</v>
      </c>
      <c r="E58" s="10"/>
      <c r="F58" s="12" t="s">
        <v>246</v>
      </c>
      <c r="G58" s="13"/>
      <c r="H58" s="10"/>
      <c r="I58" s="17" t="s">
        <v>247</v>
      </c>
      <c r="J58" s="7"/>
      <c r="K58" s="7"/>
      <c r="L58" s="7"/>
      <c r="M58" s="7"/>
      <c r="N58" s="7">
        <f t="shared" si="1"/>
        <v>1</v>
      </c>
      <c r="O58" s="7"/>
    </row>
    <row r="59">
      <c r="A59" s="8" t="s">
        <v>248</v>
      </c>
      <c r="B59" s="9" t="s">
        <v>250</v>
      </c>
      <c r="C59" s="10"/>
      <c r="D59" s="19" t="s">
        <v>1764</v>
      </c>
      <c r="E59" s="10"/>
      <c r="F59" s="12" t="s">
        <v>253</v>
      </c>
      <c r="G59" s="13"/>
      <c r="H59" s="10"/>
      <c r="I59" s="17" t="s">
        <v>254</v>
      </c>
      <c r="J59" s="7"/>
      <c r="K59" s="7"/>
      <c r="L59" s="7"/>
      <c r="M59" s="7"/>
      <c r="N59" s="7">
        <f t="shared" si="1"/>
        <v>1</v>
      </c>
      <c r="O59" s="7"/>
    </row>
    <row r="60">
      <c r="A60" s="8" t="s">
        <v>255</v>
      </c>
      <c r="B60" s="9" t="s">
        <v>256</v>
      </c>
      <c r="C60" s="10"/>
      <c r="D60" s="18" t="s">
        <v>257</v>
      </c>
      <c r="E60" s="10"/>
      <c r="F60" s="12" t="s">
        <v>258</v>
      </c>
      <c r="G60" s="13"/>
      <c r="H60" s="10"/>
      <c r="I60" s="17" t="s">
        <v>260</v>
      </c>
      <c r="J60" s="7"/>
      <c r="K60" s="7"/>
      <c r="L60" s="7"/>
      <c r="M60" s="7"/>
      <c r="N60" s="7">
        <f t="shared" si="1"/>
        <v>1</v>
      </c>
      <c r="O60" s="7"/>
    </row>
    <row r="61">
      <c r="A61" s="8" t="s">
        <v>261</v>
      </c>
      <c r="B61" s="9" t="s">
        <v>262</v>
      </c>
      <c r="C61" s="10"/>
      <c r="D61" s="21" t="s">
        <v>1765</v>
      </c>
      <c r="E61" s="10"/>
      <c r="F61" s="12" t="s">
        <v>265</v>
      </c>
      <c r="G61" s="13"/>
      <c r="H61" s="10"/>
      <c r="I61" s="14"/>
      <c r="J61" s="7"/>
      <c r="K61" s="7"/>
      <c r="L61" s="7"/>
      <c r="M61" s="7"/>
      <c r="N61" s="7">
        <f t="shared" si="1"/>
        <v>1</v>
      </c>
      <c r="O61" s="7"/>
    </row>
    <row r="62">
      <c r="A62" s="8" t="s">
        <v>266</v>
      </c>
      <c r="B62" s="9" t="s">
        <v>269</v>
      </c>
      <c r="C62" s="10"/>
      <c r="D62" s="18" t="s">
        <v>270</v>
      </c>
      <c r="E62" s="10"/>
      <c r="F62" s="12" t="s">
        <v>271</v>
      </c>
      <c r="G62" s="13"/>
      <c r="H62" s="10"/>
      <c r="I62" s="14"/>
      <c r="J62" s="7"/>
      <c r="K62" s="7"/>
      <c r="L62" s="7"/>
      <c r="M62" s="7"/>
      <c r="N62" s="7">
        <f t="shared" si="1"/>
        <v>1</v>
      </c>
      <c r="O62" s="7"/>
    </row>
    <row r="63">
      <c r="A63" s="8" t="s">
        <v>272</v>
      </c>
      <c r="B63" s="9" t="s">
        <v>274</v>
      </c>
      <c r="C63" s="10"/>
      <c r="D63" s="18" t="s">
        <v>257</v>
      </c>
      <c r="E63" s="10"/>
      <c r="F63" s="12" t="s">
        <v>275</v>
      </c>
      <c r="G63" s="13"/>
      <c r="H63" s="10"/>
      <c r="I63" s="14"/>
      <c r="J63" s="7"/>
      <c r="K63" s="7"/>
      <c r="L63" s="7"/>
      <c r="M63" s="7"/>
      <c r="N63" s="7">
        <f t="shared" si="1"/>
        <v>1</v>
      </c>
      <c r="O63" s="7"/>
    </row>
    <row r="64">
      <c r="A64" s="8" t="s">
        <v>276</v>
      </c>
      <c r="B64" s="9" t="s">
        <v>277</v>
      </c>
      <c r="C64" s="10"/>
      <c r="D64" s="18" t="s">
        <v>278</v>
      </c>
      <c r="E64" s="10"/>
      <c r="F64" s="12" t="s">
        <v>279</v>
      </c>
      <c r="G64" s="13"/>
      <c r="H64" s="10"/>
      <c r="I64" s="17" t="s">
        <v>280</v>
      </c>
      <c r="J64" s="7"/>
      <c r="K64" s="7"/>
      <c r="L64" s="7"/>
      <c r="M64" s="7"/>
      <c r="N64" s="7">
        <f t="shared" si="1"/>
        <v>1</v>
      </c>
      <c r="O64" s="7"/>
    </row>
    <row r="65">
      <c r="A65" s="8" t="s">
        <v>281</v>
      </c>
      <c r="B65" s="9" t="s">
        <v>282</v>
      </c>
      <c r="C65" s="10"/>
      <c r="D65" s="18" t="s">
        <v>283</v>
      </c>
      <c r="E65" s="10"/>
      <c r="F65" s="12" t="s">
        <v>284</v>
      </c>
      <c r="G65" s="13"/>
      <c r="H65" s="10"/>
      <c r="I65" s="14"/>
      <c r="J65" s="7"/>
      <c r="K65" s="7"/>
      <c r="L65" s="7"/>
      <c r="M65" s="7"/>
      <c r="N65" s="7">
        <f t="shared" si="1"/>
        <v>1</v>
      </c>
      <c r="O65" s="7"/>
    </row>
    <row r="66">
      <c r="A66" s="8" t="s">
        <v>285</v>
      </c>
      <c r="B66" s="9" t="s">
        <v>287</v>
      </c>
      <c r="C66" s="10"/>
      <c r="D66" s="18" t="s">
        <v>288</v>
      </c>
      <c r="E66" s="10"/>
      <c r="F66" s="12" t="s">
        <v>289</v>
      </c>
      <c r="G66" s="13"/>
      <c r="H66" s="10"/>
      <c r="I66" s="17" t="s">
        <v>290</v>
      </c>
      <c r="J66" s="7"/>
      <c r="K66" s="7"/>
      <c r="L66" s="7"/>
      <c r="M66" s="7"/>
      <c r="N66" s="7">
        <f t="shared" si="1"/>
        <v>1</v>
      </c>
      <c r="O66" s="7"/>
    </row>
    <row r="67">
      <c r="A67" s="8" t="s">
        <v>291</v>
      </c>
      <c r="B67" s="9" t="s">
        <v>293</v>
      </c>
      <c r="C67" s="10"/>
      <c r="D67" s="9" t="s">
        <v>294</v>
      </c>
      <c r="E67" s="10"/>
      <c r="F67" s="12" t="s">
        <v>295</v>
      </c>
      <c r="G67" s="13"/>
      <c r="H67" s="10"/>
      <c r="I67" s="14"/>
      <c r="J67" s="7"/>
      <c r="K67" s="7"/>
      <c r="L67" s="7"/>
      <c r="M67" s="7"/>
      <c r="N67" s="7">
        <f t="shared" si="1"/>
        <v>1</v>
      </c>
      <c r="O67" s="7"/>
    </row>
    <row r="68">
      <c r="A68" s="8" t="s">
        <v>296</v>
      </c>
      <c r="B68" s="9" t="s">
        <v>298</v>
      </c>
      <c r="C68" s="10"/>
      <c r="D68" s="11" t="s">
        <v>299</v>
      </c>
      <c r="E68" s="10"/>
      <c r="F68" s="12" t="s">
        <v>300</v>
      </c>
      <c r="G68" s="13"/>
      <c r="H68" s="10"/>
      <c r="I68" s="14"/>
      <c r="J68" s="7"/>
      <c r="K68" s="7"/>
      <c r="L68" s="7"/>
      <c r="M68" s="7"/>
      <c r="N68" s="7">
        <f t="shared" si="1"/>
        <v>1</v>
      </c>
      <c r="O68" s="7"/>
    </row>
    <row r="69">
      <c r="A69" s="8" t="s">
        <v>301</v>
      </c>
      <c r="B69" s="15" t="s">
        <v>302</v>
      </c>
      <c r="C69" s="10"/>
      <c r="D69" s="11" t="s">
        <v>7</v>
      </c>
      <c r="E69" s="10"/>
      <c r="F69" s="12" t="s">
        <v>305</v>
      </c>
      <c r="G69" s="13"/>
      <c r="H69" s="10"/>
      <c r="I69" s="14"/>
      <c r="J69" s="7"/>
      <c r="K69" s="7"/>
      <c r="L69" s="7"/>
      <c r="M69" s="7"/>
      <c r="N69" s="7">
        <f t="shared" si="1"/>
        <v>1</v>
      </c>
      <c r="O69" s="7"/>
    </row>
    <row r="70">
      <c r="A70" s="8" t="s">
        <v>306</v>
      </c>
      <c r="B70" s="9" t="s">
        <v>307</v>
      </c>
      <c r="C70" s="10"/>
      <c r="D70" s="21" t="s">
        <v>1767</v>
      </c>
      <c r="E70" s="10"/>
      <c r="F70" s="12" t="s">
        <v>309</v>
      </c>
      <c r="G70" s="13"/>
      <c r="H70" s="10"/>
      <c r="I70" s="14"/>
      <c r="J70" s="7"/>
      <c r="K70" s="7"/>
      <c r="L70" s="7"/>
      <c r="M70" s="7"/>
      <c r="N70" s="7">
        <f t="shared" si="1"/>
        <v>1</v>
      </c>
      <c r="O70" s="7"/>
    </row>
    <row r="71">
      <c r="A71" s="8" t="s">
        <v>310</v>
      </c>
      <c r="B71" s="9" t="s">
        <v>312</v>
      </c>
      <c r="C71" s="10"/>
      <c r="D71" s="11" t="s">
        <v>313</v>
      </c>
      <c r="E71" s="10"/>
      <c r="F71" s="12" t="s">
        <v>315</v>
      </c>
      <c r="G71" s="13"/>
      <c r="H71" s="10"/>
      <c r="I71" s="14"/>
      <c r="J71" s="7"/>
      <c r="K71" s="7"/>
      <c r="L71" s="7"/>
      <c r="M71" s="7"/>
      <c r="N71" s="7">
        <f t="shared" si="1"/>
        <v>1</v>
      </c>
      <c r="O71" s="7"/>
    </row>
    <row r="72">
      <c r="A72" s="8" t="s">
        <v>316</v>
      </c>
      <c r="B72" s="9" t="s">
        <v>317</v>
      </c>
      <c r="C72" s="10"/>
      <c r="D72" s="9" t="s">
        <v>318</v>
      </c>
      <c r="E72" s="10"/>
      <c r="F72" s="16"/>
      <c r="G72" s="13"/>
      <c r="H72" s="10"/>
      <c r="I72" s="14"/>
      <c r="J72" s="7"/>
      <c r="K72" s="7"/>
      <c r="L72" s="7"/>
      <c r="M72" s="7"/>
      <c r="N72" s="7">
        <f t="shared" si="1"/>
        <v>0</v>
      </c>
      <c r="O72" s="7"/>
    </row>
    <row r="73">
      <c r="A73" s="24" t="s">
        <v>319</v>
      </c>
      <c r="B73" s="15" t="s">
        <v>322</v>
      </c>
      <c r="C73" s="10"/>
      <c r="D73" s="11" t="s">
        <v>7</v>
      </c>
      <c r="E73" s="10"/>
      <c r="F73" s="12" t="s">
        <v>323</v>
      </c>
      <c r="G73" s="13"/>
      <c r="H73" s="10"/>
      <c r="I73" s="17" t="s">
        <v>324</v>
      </c>
      <c r="J73" s="7"/>
      <c r="K73" s="7"/>
      <c r="L73" s="7"/>
      <c r="M73" s="7"/>
      <c r="N73" s="7">
        <f t="shared" si="1"/>
        <v>1</v>
      </c>
      <c r="O73" s="7"/>
    </row>
    <row r="74">
      <c r="A74" s="8" t="s">
        <v>325</v>
      </c>
      <c r="B74" s="15" t="s">
        <v>326</v>
      </c>
      <c r="C74" s="10"/>
      <c r="D74" s="11" t="s">
        <v>327</v>
      </c>
      <c r="E74" s="10"/>
      <c r="F74" s="12" t="s">
        <v>328</v>
      </c>
      <c r="G74" s="13"/>
      <c r="H74" s="10"/>
      <c r="I74" s="14"/>
      <c r="J74" s="7"/>
      <c r="K74" s="7"/>
      <c r="L74" s="7"/>
      <c r="M74" s="7"/>
      <c r="N74" s="7">
        <f t="shared" si="1"/>
        <v>1</v>
      </c>
      <c r="O74" s="7"/>
    </row>
    <row r="75">
      <c r="A75" s="8" t="s">
        <v>329</v>
      </c>
      <c r="B75" s="9" t="s">
        <v>331</v>
      </c>
      <c r="C75" s="10"/>
      <c r="D75" s="18" t="s">
        <v>332</v>
      </c>
      <c r="E75" s="10"/>
      <c r="F75" s="12" t="s">
        <v>333</v>
      </c>
      <c r="G75" s="13"/>
      <c r="H75" s="10"/>
      <c r="I75" s="14"/>
      <c r="J75" s="7"/>
      <c r="K75" s="7"/>
      <c r="L75" s="7"/>
      <c r="M75" s="7"/>
      <c r="N75" s="7">
        <f t="shared" si="1"/>
        <v>1</v>
      </c>
      <c r="O75" s="7"/>
    </row>
    <row r="76">
      <c r="A76" s="8" t="s">
        <v>334</v>
      </c>
      <c r="B76" s="9" t="s">
        <v>335</v>
      </c>
      <c r="C76" s="10"/>
      <c r="D76" s="11" t="s">
        <v>7</v>
      </c>
      <c r="E76" s="10"/>
      <c r="F76" s="12"/>
      <c r="G76" s="13"/>
      <c r="H76" s="10"/>
      <c r="I76" s="14"/>
      <c r="J76" s="7"/>
      <c r="K76" s="7"/>
      <c r="L76" s="7"/>
      <c r="M76" s="7"/>
      <c r="N76" s="7">
        <f t="shared" si="1"/>
        <v>0</v>
      </c>
      <c r="O76" s="7"/>
    </row>
    <row r="77">
      <c r="A77" s="8" t="s">
        <v>336</v>
      </c>
      <c r="B77" s="9" t="s">
        <v>337</v>
      </c>
      <c r="C77" s="10"/>
      <c r="D77" s="11" t="s">
        <v>338</v>
      </c>
      <c r="E77" s="10"/>
      <c r="F77" s="12" t="s">
        <v>339</v>
      </c>
      <c r="G77" s="13"/>
      <c r="H77" s="10"/>
      <c r="I77" s="14"/>
      <c r="J77" s="7"/>
      <c r="K77" s="7"/>
      <c r="L77" s="7"/>
      <c r="M77" s="7"/>
      <c r="N77" s="7">
        <f t="shared" si="1"/>
        <v>1</v>
      </c>
      <c r="O77" s="7"/>
    </row>
    <row r="78">
      <c r="A78" s="8" t="s">
        <v>340</v>
      </c>
      <c r="B78" s="9" t="s">
        <v>341</v>
      </c>
      <c r="C78" s="10"/>
      <c r="D78" s="11" t="s">
        <v>342</v>
      </c>
      <c r="E78" s="10"/>
      <c r="F78" s="12" t="s">
        <v>343</v>
      </c>
      <c r="G78" s="13"/>
      <c r="H78" s="10"/>
      <c r="I78" s="17" t="s">
        <v>344</v>
      </c>
      <c r="J78" s="7"/>
      <c r="K78" s="7"/>
      <c r="L78" s="7"/>
      <c r="M78" s="7"/>
      <c r="N78" s="7">
        <f t="shared" si="1"/>
        <v>1</v>
      </c>
      <c r="O78" s="7"/>
    </row>
    <row r="79">
      <c r="A79" s="8" t="s">
        <v>345</v>
      </c>
      <c r="B79" s="9" t="s">
        <v>347</v>
      </c>
      <c r="C79" s="10"/>
      <c r="D79" s="19" t="s">
        <v>1771</v>
      </c>
      <c r="E79" s="10"/>
      <c r="F79" s="12" t="s">
        <v>349</v>
      </c>
      <c r="G79" s="13"/>
      <c r="H79" s="10"/>
      <c r="I79" s="17" t="s">
        <v>351</v>
      </c>
      <c r="J79" s="7"/>
      <c r="K79" s="7"/>
      <c r="L79" s="7"/>
      <c r="M79" s="7"/>
      <c r="N79" s="7">
        <f t="shared" si="1"/>
        <v>1</v>
      </c>
      <c r="O79" s="7"/>
    </row>
    <row r="80">
      <c r="A80" s="8" t="s">
        <v>352</v>
      </c>
      <c r="B80" s="9" t="s">
        <v>353</v>
      </c>
      <c r="C80" s="10"/>
      <c r="D80" s="18" t="s">
        <v>354</v>
      </c>
      <c r="E80" s="10"/>
      <c r="F80" s="12" t="s">
        <v>355</v>
      </c>
      <c r="G80" s="13"/>
      <c r="H80" s="10"/>
      <c r="I80" s="17" t="s">
        <v>356</v>
      </c>
      <c r="J80" s="7"/>
      <c r="K80" s="7"/>
      <c r="L80" s="7"/>
      <c r="M80" s="7"/>
      <c r="N80" s="7">
        <f t="shared" si="1"/>
        <v>1</v>
      </c>
      <c r="O80" s="7"/>
    </row>
    <row r="81">
      <c r="A81" s="8" t="s">
        <v>357</v>
      </c>
      <c r="B81" s="9" t="s">
        <v>358</v>
      </c>
      <c r="C81" s="10"/>
      <c r="D81" s="11" t="s">
        <v>359</v>
      </c>
      <c r="E81" s="10"/>
      <c r="F81" s="12" t="s">
        <v>1774</v>
      </c>
      <c r="G81" s="13"/>
      <c r="H81" s="10"/>
      <c r="I81" s="14"/>
      <c r="J81" s="7"/>
      <c r="K81" s="7"/>
      <c r="L81" s="7"/>
      <c r="M81" s="7"/>
      <c r="N81" s="7">
        <f t="shared" si="1"/>
        <v>1</v>
      </c>
      <c r="O81" s="7"/>
    </row>
    <row r="82">
      <c r="A82" s="8" t="s">
        <v>361</v>
      </c>
      <c r="B82" s="9" t="s">
        <v>362</v>
      </c>
      <c r="C82" s="10"/>
      <c r="D82" s="11" t="s">
        <v>7</v>
      </c>
      <c r="E82" s="10"/>
      <c r="F82" s="12" t="s">
        <v>363</v>
      </c>
      <c r="G82" s="13"/>
      <c r="H82" s="10"/>
      <c r="I82" s="14"/>
      <c r="J82" s="7"/>
      <c r="K82" s="7"/>
      <c r="L82" s="7"/>
      <c r="M82" s="7"/>
      <c r="N82" s="7">
        <f t="shared" si="1"/>
        <v>1</v>
      </c>
      <c r="O82" s="7"/>
    </row>
    <row r="83">
      <c r="A83" s="8" t="s">
        <v>364</v>
      </c>
      <c r="B83" s="9" t="s">
        <v>366</v>
      </c>
      <c r="C83" s="10"/>
      <c r="D83" s="11" t="s">
        <v>7</v>
      </c>
      <c r="E83" s="10"/>
      <c r="F83" s="12" t="s">
        <v>367</v>
      </c>
      <c r="G83" s="13"/>
      <c r="H83" s="10"/>
      <c r="I83" s="14"/>
      <c r="J83" s="7"/>
      <c r="K83" s="7"/>
      <c r="L83" s="7"/>
      <c r="M83" s="7"/>
      <c r="N83" s="7">
        <f t="shared" si="1"/>
        <v>1</v>
      </c>
      <c r="O83" s="7"/>
    </row>
    <row r="84">
      <c r="A84" s="8" t="s">
        <v>368</v>
      </c>
      <c r="B84" s="9" t="s">
        <v>370</v>
      </c>
      <c r="C84" s="10"/>
      <c r="D84" s="11" t="s">
        <v>7</v>
      </c>
      <c r="E84" s="10"/>
      <c r="F84" s="16"/>
      <c r="G84" s="13"/>
      <c r="H84" s="10"/>
      <c r="I84" s="14"/>
      <c r="J84" s="7"/>
      <c r="K84" s="7"/>
      <c r="L84" s="7"/>
      <c r="M84" s="7"/>
      <c r="N84" s="7">
        <f t="shared" si="1"/>
        <v>0</v>
      </c>
      <c r="O84" s="7"/>
    </row>
    <row r="85">
      <c r="A85" s="8" t="s">
        <v>371</v>
      </c>
      <c r="B85" s="9" t="s">
        <v>372</v>
      </c>
      <c r="C85" s="10"/>
      <c r="D85" s="11" t="s">
        <v>7</v>
      </c>
      <c r="E85" s="10"/>
      <c r="F85" s="12" t="s">
        <v>373</v>
      </c>
      <c r="G85" s="13"/>
      <c r="H85" s="10"/>
      <c r="I85" s="17" t="s">
        <v>374</v>
      </c>
      <c r="J85" s="7"/>
      <c r="K85" s="7"/>
      <c r="L85" s="7"/>
      <c r="M85" s="7"/>
      <c r="N85" s="7">
        <f t="shared" si="1"/>
        <v>1</v>
      </c>
      <c r="O85" s="7"/>
    </row>
    <row r="86">
      <c r="A86" s="8" t="s">
        <v>375</v>
      </c>
      <c r="B86" s="9" t="s">
        <v>376</v>
      </c>
      <c r="C86" s="10"/>
      <c r="D86" s="18" t="s">
        <v>377</v>
      </c>
      <c r="E86" s="10"/>
      <c r="F86" s="16"/>
      <c r="G86" s="13"/>
      <c r="H86" s="10"/>
      <c r="I86" s="14"/>
      <c r="J86" s="7"/>
      <c r="K86" s="7"/>
      <c r="L86" s="7"/>
      <c r="M86" s="7"/>
      <c r="N86" s="7">
        <f t="shared" si="1"/>
        <v>0</v>
      </c>
      <c r="O86" s="7"/>
    </row>
    <row r="87">
      <c r="A87" s="8" t="s">
        <v>379</v>
      </c>
      <c r="B87" s="9" t="s">
        <v>381</v>
      </c>
      <c r="C87" s="10"/>
      <c r="D87" s="11" t="s">
        <v>7</v>
      </c>
      <c r="E87" s="10"/>
      <c r="F87" s="16"/>
      <c r="G87" s="13"/>
      <c r="H87" s="10"/>
      <c r="I87" s="14"/>
      <c r="J87" s="7"/>
      <c r="K87" s="7"/>
      <c r="L87" s="7"/>
      <c r="M87" s="7"/>
      <c r="N87" s="7">
        <f t="shared" si="1"/>
        <v>0</v>
      </c>
      <c r="O87" s="7"/>
    </row>
    <row r="88">
      <c r="A88" s="8" t="s">
        <v>382</v>
      </c>
      <c r="B88" s="9" t="s">
        <v>383</v>
      </c>
      <c r="C88" s="10"/>
      <c r="D88" s="18" t="s">
        <v>385</v>
      </c>
      <c r="E88" s="10"/>
      <c r="F88" s="12" t="s">
        <v>386</v>
      </c>
      <c r="G88" s="13"/>
      <c r="H88" s="10"/>
      <c r="I88" s="17"/>
      <c r="J88" s="7"/>
      <c r="K88" s="7"/>
      <c r="L88" s="7"/>
      <c r="M88" s="7"/>
      <c r="N88" s="7">
        <f t="shared" si="1"/>
        <v>1</v>
      </c>
      <c r="O88" s="7"/>
    </row>
    <row r="89">
      <c r="A89" s="24" t="s">
        <v>387</v>
      </c>
      <c r="B89" s="9" t="s">
        <v>388</v>
      </c>
      <c r="C89" s="10"/>
      <c r="D89" s="18" t="s">
        <v>389</v>
      </c>
      <c r="E89" s="10"/>
      <c r="F89" s="12" t="s">
        <v>390</v>
      </c>
      <c r="G89" s="13"/>
      <c r="H89" s="10"/>
      <c r="I89" s="17" t="s">
        <v>391</v>
      </c>
      <c r="J89" s="7"/>
      <c r="K89" s="7"/>
      <c r="L89" s="7"/>
      <c r="M89" s="7"/>
      <c r="N89" s="7">
        <f t="shared" si="1"/>
        <v>1</v>
      </c>
      <c r="O89" s="7"/>
    </row>
    <row r="90">
      <c r="A90" s="8" t="s">
        <v>392</v>
      </c>
      <c r="B90" s="9" t="s">
        <v>393</v>
      </c>
      <c r="C90" s="10"/>
      <c r="D90" s="18" t="s">
        <v>394</v>
      </c>
      <c r="E90" s="10"/>
      <c r="F90" s="12" t="s">
        <v>395</v>
      </c>
      <c r="G90" s="13"/>
      <c r="H90" s="10"/>
      <c r="I90" s="14"/>
      <c r="J90" s="7"/>
      <c r="K90" s="7"/>
      <c r="L90" s="7"/>
      <c r="M90" s="7"/>
      <c r="N90" s="7">
        <f t="shared" si="1"/>
        <v>1</v>
      </c>
      <c r="O90" s="7"/>
    </row>
    <row r="91">
      <c r="A91" s="8" t="s">
        <v>396</v>
      </c>
      <c r="B91" s="9" t="s">
        <v>397</v>
      </c>
      <c r="C91" s="10"/>
      <c r="D91" s="19" t="s">
        <v>1781</v>
      </c>
      <c r="E91" s="10"/>
      <c r="F91" s="12" t="s">
        <v>399</v>
      </c>
      <c r="G91" s="13"/>
      <c r="H91" s="10"/>
      <c r="I91" s="14"/>
      <c r="J91" s="7"/>
      <c r="K91" s="7"/>
      <c r="L91" s="7"/>
      <c r="M91" s="7"/>
      <c r="N91" s="7">
        <f t="shared" si="1"/>
        <v>1</v>
      </c>
      <c r="O91" s="7"/>
    </row>
    <row r="92">
      <c r="A92" s="8" t="s">
        <v>400</v>
      </c>
      <c r="B92" s="9" t="s">
        <v>401</v>
      </c>
      <c r="C92" s="10"/>
      <c r="D92" s="11" t="s">
        <v>7</v>
      </c>
      <c r="E92" s="10"/>
      <c r="F92" s="12" t="s">
        <v>402</v>
      </c>
      <c r="G92" s="13"/>
      <c r="H92" s="10"/>
      <c r="I92" s="17" t="s">
        <v>403</v>
      </c>
      <c r="J92" s="7"/>
      <c r="K92" s="7"/>
      <c r="L92" s="7"/>
      <c r="M92" s="7"/>
      <c r="N92" s="7">
        <f t="shared" si="1"/>
        <v>1</v>
      </c>
      <c r="O92" s="7"/>
    </row>
    <row r="93">
      <c r="A93" s="8" t="s">
        <v>404</v>
      </c>
      <c r="B93" s="9" t="s">
        <v>405</v>
      </c>
      <c r="C93" s="10"/>
      <c r="D93" s="11" t="s">
        <v>406</v>
      </c>
      <c r="E93" s="10"/>
      <c r="F93" s="12" t="s">
        <v>407</v>
      </c>
      <c r="G93" s="13"/>
      <c r="H93" s="10"/>
      <c r="I93" s="14"/>
      <c r="J93" s="7"/>
      <c r="K93" s="7"/>
      <c r="L93" s="7"/>
      <c r="M93" s="7"/>
      <c r="N93" s="7">
        <f t="shared" si="1"/>
        <v>1</v>
      </c>
      <c r="O93" s="7"/>
    </row>
    <row r="94">
      <c r="A94" s="8" t="s">
        <v>408</v>
      </c>
      <c r="B94" s="9" t="s">
        <v>410</v>
      </c>
      <c r="C94" s="10"/>
      <c r="D94" s="11" t="s">
        <v>411</v>
      </c>
      <c r="E94" s="10"/>
      <c r="F94" s="12" t="s">
        <v>144</v>
      </c>
      <c r="G94" s="13"/>
      <c r="H94" s="10"/>
      <c r="I94" s="14"/>
      <c r="J94" s="7"/>
      <c r="K94" s="7"/>
      <c r="L94" s="7"/>
      <c r="M94" s="7"/>
      <c r="N94" s="7">
        <f t="shared" si="1"/>
        <v>1</v>
      </c>
      <c r="O94" s="7"/>
    </row>
    <row r="95">
      <c r="A95" s="8" t="s">
        <v>412</v>
      </c>
      <c r="B95" s="9" t="s">
        <v>413</v>
      </c>
      <c r="C95" s="10"/>
      <c r="D95" s="18" t="s">
        <v>414</v>
      </c>
      <c r="E95" s="10"/>
      <c r="F95" s="16"/>
      <c r="G95" s="13"/>
      <c r="H95" s="10"/>
      <c r="I95" s="14"/>
      <c r="J95" s="7"/>
      <c r="K95" s="7"/>
      <c r="L95" s="7"/>
      <c r="M95" s="7"/>
      <c r="N95" s="7">
        <f t="shared" si="1"/>
        <v>0</v>
      </c>
      <c r="O95" s="7"/>
    </row>
    <row r="96">
      <c r="A96" s="8" t="s">
        <v>415</v>
      </c>
      <c r="B96" s="9" t="s">
        <v>417</v>
      </c>
      <c r="C96" s="10"/>
      <c r="D96" s="18" t="s">
        <v>418</v>
      </c>
      <c r="E96" s="10"/>
      <c r="F96" s="12" t="s">
        <v>419</v>
      </c>
      <c r="G96" s="13"/>
      <c r="H96" s="10"/>
      <c r="I96" s="17" t="s">
        <v>420</v>
      </c>
      <c r="J96" s="7"/>
      <c r="K96" s="7"/>
      <c r="L96" s="7"/>
      <c r="M96" s="7"/>
      <c r="N96" s="7">
        <f t="shared" si="1"/>
        <v>1</v>
      </c>
      <c r="O96" s="7"/>
    </row>
    <row r="97">
      <c r="A97" s="8" t="s">
        <v>421</v>
      </c>
      <c r="B97" s="9" t="s">
        <v>422</v>
      </c>
      <c r="C97" s="10"/>
      <c r="D97" s="11" t="s">
        <v>141</v>
      </c>
      <c r="E97" s="10"/>
      <c r="F97" s="12" t="s">
        <v>144</v>
      </c>
      <c r="G97" s="13"/>
      <c r="H97" s="10"/>
      <c r="I97" s="14"/>
      <c r="J97" s="7"/>
      <c r="K97" s="7"/>
      <c r="L97" s="7"/>
      <c r="M97" s="7"/>
      <c r="N97" s="7">
        <f t="shared" si="1"/>
        <v>1</v>
      </c>
      <c r="O97" s="7"/>
    </row>
    <row r="98">
      <c r="A98" s="8" t="s">
        <v>423</v>
      </c>
      <c r="B98" s="9" t="s">
        <v>424</v>
      </c>
      <c r="C98" s="10"/>
      <c r="D98" s="18" t="s">
        <v>257</v>
      </c>
      <c r="E98" s="10"/>
      <c r="F98" s="12" t="s">
        <v>425</v>
      </c>
      <c r="G98" s="13"/>
      <c r="H98" s="10"/>
      <c r="I98" s="17" t="s">
        <v>427</v>
      </c>
      <c r="J98" s="7"/>
      <c r="K98" s="7"/>
      <c r="L98" s="7"/>
      <c r="M98" s="7"/>
      <c r="N98" s="7">
        <f t="shared" si="1"/>
        <v>1</v>
      </c>
      <c r="O98" s="7"/>
    </row>
    <row r="99">
      <c r="A99" s="8" t="s">
        <v>429</v>
      </c>
      <c r="B99" s="9" t="s">
        <v>430</v>
      </c>
      <c r="C99" s="10"/>
      <c r="D99" s="11" t="s">
        <v>431</v>
      </c>
      <c r="E99" s="10"/>
      <c r="F99" s="16"/>
      <c r="G99" s="13"/>
      <c r="H99" s="10"/>
      <c r="I99" s="14"/>
      <c r="J99" s="7"/>
      <c r="K99" s="7"/>
      <c r="L99" s="7"/>
      <c r="M99" s="7"/>
      <c r="N99" s="7">
        <f t="shared" si="1"/>
        <v>0</v>
      </c>
      <c r="O99" s="7"/>
    </row>
    <row r="100">
      <c r="A100" s="8" t="s">
        <v>432</v>
      </c>
      <c r="B100" s="9" t="s">
        <v>433</v>
      </c>
      <c r="C100" s="10"/>
      <c r="D100" s="11" t="s">
        <v>434</v>
      </c>
      <c r="E100" s="10"/>
      <c r="F100" s="12" t="s">
        <v>435</v>
      </c>
      <c r="G100" s="13"/>
      <c r="H100" s="10"/>
      <c r="I100" s="14"/>
      <c r="J100" s="7"/>
      <c r="K100" s="7"/>
      <c r="L100" s="7"/>
      <c r="M100" s="7"/>
      <c r="N100" s="7">
        <f t="shared" si="1"/>
        <v>1</v>
      </c>
      <c r="O100" s="7"/>
    </row>
    <row r="101">
      <c r="A101" s="8" t="s">
        <v>436</v>
      </c>
      <c r="B101" s="9" t="s">
        <v>437</v>
      </c>
      <c r="C101" s="10"/>
      <c r="D101" s="11" t="s">
        <v>438</v>
      </c>
      <c r="E101" s="10"/>
      <c r="F101" s="12" t="s">
        <v>144</v>
      </c>
      <c r="G101" s="13"/>
      <c r="H101" s="10"/>
      <c r="I101" s="14"/>
      <c r="J101" s="7"/>
      <c r="K101" s="7"/>
      <c r="L101" s="7"/>
      <c r="M101" s="7"/>
      <c r="N101" s="7">
        <f t="shared" si="1"/>
        <v>1</v>
      </c>
      <c r="O101" s="7"/>
    </row>
    <row r="102">
      <c r="A102" s="8" t="s">
        <v>440</v>
      </c>
      <c r="B102" s="9" t="s">
        <v>442</v>
      </c>
      <c r="C102" s="10"/>
      <c r="D102" s="18" t="s">
        <v>443</v>
      </c>
      <c r="E102" s="10"/>
      <c r="F102" s="12" t="s">
        <v>444</v>
      </c>
      <c r="G102" s="13"/>
      <c r="H102" s="10"/>
      <c r="I102" s="17" t="s">
        <v>445</v>
      </c>
      <c r="J102" s="7"/>
      <c r="K102" s="7"/>
      <c r="L102" s="7"/>
      <c r="M102" s="7"/>
      <c r="N102" s="7">
        <f t="shared" si="1"/>
        <v>1</v>
      </c>
      <c r="O102" s="7"/>
    </row>
    <row r="103">
      <c r="A103" s="8" t="s">
        <v>446</v>
      </c>
      <c r="B103" s="9" t="s">
        <v>447</v>
      </c>
      <c r="C103" s="10"/>
      <c r="D103" s="18" t="s">
        <v>448</v>
      </c>
      <c r="E103" s="10"/>
      <c r="F103" s="12" t="s">
        <v>77</v>
      </c>
      <c r="G103" s="13"/>
      <c r="H103" s="10"/>
      <c r="I103" s="14"/>
      <c r="J103" s="7"/>
      <c r="K103" s="7"/>
      <c r="L103" s="7"/>
      <c r="M103" s="7"/>
      <c r="N103" s="7">
        <f t="shared" si="1"/>
        <v>1</v>
      </c>
      <c r="O103" s="7"/>
    </row>
    <row r="104">
      <c r="A104" s="8" t="s">
        <v>449</v>
      </c>
      <c r="B104" s="9" t="s">
        <v>451</v>
      </c>
      <c r="C104" s="10"/>
      <c r="D104" s="9" t="s">
        <v>452</v>
      </c>
      <c r="E104" s="10"/>
      <c r="F104" s="16"/>
      <c r="G104" s="13"/>
      <c r="H104" s="10"/>
      <c r="I104" s="14"/>
      <c r="J104" s="7"/>
      <c r="K104" s="7"/>
      <c r="L104" s="7"/>
      <c r="M104" s="7"/>
      <c r="N104" s="7">
        <f t="shared" si="1"/>
        <v>0</v>
      </c>
      <c r="O104" s="7"/>
    </row>
    <row r="105">
      <c r="A105" s="8" t="s">
        <v>453</v>
      </c>
      <c r="B105" s="9" t="s">
        <v>454</v>
      </c>
      <c r="C105" s="10"/>
      <c r="D105" s="19" t="s">
        <v>1791</v>
      </c>
      <c r="E105" s="10"/>
      <c r="F105" s="12" t="s">
        <v>456</v>
      </c>
      <c r="G105" s="13"/>
      <c r="H105" s="10"/>
      <c r="I105" s="14"/>
      <c r="J105" s="7"/>
      <c r="K105" s="7"/>
      <c r="L105" s="7"/>
      <c r="M105" s="7"/>
      <c r="N105" s="7">
        <f t="shared" si="1"/>
        <v>1</v>
      </c>
      <c r="O105" s="7"/>
    </row>
    <row r="106">
      <c r="A106" s="20" t="s">
        <v>457</v>
      </c>
      <c r="B106" s="9" t="s">
        <v>458</v>
      </c>
      <c r="C106" s="10"/>
      <c r="D106" s="18" t="s">
        <v>459</v>
      </c>
      <c r="E106" s="10"/>
      <c r="F106" s="12" t="s">
        <v>460</v>
      </c>
      <c r="G106" s="13"/>
      <c r="H106" s="10"/>
      <c r="I106" s="17" t="s">
        <v>461</v>
      </c>
      <c r="J106" s="7"/>
      <c r="K106" s="7"/>
      <c r="L106" s="7"/>
      <c r="M106" s="7"/>
      <c r="N106" s="7">
        <f t="shared" si="1"/>
        <v>1</v>
      </c>
      <c r="O106" s="7"/>
    </row>
    <row r="107">
      <c r="A107" s="8" t="s">
        <v>462</v>
      </c>
      <c r="B107" s="9" t="s">
        <v>463</v>
      </c>
      <c r="C107" s="10"/>
      <c r="D107" s="18" t="s">
        <v>464</v>
      </c>
      <c r="E107" s="10"/>
      <c r="F107" s="12" t="s">
        <v>465</v>
      </c>
      <c r="G107" s="13"/>
      <c r="H107" s="10"/>
      <c r="I107" s="17" t="s">
        <v>466</v>
      </c>
      <c r="J107" s="7"/>
      <c r="K107" s="7"/>
      <c r="L107" s="7"/>
      <c r="M107" s="7"/>
      <c r="N107" s="7">
        <f t="shared" si="1"/>
        <v>1</v>
      </c>
      <c r="O107" s="7"/>
    </row>
    <row r="108">
      <c r="A108" s="8" t="s">
        <v>467</v>
      </c>
      <c r="B108" s="9" t="s">
        <v>468</v>
      </c>
      <c r="C108" s="10"/>
      <c r="D108" s="19" t="s">
        <v>1794</v>
      </c>
      <c r="E108" s="10"/>
      <c r="F108" s="12" t="s">
        <v>470</v>
      </c>
      <c r="G108" s="13"/>
      <c r="H108" s="10"/>
      <c r="I108" s="14"/>
      <c r="J108" s="7"/>
      <c r="K108" s="7"/>
      <c r="L108" s="7"/>
      <c r="M108" s="7"/>
      <c r="N108" s="7">
        <f t="shared" si="1"/>
        <v>1</v>
      </c>
      <c r="O108" s="7"/>
    </row>
    <row r="109">
      <c r="A109" s="8" t="s">
        <v>471</v>
      </c>
      <c r="B109" s="9" t="s">
        <v>472</v>
      </c>
      <c r="C109" s="10"/>
      <c r="D109" s="18" t="s">
        <v>473</v>
      </c>
      <c r="E109" s="10"/>
      <c r="F109" s="12" t="s">
        <v>474</v>
      </c>
      <c r="G109" s="13"/>
      <c r="H109" s="10"/>
      <c r="I109" s="14"/>
      <c r="J109" s="7"/>
      <c r="K109" s="7"/>
      <c r="L109" s="7"/>
      <c r="M109" s="7"/>
      <c r="N109" s="7">
        <f t="shared" si="1"/>
        <v>1</v>
      </c>
      <c r="O109" s="7"/>
    </row>
    <row r="110">
      <c r="A110" s="8" t="s">
        <v>476</v>
      </c>
      <c r="B110" s="9" t="s">
        <v>478</v>
      </c>
      <c r="C110" s="10"/>
      <c r="D110" s="19" t="s">
        <v>1795</v>
      </c>
      <c r="E110" s="10"/>
      <c r="F110" s="12" t="s">
        <v>480</v>
      </c>
      <c r="G110" s="13"/>
      <c r="H110" s="10"/>
      <c r="I110" s="14"/>
      <c r="J110" s="7"/>
      <c r="K110" s="7"/>
      <c r="L110" s="7"/>
      <c r="M110" s="7"/>
      <c r="N110" s="7">
        <f t="shared" si="1"/>
        <v>1</v>
      </c>
      <c r="O110" s="7"/>
    </row>
    <row r="111">
      <c r="A111" s="8" t="s">
        <v>482</v>
      </c>
      <c r="B111" s="9" t="s">
        <v>483</v>
      </c>
      <c r="C111" s="10"/>
      <c r="D111" s="11" t="s">
        <v>7</v>
      </c>
      <c r="E111" s="10"/>
      <c r="F111" s="12" t="s">
        <v>484</v>
      </c>
      <c r="G111" s="13"/>
      <c r="H111" s="10"/>
      <c r="I111" s="14"/>
      <c r="J111" s="7"/>
      <c r="K111" s="7"/>
      <c r="L111" s="7"/>
      <c r="M111" s="7"/>
      <c r="N111" s="7">
        <f t="shared" si="1"/>
        <v>1</v>
      </c>
      <c r="O111" s="7"/>
    </row>
    <row r="112">
      <c r="A112" s="8" t="s">
        <v>485</v>
      </c>
      <c r="B112" s="9" t="s">
        <v>487</v>
      </c>
      <c r="C112" s="10"/>
      <c r="D112" s="9" t="s">
        <v>488</v>
      </c>
      <c r="E112" s="10"/>
      <c r="F112" s="16"/>
      <c r="G112" s="13"/>
      <c r="H112" s="10"/>
      <c r="I112" s="14"/>
      <c r="J112" s="7"/>
      <c r="K112" s="7"/>
      <c r="L112" s="7"/>
      <c r="M112" s="7"/>
      <c r="N112" s="7">
        <f t="shared" si="1"/>
        <v>0</v>
      </c>
      <c r="O112" s="7"/>
    </row>
    <row r="113">
      <c r="A113" s="8" t="s">
        <v>489</v>
      </c>
      <c r="B113" s="15" t="s">
        <v>490</v>
      </c>
      <c r="C113" s="10"/>
      <c r="D113" s="11" t="s">
        <v>491</v>
      </c>
      <c r="E113" s="10"/>
      <c r="F113" s="12" t="s">
        <v>493</v>
      </c>
      <c r="G113" s="13"/>
      <c r="H113" s="10"/>
      <c r="I113" s="14"/>
      <c r="J113" s="7"/>
      <c r="K113" s="7"/>
      <c r="L113" s="7"/>
      <c r="M113" s="7"/>
      <c r="N113" s="7">
        <f t="shared" si="1"/>
        <v>1</v>
      </c>
      <c r="O113" s="7"/>
    </row>
    <row r="114">
      <c r="A114" s="8" t="s">
        <v>494</v>
      </c>
      <c r="B114" s="9" t="s">
        <v>495</v>
      </c>
      <c r="C114" s="10"/>
      <c r="D114" s="18" t="s">
        <v>496</v>
      </c>
      <c r="E114" s="10"/>
      <c r="F114" s="16"/>
      <c r="G114" s="13"/>
      <c r="H114" s="10"/>
      <c r="I114" s="14"/>
      <c r="J114" s="7"/>
      <c r="K114" s="7"/>
      <c r="L114" s="7"/>
      <c r="M114" s="7"/>
      <c r="N114" s="7">
        <f t="shared" si="1"/>
        <v>0</v>
      </c>
      <c r="O114" s="7"/>
    </row>
    <row r="115">
      <c r="A115" s="8" t="s">
        <v>497</v>
      </c>
      <c r="B115" s="9" t="s">
        <v>498</v>
      </c>
      <c r="C115" s="10"/>
      <c r="D115" s="11" t="s">
        <v>141</v>
      </c>
      <c r="E115" s="10"/>
      <c r="F115" s="12" t="s">
        <v>144</v>
      </c>
      <c r="G115" s="13"/>
      <c r="H115" s="10"/>
      <c r="I115" s="14"/>
      <c r="J115" s="7"/>
      <c r="K115" s="7"/>
      <c r="L115" s="7"/>
      <c r="M115" s="7"/>
      <c r="N115" s="7">
        <f t="shared" si="1"/>
        <v>1</v>
      </c>
      <c r="O115" s="7"/>
    </row>
    <row r="116">
      <c r="A116" s="8" t="s">
        <v>499</v>
      </c>
      <c r="B116" s="9" t="s">
        <v>184</v>
      </c>
      <c r="C116" s="10"/>
      <c r="D116" s="18" t="s">
        <v>500</v>
      </c>
      <c r="E116" s="10"/>
      <c r="F116" s="16"/>
      <c r="G116" s="13"/>
      <c r="H116" s="10"/>
      <c r="I116" s="14"/>
      <c r="J116" s="7"/>
      <c r="K116" s="7"/>
      <c r="L116" s="7"/>
      <c r="M116" s="7"/>
      <c r="N116" s="7">
        <f t="shared" si="1"/>
        <v>0</v>
      </c>
      <c r="O116" s="7"/>
    </row>
    <row r="117">
      <c r="A117" s="8" t="s">
        <v>501</v>
      </c>
      <c r="B117" s="9" t="s">
        <v>502</v>
      </c>
      <c r="C117" s="10"/>
      <c r="D117" s="19" t="s">
        <v>1800</v>
      </c>
      <c r="E117" s="10"/>
      <c r="F117" s="12" t="s">
        <v>504</v>
      </c>
      <c r="G117" s="13"/>
      <c r="H117" s="10"/>
      <c r="I117" s="14"/>
      <c r="J117" s="7"/>
      <c r="K117" s="7"/>
      <c r="L117" s="7"/>
      <c r="M117" s="7"/>
      <c r="N117" s="7">
        <f t="shared" si="1"/>
        <v>1</v>
      </c>
      <c r="O117" s="7"/>
    </row>
    <row r="118">
      <c r="A118" s="8" t="s">
        <v>505</v>
      </c>
      <c r="B118" s="9" t="s">
        <v>506</v>
      </c>
      <c r="C118" s="10"/>
      <c r="D118" s="11" t="s">
        <v>7</v>
      </c>
      <c r="E118" s="10"/>
      <c r="F118" s="12" t="s">
        <v>507</v>
      </c>
      <c r="G118" s="13"/>
      <c r="H118" s="10"/>
      <c r="I118" s="14"/>
      <c r="J118" s="7"/>
      <c r="K118" s="7"/>
      <c r="L118" s="7"/>
      <c r="M118" s="7"/>
      <c r="N118" s="7">
        <f t="shared" si="1"/>
        <v>1</v>
      </c>
      <c r="O118" s="7"/>
    </row>
    <row r="119">
      <c r="A119" s="8" t="s">
        <v>508</v>
      </c>
      <c r="B119" s="9" t="s">
        <v>510</v>
      </c>
      <c r="C119" s="10"/>
      <c r="D119" s="11" t="s">
        <v>7</v>
      </c>
      <c r="E119" s="10"/>
      <c r="F119" s="12" t="s">
        <v>512</v>
      </c>
      <c r="G119" s="13"/>
      <c r="H119" s="10"/>
      <c r="I119" s="14"/>
      <c r="J119" s="7"/>
      <c r="K119" s="7"/>
      <c r="L119" s="7"/>
      <c r="M119" s="7"/>
      <c r="N119" s="7">
        <f t="shared" si="1"/>
        <v>1</v>
      </c>
      <c r="O119" s="7"/>
    </row>
    <row r="120">
      <c r="A120" s="8" t="s">
        <v>513</v>
      </c>
      <c r="B120" s="9" t="s">
        <v>514</v>
      </c>
      <c r="C120" s="10"/>
      <c r="D120" s="18" t="s">
        <v>464</v>
      </c>
      <c r="E120" s="10"/>
      <c r="F120" s="12" t="s">
        <v>515</v>
      </c>
      <c r="G120" s="13"/>
      <c r="H120" s="10"/>
      <c r="I120" s="14"/>
      <c r="J120" s="7"/>
      <c r="K120" s="7"/>
      <c r="L120" s="7"/>
      <c r="M120" s="7"/>
      <c r="N120" s="7">
        <f t="shared" si="1"/>
        <v>1</v>
      </c>
      <c r="O120" s="7"/>
    </row>
    <row r="121">
      <c r="A121" s="8" t="s">
        <v>516</v>
      </c>
      <c r="B121" s="9" t="s">
        <v>517</v>
      </c>
      <c r="C121" s="10"/>
      <c r="D121" s="21" t="s">
        <v>1801</v>
      </c>
      <c r="E121" s="10"/>
      <c r="F121" s="12" t="s">
        <v>519</v>
      </c>
      <c r="G121" s="13"/>
      <c r="H121" s="10"/>
      <c r="I121" s="17" t="s">
        <v>520</v>
      </c>
      <c r="J121" s="7"/>
      <c r="K121" s="7"/>
      <c r="L121" s="7"/>
      <c r="M121" s="7"/>
      <c r="N121" s="7">
        <f t="shared" si="1"/>
        <v>1</v>
      </c>
      <c r="O121" s="7"/>
    </row>
    <row r="122">
      <c r="A122" s="8" t="s">
        <v>521</v>
      </c>
      <c r="B122" s="9" t="s">
        <v>522</v>
      </c>
      <c r="C122" s="10"/>
      <c r="D122" s="18" t="s">
        <v>523</v>
      </c>
      <c r="E122" s="10"/>
      <c r="F122" s="12" t="s">
        <v>524</v>
      </c>
      <c r="G122" s="13"/>
      <c r="H122" s="10"/>
      <c r="I122" s="14"/>
      <c r="J122" s="7"/>
      <c r="K122" s="7"/>
      <c r="L122" s="7"/>
      <c r="M122" s="7"/>
      <c r="N122" s="7">
        <f t="shared" si="1"/>
        <v>1</v>
      </c>
      <c r="O122" s="7"/>
    </row>
    <row r="123">
      <c r="A123" s="20" t="s">
        <v>631</v>
      </c>
      <c r="B123" s="15" t="s">
        <v>526</v>
      </c>
      <c r="C123" s="10"/>
      <c r="D123" s="15" t="s">
        <v>527</v>
      </c>
      <c r="E123" s="10"/>
      <c r="F123" s="12" t="s">
        <v>528</v>
      </c>
      <c r="G123" s="13"/>
      <c r="H123" s="10"/>
      <c r="I123" s="14"/>
      <c r="J123" s="7"/>
      <c r="K123" s="7"/>
      <c r="L123" s="7"/>
      <c r="M123" s="7"/>
      <c r="N123" s="7">
        <f t="shared" si="1"/>
        <v>1</v>
      </c>
      <c r="O123" s="7"/>
    </row>
    <row r="124">
      <c r="A124" s="20" t="s">
        <v>530</v>
      </c>
      <c r="B124" s="9"/>
      <c r="C124" s="10"/>
      <c r="D124" s="15" t="s">
        <v>531</v>
      </c>
      <c r="E124" s="10"/>
      <c r="F124" s="12" t="s">
        <v>532</v>
      </c>
      <c r="G124" s="13"/>
      <c r="H124" s="10"/>
      <c r="I124" s="14"/>
      <c r="J124" s="7"/>
      <c r="K124" s="7"/>
      <c r="L124" s="7"/>
      <c r="M124" s="7"/>
      <c r="N124" s="7">
        <f t="shared" si="1"/>
        <v>1</v>
      </c>
      <c r="O124" s="7"/>
    </row>
    <row r="125">
      <c r="A125" s="20" t="s">
        <v>533</v>
      </c>
      <c r="B125" s="9"/>
      <c r="C125" s="10"/>
      <c r="D125" s="15" t="s">
        <v>535</v>
      </c>
      <c r="E125" s="10"/>
      <c r="F125" s="12" t="s">
        <v>536</v>
      </c>
      <c r="G125" s="13"/>
      <c r="H125" s="10"/>
      <c r="I125" s="14"/>
      <c r="J125" s="7"/>
      <c r="K125" s="7"/>
      <c r="L125" s="7"/>
      <c r="M125" s="7"/>
      <c r="N125" s="7">
        <f t="shared" si="1"/>
        <v>1</v>
      </c>
      <c r="O125" s="7"/>
    </row>
    <row r="126">
      <c r="A126" s="20" t="s">
        <v>537</v>
      </c>
      <c r="B126" s="9"/>
      <c r="C126" s="10"/>
      <c r="D126" s="15" t="s">
        <v>538</v>
      </c>
      <c r="E126" s="10"/>
      <c r="F126" s="12" t="s">
        <v>539</v>
      </c>
      <c r="G126" s="13"/>
      <c r="H126" s="10"/>
      <c r="I126" s="14"/>
      <c r="J126" s="7"/>
      <c r="K126" s="7"/>
      <c r="L126" s="7"/>
      <c r="M126" s="7"/>
      <c r="N126" s="7">
        <f t="shared" si="1"/>
        <v>1</v>
      </c>
      <c r="O126" s="7"/>
    </row>
    <row r="127">
      <c r="A127" s="20" t="s">
        <v>540</v>
      </c>
      <c r="B127" s="9"/>
      <c r="C127" s="10"/>
      <c r="D127" s="15" t="s">
        <v>542</v>
      </c>
      <c r="E127" s="10"/>
      <c r="F127" s="12" t="s">
        <v>543</v>
      </c>
      <c r="G127" s="13"/>
      <c r="H127" s="10"/>
      <c r="I127" s="14"/>
      <c r="J127" s="7"/>
      <c r="K127" s="7"/>
      <c r="L127" s="7"/>
      <c r="M127" s="7"/>
      <c r="N127" s="7">
        <f t="shared" si="1"/>
        <v>1</v>
      </c>
      <c r="O127" s="7"/>
    </row>
    <row r="128">
      <c r="A128" s="20" t="s">
        <v>544</v>
      </c>
      <c r="B128" s="9"/>
      <c r="C128" s="10"/>
      <c r="D128" s="15" t="s">
        <v>542</v>
      </c>
      <c r="E128" s="10"/>
      <c r="F128" s="12" t="s">
        <v>545</v>
      </c>
      <c r="G128" s="13"/>
      <c r="H128" s="10"/>
      <c r="I128" s="14"/>
      <c r="J128" s="7"/>
      <c r="K128" s="7"/>
      <c r="L128" s="7"/>
      <c r="M128" s="7"/>
      <c r="N128" s="7">
        <f t="shared" si="1"/>
        <v>1</v>
      </c>
      <c r="O128" s="7"/>
    </row>
    <row r="129">
      <c r="A129" s="20" t="s">
        <v>546</v>
      </c>
      <c r="B129" s="9"/>
      <c r="C129" s="10"/>
      <c r="D129" s="15" t="s">
        <v>547</v>
      </c>
      <c r="E129" s="10"/>
      <c r="F129" s="12" t="s">
        <v>548</v>
      </c>
      <c r="G129" s="13"/>
      <c r="H129" s="10"/>
      <c r="I129" s="14"/>
      <c r="J129" s="7"/>
      <c r="K129" s="7"/>
      <c r="L129" s="7"/>
      <c r="M129" s="7"/>
      <c r="N129" s="7">
        <f t="shared" si="1"/>
        <v>1</v>
      </c>
      <c r="O129" s="7"/>
    </row>
    <row r="130">
      <c r="A130" s="20" t="s">
        <v>550</v>
      </c>
      <c r="B130" s="9"/>
      <c r="C130" s="10"/>
      <c r="D130" s="15" t="s">
        <v>551</v>
      </c>
      <c r="E130" s="10"/>
      <c r="F130" s="12" t="s">
        <v>552</v>
      </c>
      <c r="G130" s="13"/>
      <c r="H130" s="10"/>
      <c r="I130" s="17" t="s">
        <v>20</v>
      </c>
      <c r="J130" s="7"/>
      <c r="K130" s="7"/>
      <c r="L130" s="7"/>
      <c r="M130" s="7"/>
      <c r="N130" s="7">
        <f t="shared" si="1"/>
        <v>1</v>
      </c>
      <c r="O130" s="7"/>
    </row>
    <row r="131">
      <c r="A131" s="20" t="s">
        <v>553</v>
      </c>
      <c r="B131" s="9"/>
      <c r="C131" s="10"/>
      <c r="D131" s="15" t="s">
        <v>554</v>
      </c>
      <c r="E131" s="10"/>
      <c r="F131" s="12" t="s">
        <v>555</v>
      </c>
      <c r="G131" s="13"/>
      <c r="H131" s="10"/>
      <c r="I131" s="17" t="s">
        <v>260</v>
      </c>
      <c r="J131" s="7"/>
      <c r="K131" s="7"/>
      <c r="L131" s="7"/>
      <c r="M131" s="7"/>
      <c r="N131" s="7">
        <f t="shared" si="1"/>
        <v>1</v>
      </c>
      <c r="O131" s="7"/>
    </row>
    <row r="132">
      <c r="A132" s="8" t="s">
        <v>156</v>
      </c>
      <c r="B132" s="9" t="s">
        <v>156</v>
      </c>
      <c r="C132" s="10"/>
      <c r="D132" s="18" t="s">
        <v>573</v>
      </c>
      <c r="E132" s="10"/>
      <c r="F132" s="16"/>
      <c r="G132" s="13"/>
      <c r="H132" s="10"/>
      <c r="I132" s="14"/>
      <c r="J132" s="7"/>
      <c r="K132" s="7"/>
      <c r="L132" s="7"/>
      <c r="M132" s="7"/>
      <c r="N132" s="7">
        <f t="shared" si="1"/>
        <v>0</v>
      </c>
      <c r="O132" s="7"/>
    </row>
    <row r="133">
      <c r="A133" s="7"/>
      <c r="B133" s="7"/>
      <c r="C133" s="7"/>
      <c r="D133" s="7"/>
      <c r="E133" s="7"/>
      <c r="F133" s="7"/>
      <c r="G133" s="7"/>
      <c r="H133" s="7"/>
      <c r="I133" s="7"/>
      <c r="J133" s="7"/>
      <c r="K133" s="7"/>
      <c r="L133" s="7"/>
      <c r="M133" s="7"/>
      <c r="N133" s="7"/>
      <c r="O133" s="7">
        <f>SUM(N3:N133)</f>
        <v>101</v>
      </c>
      <c r="P133" s="7"/>
      <c r="Q133" s="7"/>
      <c r="R133" s="7"/>
      <c r="S133" s="7"/>
      <c r="T133" s="7"/>
      <c r="U133" s="7"/>
      <c r="V133" s="7"/>
      <c r="W133" s="7"/>
      <c r="X133" s="7"/>
      <c r="Y133" s="7"/>
      <c r="Z133" s="7"/>
    </row>
    <row r="134">
      <c r="A134" s="25" t="s">
        <v>576</v>
      </c>
      <c r="B134" s="25" t="s">
        <v>577</v>
      </c>
      <c r="C134" s="25" t="s">
        <v>578</v>
      </c>
      <c r="D134" s="25" t="s">
        <v>579</v>
      </c>
      <c r="E134" s="25" t="s">
        <v>580</v>
      </c>
      <c r="F134" s="25" t="s">
        <v>581</v>
      </c>
      <c r="G134" s="25"/>
      <c r="H134" s="25"/>
      <c r="I134" s="25" t="s">
        <v>4</v>
      </c>
      <c r="J134" s="7"/>
      <c r="K134" s="7"/>
      <c r="L134" s="7"/>
      <c r="M134" s="7"/>
      <c r="N134" s="7"/>
      <c r="O134" s="7"/>
    </row>
    <row r="135">
      <c r="A135" s="26" t="s">
        <v>582</v>
      </c>
      <c r="B135" s="26" t="s">
        <v>583</v>
      </c>
      <c r="C135" s="26" t="s">
        <v>584</v>
      </c>
      <c r="D135" s="27"/>
      <c r="E135" s="28" t="s">
        <v>585</v>
      </c>
      <c r="F135" s="29"/>
      <c r="G135" s="13"/>
      <c r="H135" s="10"/>
      <c r="I135" s="29"/>
      <c r="J135" s="7"/>
      <c r="K135" s="7"/>
      <c r="L135" s="7"/>
      <c r="M135" s="7"/>
      <c r="N135" s="7">
        <f t="shared" ref="N135:N329" si="2"> IF(ISBLANK(F135), 0, 1)</f>
        <v>0</v>
      </c>
      <c r="O135" s="7"/>
    </row>
    <row r="136">
      <c r="A136" s="26" t="s">
        <v>587</v>
      </c>
      <c r="B136" s="26" t="s">
        <v>588</v>
      </c>
      <c r="C136" s="26" t="s">
        <v>589</v>
      </c>
      <c r="D136" s="27"/>
      <c r="E136" s="28" t="s">
        <v>591</v>
      </c>
      <c r="F136" s="30" t="s">
        <v>592</v>
      </c>
      <c r="G136" s="13"/>
      <c r="H136" s="10"/>
      <c r="I136" s="29"/>
      <c r="J136" s="7"/>
      <c r="K136" s="7"/>
      <c r="L136" s="7"/>
      <c r="M136" s="7"/>
      <c r="N136" s="7">
        <f t="shared" si="2"/>
        <v>1</v>
      </c>
      <c r="O136" s="7"/>
    </row>
    <row r="137">
      <c r="A137" s="26" t="s">
        <v>596</v>
      </c>
      <c r="B137" s="26" t="s">
        <v>597</v>
      </c>
      <c r="C137" s="26" t="s">
        <v>589</v>
      </c>
      <c r="D137" s="26" t="s">
        <v>598</v>
      </c>
      <c r="E137" s="28" t="s">
        <v>599</v>
      </c>
      <c r="F137" s="29"/>
      <c r="G137" s="13"/>
      <c r="H137" s="10"/>
      <c r="I137" s="29"/>
      <c r="J137" s="7"/>
      <c r="K137" s="7"/>
      <c r="L137" s="7"/>
      <c r="M137" s="7"/>
      <c r="N137" s="7">
        <f t="shared" si="2"/>
        <v>0</v>
      </c>
      <c r="O137" s="7"/>
    </row>
    <row r="138">
      <c r="A138" s="26" t="s">
        <v>602</v>
      </c>
      <c r="B138" s="31" t="s">
        <v>603</v>
      </c>
      <c r="C138" s="26" t="s">
        <v>589</v>
      </c>
      <c r="D138" s="27"/>
      <c r="E138" s="32" t="s">
        <v>604</v>
      </c>
      <c r="F138" s="30" t="s">
        <v>605</v>
      </c>
      <c r="G138" s="13"/>
      <c r="H138" s="10"/>
      <c r="I138" s="30" t="s">
        <v>520</v>
      </c>
      <c r="J138" s="7"/>
      <c r="K138" s="7"/>
      <c r="L138" s="7"/>
      <c r="M138" s="7"/>
      <c r="N138" s="7">
        <f t="shared" si="2"/>
        <v>1</v>
      </c>
      <c r="O138" s="7"/>
    </row>
    <row r="139">
      <c r="A139" s="26" t="s">
        <v>606</v>
      </c>
      <c r="B139" s="26" t="s">
        <v>607</v>
      </c>
      <c r="C139" s="26" t="s">
        <v>584</v>
      </c>
      <c r="D139" s="27"/>
      <c r="E139" s="32" t="s">
        <v>608</v>
      </c>
      <c r="F139" s="30" t="s">
        <v>609</v>
      </c>
      <c r="G139" s="13"/>
      <c r="H139" s="10"/>
      <c r="I139" s="29"/>
      <c r="J139" s="7"/>
      <c r="K139" s="7"/>
      <c r="L139" s="7"/>
      <c r="M139" s="7"/>
      <c r="N139" s="7">
        <f t="shared" si="2"/>
        <v>1</v>
      </c>
      <c r="O139" s="7"/>
    </row>
    <row r="140">
      <c r="A140" s="26" t="s">
        <v>610</v>
      </c>
      <c r="B140" s="31" t="s">
        <v>611</v>
      </c>
      <c r="C140" s="26" t="s">
        <v>589</v>
      </c>
      <c r="D140" s="27"/>
      <c r="E140" s="28" t="s">
        <v>612</v>
      </c>
      <c r="F140" s="30" t="s">
        <v>613</v>
      </c>
      <c r="G140" s="13"/>
      <c r="H140" s="10"/>
      <c r="I140" s="29"/>
      <c r="J140" s="7"/>
      <c r="K140" s="7"/>
      <c r="L140" s="7"/>
      <c r="M140" s="7"/>
      <c r="N140" s="7">
        <f t="shared" si="2"/>
        <v>1</v>
      </c>
      <c r="O140" s="7"/>
    </row>
    <row r="141">
      <c r="A141" s="26" t="s">
        <v>614</v>
      </c>
      <c r="B141" s="31" t="s">
        <v>615</v>
      </c>
      <c r="C141" s="26" t="s">
        <v>589</v>
      </c>
      <c r="D141" s="27"/>
      <c r="E141" s="28" t="s">
        <v>616</v>
      </c>
      <c r="F141" s="30" t="s">
        <v>617</v>
      </c>
      <c r="G141" s="13"/>
      <c r="H141" s="10"/>
      <c r="I141" s="29"/>
      <c r="J141" s="7"/>
      <c r="K141" s="7"/>
      <c r="L141" s="7"/>
      <c r="M141" s="7"/>
      <c r="N141" s="7">
        <f t="shared" si="2"/>
        <v>1</v>
      </c>
      <c r="O141" s="7"/>
    </row>
    <row r="142">
      <c r="A142" s="31" t="s">
        <v>614</v>
      </c>
      <c r="B142" s="26" t="s">
        <v>618</v>
      </c>
      <c r="C142" s="26" t="s">
        <v>589</v>
      </c>
      <c r="D142" s="27"/>
      <c r="E142" s="28" t="s">
        <v>619</v>
      </c>
      <c r="F142" s="30" t="s">
        <v>617</v>
      </c>
      <c r="G142" s="13"/>
      <c r="H142" s="10"/>
      <c r="I142" s="29"/>
      <c r="J142" s="7"/>
      <c r="K142" s="7"/>
      <c r="L142" s="7"/>
      <c r="M142" s="7"/>
      <c r="N142" s="7">
        <f t="shared" si="2"/>
        <v>1</v>
      </c>
      <c r="O142" s="7"/>
    </row>
    <row r="143">
      <c r="A143" s="31" t="s">
        <v>614</v>
      </c>
      <c r="B143" s="26" t="s">
        <v>615</v>
      </c>
      <c r="C143" s="26" t="s">
        <v>589</v>
      </c>
      <c r="D143" s="27"/>
      <c r="E143" s="28" t="s">
        <v>620</v>
      </c>
      <c r="F143" s="30" t="s">
        <v>617</v>
      </c>
      <c r="G143" s="13"/>
      <c r="H143" s="10"/>
      <c r="I143" s="29"/>
      <c r="J143" s="7"/>
      <c r="K143" s="7"/>
      <c r="L143" s="7"/>
      <c r="M143" s="7"/>
      <c r="N143" s="7">
        <f t="shared" si="2"/>
        <v>1</v>
      </c>
      <c r="O143" s="7"/>
    </row>
    <row r="144">
      <c r="A144" s="26" t="s">
        <v>623</v>
      </c>
      <c r="B144" s="26" t="s">
        <v>624</v>
      </c>
      <c r="C144" s="26" t="s">
        <v>584</v>
      </c>
      <c r="D144" s="33" t="s">
        <v>1804</v>
      </c>
      <c r="E144" s="28" t="s">
        <v>626</v>
      </c>
      <c r="F144" s="30" t="s">
        <v>627</v>
      </c>
      <c r="G144" s="13"/>
      <c r="H144" s="10"/>
      <c r="I144" s="29"/>
      <c r="J144" s="7"/>
      <c r="K144" s="7"/>
      <c r="L144" s="7"/>
      <c r="M144" s="7"/>
      <c r="N144" s="7">
        <f t="shared" si="2"/>
        <v>1</v>
      </c>
      <c r="O144" s="7"/>
    </row>
    <row r="145">
      <c r="A145" s="26" t="s">
        <v>628</v>
      </c>
      <c r="B145" s="26" t="s">
        <v>629</v>
      </c>
      <c r="C145" s="26" t="s">
        <v>589</v>
      </c>
      <c r="D145" s="27"/>
      <c r="E145" s="28" t="s">
        <v>630</v>
      </c>
      <c r="F145" s="30" t="s">
        <v>632</v>
      </c>
      <c r="G145" s="13"/>
      <c r="H145" s="10"/>
      <c r="I145" s="29"/>
      <c r="J145" s="7"/>
      <c r="K145" s="7"/>
      <c r="L145" s="7"/>
      <c r="M145" s="7"/>
      <c r="N145" s="7">
        <f t="shared" si="2"/>
        <v>1</v>
      </c>
      <c r="O145" s="7"/>
    </row>
    <row r="146">
      <c r="A146" s="26" t="s">
        <v>633</v>
      </c>
      <c r="B146" s="26" t="s">
        <v>634</v>
      </c>
      <c r="C146" s="26" t="s">
        <v>584</v>
      </c>
      <c r="D146" s="26" t="s">
        <v>635</v>
      </c>
      <c r="E146" s="28" t="s">
        <v>636</v>
      </c>
      <c r="F146" s="29"/>
      <c r="G146" s="13"/>
      <c r="H146" s="10"/>
      <c r="I146" s="29"/>
      <c r="J146" s="7"/>
      <c r="K146" s="7"/>
      <c r="L146" s="7"/>
      <c r="M146" s="7"/>
      <c r="N146" s="7">
        <f t="shared" si="2"/>
        <v>0</v>
      </c>
      <c r="O146" s="7"/>
    </row>
    <row r="147">
      <c r="A147" s="31" t="s">
        <v>637</v>
      </c>
      <c r="B147" s="26" t="s">
        <v>638</v>
      </c>
      <c r="C147" s="26" t="s">
        <v>589</v>
      </c>
      <c r="D147" s="27"/>
      <c r="E147" s="33" t="s">
        <v>1805</v>
      </c>
      <c r="F147" s="30" t="s">
        <v>640</v>
      </c>
      <c r="G147" s="13"/>
      <c r="H147" s="10"/>
      <c r="I147" s="29"/>
      <c r="J147" s="7"/>
      <c r="K147" s="7"/>
      <c r="L147" s="7"/>
      <c r="M147" s="7"/>
      <c r="N147" s="7">
        <f t="shared" si="2"/>
        <v>1</v>
      </c>
      <c r="O147" s="7"/>
    </row>
    <row r="148">
      <c r="A148" s="26" t="s">
        <v>641</v>
      </c>
      <c r="B148" s="26" t="s">
        <v>642</v>
      </c>
      <c r="C148" s="26" t="s">
        <v>589</v>
      </c>
      <c r="D148" s="27"/>
      <c r="E148" s="28" t="s">
        <v>643</v>
      </c>
      <c r="F148" s="30" t="s">
        <v>645</v>
      </c>
      <c r="G148" s="13"/>
      <c r="H148" s="10"/>
      <c r="I148" s="29"/>
      <c r="J148" s="7"/>
      <c r="K148" s="7"/>
      <c r="L148" s="7"/>
      <c r="M148" s="7"/>
      <c r="N148" s="7">
        <f t="shared" si="2"/>
        <v>1</v>
      </c>
      <c r="O148" s="7"/>
    </row>
    <row r="149">
      <c r="A149" s="26" t="s">
        <v>646</v>
      </c>
      <c r="B149" s="26" t="s">
        <v>647</v>
      </c>
      <c r="C149" s="26" t="s">
        <v>648</v>
      </c>
      <c r="D149" s="27"/>
      <c r="E149" s="28" t="s">
        <v>649</v>
      </c>
      <c r="F149" s="29"/>
      <c r="G149" s="13"/>
      <c r="H149" s="10"/>
      <c r="I149" s="29"/>
      <c r="J149" s="7"/>
      <c r="K149" s="7"/>
      <c r="L149" s="7"/>
      <c r="M149" s="7"/>
      <c r="N149" s="7">
        <f t="shared" si="2"/>
        <v>0</v>
      </c>
      <c r="O149" s="7"/>
    </row>
    <row r="150">
      <c r="A150" s="26" t="s">
        <v>650</v>
      </c>
      <c r="B150" s="26" t="s">
        <v>651</v>
      </c>
      <c r="C150" s="26" t="s">
        <v>589</v>
      </c>
      <c r="D150" s="27"/>
      <c r="E150" s="28" t="s">
        <v>652</v>
      </c>
      <c r="F150" s="29"/>
      <c r="G150" s="13"/>
      <c r="H150" s="10"/>
      <c r="I150" s="29"/>
      <c r="J150" s="7"/>
      <c r="K150" s="7"/>
      <c r="L150" s="7"/>
      <c r="M150" s="7"/>
      <c r="N150" s="7">
        <f t="shared" si="2"/>
        <v>0</v>
      </c>
      <c r="O150" s="7"/>
    </row>
    <row r="151">
      <c r="A151" s="26" t="s">
        <v>654</v>
      </c>
      <c r="B151" s="26" t="s">
        <v>655</v>
      </c>
      <c r="C151" s="26" t="s">
        <v>589</v>
      </c>
      <c r="D151" s="26" t="s">
        <v>635</v>
      </c>
      <c r="E151" s="28" t="s">
        <v>656</v>
      </c>
      <c r="F151" s="29"/>
      <c r="G151" s="13"/>
      <c r="H151" s="10"/>
      <c r="I151" s="29"/>
      <c r="J151" s="7"/>
      <c r="K151" s="7"/>
      <c r="L151" s="7"/>
      <c r="M151" s="7"/>
      <c r="N151" s="7">
        <f t="shared" si="2"/>
        <v>0</v>
      </c>
      <c r="O151" s="7"/>
    </row>
    <row r="152">
      <c r="A152" s="26" t="s">
        <v>657</v>
      </c>
      <c r="B152" s="26" t="s">
        <v>658</v>
      </c>
      <c r="C152" s="26" t="s">
        <v>589</v>
      </c>
      <c r="D152" s="27"/>
      <c r="E152" s="28" t="s">
        <v>659</v>
      </c>
      <c r="F152" s="29"/>
      <c r="G152" s="13"/>
      <c r="H152" s="10"/>
      <c r="I152" s="29"/>
      <c r="J152" s="7"/>
      <c r="K152" s="7"/>
      <c r="L152" s="7"/>
      <c r="M152" s="7"/>
      <c r="N152" s="7">
        <f t="shared" si="2"/>
        <v>0</v>
      </c>
      <c r="O152" s="7"/>
    </row>
    <row r="153">
      <c r="A153" s="26" t="s">
        <v>660</v>
      </c>
      <c r="B153" s="26" t="s">
        <v>661</v>
      </c>
      <c r="C153" s="26" t="s">
        <v>589</v>
      </c>
      <c r="D153" s="27"/>
      <c r="E153" s="33" t="s">
        <v>1810</v>
      </c>
      <c r="F153" s="30" t="s">
        <v>663</v>
      </c>
      <c r="G153" s="13"/>
      <c r="H153" s="10"/>
      <c r="I153" s="29"/>
      <c r="J153" s="7"/>
      <c r="K153" s="7"/>
      <c r="L153" s="7"/>
      <c r="M153" s="7"/>
      <c r="N153" s="7">
        <f t="shared" si="2"/>
        <v>1</v>
      </c>
      <c r="O153" s="7"/>
    </row>
    <row r="154">
      <c r="A154" s="26" t="s">
        <v>664</v>
      </c>
      <c r="B154" s="26" t="s">
        <v>665</v>
      </c>
      <c r="C154" s="26" t="s">
        <v>589</v>
      </c>
      <c r="D154" s="27"/>
      <c r="E154" s="28" t="s">
        <v>666</v>
      </c>
      <c r="F154" s="30" t="s">
        <v>667</v>
      </c>
      <c r="G154" s="13"/>
      <c r="H154" s="10"/>
      <c r="I154" s="29"/>
      <c r="J154" s="7"/>
      <c r="K154" s="7"/>
      <c r="L154" s="7"/>
      <c r="M154" s="7"/>
      <c r="N154" s="7">
        <f t="shared" si="2"/>
        <v>1</v>
      </c>
      <c r="O154" s="7"/>
    </row>
    <row r="155">
      <c r="A155" s="26" t="s">
        <v>668</v>
      </c>
      <c r="B155" s="26" t="s">
        <v>669</v>
      </c>
      <c r="C155" s="26" t="s">
        <v>589</v>
      </c>
      <c r="D155" s="26" t="s">
        <v>598</v>
      </c>
      <c r="E155" s="28" t="s">
        <v>670</v>
      </c>
      <c r="F155" s="30" t="s">
        <v>671</v>
      </c>
      <c r="G155" s="13"/>
      <c r="H155" s="10"/>
      <c r="I155" s="29"/>
      <c r="J155" s="7"/>
      <c r="K155" s="7"/>
      <c r="L155" s="7"/>
      <c r="M155" s="7"/>
      <c r="N155" s="7">
        <f t="shared" si="2"/>
        <v>1</v>
      </c>
      <c r="O155" s="7"/>
    </row>
    <row r="156">
      <c r="A156" s="26" t="s">
        <v>672</v>
      </c>
      <c r="B156" s="26" t="s">
        <v>673</v>
      </c>
      <c r="C156" s="26" t="s">
        <v>589</v>
      </c>
      <c r="D156" s="27"/>
      <c r="E156" s="28" t="s">
        <v>674</v>
      </c>
      <c r="F156" s="29"/>
      <c r="G156" s="13"/>
      <c r="H156" s="10"/>
      <c r="I156" s="29"/>
      <c r="J156" s="7"/>
      <c r="K156" s="7"/>
      <c r="L156" s="7"/>
      <c r="M156" s="7"/>
      <c r="N156" s="7">
        <f t="shared" si="2"/>
        <v>0</v>
      </c>
      <c r="O156" s="7"/>
    </row>
    <row r="157">
      <c r="A157" s="26" t="s">
        <v>676</v>
      </c>
      <c r="B157" s="26" t="s">
        <v>677</v>
      </c>
      <c r="C157" s="26" t="s">
        <v>589</v>
      </c>
      <c r="D157" s="27"/>
      <c r="E157" s="28" t="s">
        <v>678</v>
      </c>
      <c r="F157" s="30" t="s">
        <v>680</v>
      </c>
      <c r="G157" s="13"/>
      <c r="H157" s="10"/>
      <c r="I157" s="29"/>
      <c r="J157" s="7"/>
      <c r="K157" s="7"/>
      <c r="L157" s="7"/>
      <c r="M157" s="7"/>
      <c r="N157" s="7">
        <f t="shared" si="2"/>
        <v>1</v>
      </c>
      <c r="O157" s="7"/>
    </row>
    <row r="158">
      <c r="A158" s="26" t="s">
        <v>681</v>
      </c>
      <c r="B158" s="26" t="s">
        <v>682</v>
      </c>
      <c r="C158" s="26" t="s">
        <v>589</v>
      </c>
      <c r="D158" s="27"/>
      <c r="E158" s="28" t="s">
        <v>683</v>
      </c>
      <c r="F158" s="29"/>
      <c r="G158" s="13"/>
      <c r="H158" s="10"/>
      <c r="I158" s="29"/>
      <c r="J158" s="7"/>
      <c r="K158" s="7"/>
      <c r="L158" s="7"/>
      <c r="M158" s="7"/>
      <c r="N158" s="7">
        <f t="shared" si="2"/>
        <v>0</v>
      </c>
      <c r="O158" s="7"/>
    </row>
    <row r="159">
      <c r="A159" s="31" t="s">
        <v>684</v>
      </c>
      <c r="B159" s="26" t="s">
        <v>685</v>
      </c>
      <c r="C159" s="26" t="s">
        <v>584</v>
      </c>
      <c r="D159" s="27"/>
      <c r="E159" s="31" t="s">
        <v>686</v>
      </c>
      <c r="F159" s="30" t="s">
        <v>687</v>
      </c>
      <c r="G159" s="13"/>
      <c r="H159" s="10"/>
      <c r="I159" s="29"/>
      <c r="J159" s="7"/>
      <c r="K159" s="7"/>
      <c r="L159" s="7"/>
      <c r="M159" s="7"/>
      <c r="N159" s="7">
        <f t="shared" si="2"/>
        <v>1</v>
      </c>
      <c r="O159" s="7"/>
    </row>
    <row r="160">
      <c r="A160" s="26" t="s">
        <v>688</v>
      </c>
      <c r="B160" s="31" t="s">
        <v>689</v>
      </c>
      <c r="C160" s="26" t="s">
        <v>589</v>
      </c>
      <c r="D160" s="27"/>
      <c r="E160" s="28" t="s">
        <v>690</v>
      </c>
      <c r="F160" s="30" t="s">
        <v>691</v>
      </c>
      <c r="G160" s="13"/>
      <c r="H160" s="10"/>
      <c r="I160" s="29"/>
      <c r="J160" s="7"/>
      <c r="K160" s="7"/>
      <c r="L160" s="7"/>
      <c r="M160" s="7"/>
      <c r="N160" s="7">
        <f t="shared" si="2"/>
        <v>1</v>
      </c>
      <c r="O160" s="7"/>
    </row>
    <row r="161">
      <c r="A161" s="31" t="s">
        <v>692</v>
      </c>
      <c r="B161" s="26" t="s">
        <v>693</v>
      </c>
      <c r="C161" s="26" t="s">
        <v>589</v>
      </c>
      <c r="D161" s="27"/>
      <c r="E161" s="28" t="s">
        <v>694</v>
      </c>
      <c r="F161" s="30" t="s">
        <v>695</v>
      </c>
      <c r="G161" s="13"/>
      <c r="H161" s="10"/>
      <c r="I161" s="29"/>
      <c r="J161" s="7"/>
      <c r="K161" s="7"/>
      <c r="L161" s="7"/>
      <c r="M161" s="7"/>
      <c r="N161" s="7">
        <f t="shared" si="2"/>
        <v>1</v>
      </c>
      <c r="O161" s="7"/>
    </row>
    <row r="162">
      <c r="A162" s="31" t="s">
        <v>696</v>
      </c>
      <c r="B162" s="31" t="s">
        <v>697</v>
      </c>
      <c r="C162" s="26" t="s">
        <v>589</v>
      </c>
      <c r="D162" s="27"/>
      <c r="E162" s="28" t="s">
        <v>698</v>
      </c>
      <c r="F162" s="30" t="s">
        <v>699</v>
      </c>
      <c r="G162" s="13"/>
      <c r="H162" s="10"/>
      <c r="I162" s="29"/>
      <c r="J162" s="7"/>
      <c r="K162" s="7"/>
      <c r="L162" s="7"/>
      <c r="M162" s="7"/>
      <c r="N162" s="7">
        <f t="shared" si="2"/>
        <v>1</v>
      </c>
      <c r="O162" s="7"/>
    </row>
    <row r="163">
      <c r="A163" s="26" t="s">
        <v>700</v>
      </c>
      <c r="B163" s="26" t="s">
        <v>701</v>
      </c>
      <c r="C163" s="26" t="s">
        <v>584</v>
      </c>
      <c r="D163" s="27"/>
      <c r="E163" s="28" t="s">
        <v>702</v>
      </c>
      <c r="F163" s="29"/>
      <c r="G163" s="13"/>
      <c r="H163" s="10"/>
      <c r="I163" s="29"/>
      <c r="J163" s="7"/>
      <c r="K163" s="7"/>
      <c r="L163" s="7"/>
      <c r="M163" s="7"/>
      <c r="N163" s="7">
        <f t="shared" si="2"/>
        <v>0</v>
      </c>
      <c r="O163" s="7"/>
    </row>
    <row r="164">
      <c r="A164" s="26" t="s">
        <v>703</v>
      </c>
      <c r="B164" s="26" t="s">
        <v>704</v>
      </c>
      <c r="C164" s="26" t="s">
        <v>589</v>
      </c>
      <c r="D164" s="27"/>
      <c r="E164" s="28" t="s">
        <v>705</v>
      </c>
      <c r="F164" s="30" t="s">
        <v>706</v>
      </c>
      <c r="G164" s="13"/>
      <c r="H164" s="10"/>
      <c r="I164" s="29"/>
      <c r="J164" s="7"/>
      <c r="K164" s="7"/>
      <c r="L164" s="7"/>
      <c r="M164" s="7"/>
      <c r="N164" s="7">
        <f t="shared" si="2"/>
        <v>1</v>
      </c>
      <c r="O164" s="7"/>
    </row>
    <row r="165">
      <c r="A165" s="26" t="s">
        <v>707</v>
      </c>
      <c r="B165" s="26" t="s">
        <v>708</v>
      </c>
      <c r="C165" s="26" t="s">
        <v>589</v>
      </c>
      <c r="D165" s="26" t="s">
        <v>635</v>
      </c>
      <c r="E165" s="28" t="s">
        <v>709</v>
      </c>
      <c r="F165" s="30" t="s">
        <v>710</v>
      </c>
      <c r="G165" s="13"/>
      <c r="H165" s="10"/>
      <c r="I165" s="30"/>
      <c r="J165" s="7"/>
      <c r="K165" s="7"/>
      <c r="L165" s="7"/>
      <c r="M165" s="7"/>
      <c r="N165" s="7">
        <f t="shared" si="2"/>
        <v>1</v>
      </c>
      <c r="O165" s="7"/>
    </row>
    <row r="166">
      <c r="A166" s="26" t="s">
        <v>711</v>
      </c>
      <c r="B166" s="26" t="s">
        <v>712</v>
      </c>
      <c r="C166" s="26" t="s">
        <v>589</v>
      </c>
      <c r="D166" s="27"/>
      <c r="E166" s="28" t="s">
        <v>713</v>
      </c>
      <c r="F166" s="29"/>
      <c r="G166" s="13"/>
      <c r="H166" s="10"/>
      <c r="I166" s="30" t="s">
        <v>466</v>
      </c>
      <c r="J166" s="7"/>
      <c r="K166" s="7"/>
      <c r="L166" s="7"/>
      <c r="M166" s="7"/>
      <c r="N166" s="7">
        <f t="shared" si="2"/>
        <v>0</v>
      </c>
      <c r="O166" s="7"/>
    </row>
    <row r="167">
      <c r="A167" s="31" t="s">
        <v>714</v>
      </c>
      <c r="B167" s="26" t="s">
        <v>715</v>
      </c>
      <c r="C167" s="26" t="s">
        <v>589</v>
      </c>
      <c r="D167" s="27"/>
      <c r="E167" s="28" t="s">
        <v>716</v>
      </c>
      <c r="F167" s="30" t="s">
        <v>718</v>
      </c>
      <c r="G167" s="13"/>
      <c r="H167" s="10"/>
      <c r="I167" s="29"/>
      <c r="J167" s="7"/>
      <c r="K167" s="7"/>
      <c r="L167" s="7"/>
      <c r="M167" s="7"/>
      <c r="N167" s="7">
        <f t="shared" si="2"/>
        <v>1</v>
      </c>
      <c r="O167" s="7"/>
    </row>
    <row r="168">
      <c r="A168" s="26" t="s">
        <v>719</v>
      </c>
      <c r="B168" s="26" t="s">
        <v>720</v>
      </c>
      <c r="C168" s="26" t="s">
        <v>589</v>
      </c>
      <c r="D168" s="26" t="s">
        <v>598</v>
      </c>
      <c r="E168" s="28" t="s">
        <v>721</v>
      </c>
      <c r="F168" s="30" t="s">
        <v>722</v>
      </c>
      <c r="G168" s="13"/>
      <c r="H168" s="10"/>
      <c r="I168" s="29"/>
      <c r="J168" s="7"/>
      <c r="K168" s="7"/>
      <c r="L168" s="7"/>
      <c r="M168" s="7"/>
      <c r="N168" s="7">
        <f t="shared" si="2"/>
        <v>1</v>
      </c>
      <c r="O168" s="7"/>
    </row>
    <row r="169">
      <c r="A169" s="26" t="s">
        <v>723</v>
      </c>
      <c r="B169" s="26" t="s">
        <v>724</v>
      </c>
      <c r="C169" s="26" t="s">
        <v>589</v>
      </c>
      <c r="D169" s="27"/>
      <c r="E169" s="28" t="s">
        <v>725</v>
      </c>
      <c r="F169" s="29"/>
      <c r="G169" s="13"/>
      <c r="H169" s="10"/>
      <c r="I169" s="29"/>
      <c r="J169" s="7"/>
      <c r="K169" s="7"/>
      <c r="L169" s="7"/>
      <c r="M169" s="7"/>
      <c r="N169" s="7">
        <f t="shared" si="2"/>
        <v>0</v>
      </c>
      <c r="O169" s="7"/>
    </row>
    <row r="170">
      <c r="A170" s="26" t="s">
        <v>726</v>
      </c>
      <c r="B170" s="26" t="s">
        <v>727</v>
      </c>
      <c r="C170" s="26" t="s">
        <v>584</v>
      </c>
      <c r="D170" s="27"/>
      <c r="E170" s="28" t="s">
        <v>728</v>
      </c>
      <c r="F170" s="29"/>
      <c r="G170" s="13"/>
      <c r="H170" s="10"/>
      <c r="I170" s="29"/>
      <c r="J170" s="7"/>
      <c r="K170" s="7"/>
      <c r="L170" s="7"/>
      <c r="M170" s="7"/>
      <c r="N170" s="7">
        <f t="shared" si="2"/>
        <v>0</v>
      </c>
      <c r="O170" s="7"/>
    </row>
    <row r="171">
      <c r="A171" s="26" t="s">
        <v>729</v>
      </c>
      <c r="B171" s="26" t="s">
        <v>730</v>
      </c>
      <c r="C171" s="26" t="s">
        <v>589</v>
      </c>
      <c r="D171" s="27"/>
      <c r="E171" s="28" t="s">
        <v>731</v>
      </c>
      <c r="F171" s="30" t="s">
        <v>733</v>
      </c>
      <c r="G171" s="13"/>
      <c r="H171" s="10"/>
      <c r="I171" s="29"/>
      <c r="J171" s="7"/>
      <c r="K171" s="7"/>
      <c r="L171" s="7"/>
      <c r="M171" s="7"/>
      <c r="N171" s="7">
        <f t="shared" si="2"/>
        <v>1</v>
      </c>
      <c r="O171" s="7"/>
    </row>
    <row r="172">
      <c r="A172" s="26" t="s">
        <v>734</v>
      </c>
      <c r="B172" s="26" t="s">
        <v>735</v>
      </c>
      <c r="C172" s="26" t="s">
        <v>736</v>
      </c>
      <c r="D172" s="27"/>
      <c r="E172" s="32" t="s">
        <v>737</v>
      </c>
      <c r="F172" s="30" t="s">
        <v>738</v>
      </c>
      <c r="G172" s="13"/>
      <c r="H172" s="10"/>
      <c r="I172" s="17" t="s">
        <v>445</v>
      </c>
      <c r="J172" s="7"/>
      <c r="K172" s="7"/>
      <c r="L172" s="7"/>
      <c r="M172" s="7"/>
      <c r="N172" s="7">
        <f t="shared" si="2"/>
        <v>1</v>
      </c>
      <c r="O172" s="7"/>
    </row>
    <row r="173">
      <c r="A173" s="26" t="s">
        <v>739</v>
      </c>
      <c r="B173" s="26" t="s">
        <v>740</v>
      </c>
      <c r="C173" s="26" t="s">
        <v>589</v>
      </c>
      <c r="D173" s="27"/>
      <c r="E173" s="28" t="s">
        <v>741</v>
      </c>
      <c r="F173" s="30" t="s">
        <v>742</v>
      </c>
      <c r="G173" s="13"/>
      <c r="H173" s="10"/>
      <c r="I173" s="29"/>
      <c r="J173" s="7"/>
      <c r="K173" s="7"/>
      <c r="L173" s="7"/>
      <c r="M173" s="7"/>
      <c r="N173" s="7">
        <f t="shared" si="2"/>
        <v>1</v>
      </c>
      <c r="O173" s="7"/>
    </row>
    <row r="174">
      <c r="A174" s="26" t="s">
        <v>743</v>
      </c>
      <c r="B174" s="26" t="s">
        <v>744</v>
      </c>
      <c r="C174" s="26" t="s">
        <v>584</v>
      </c>
      <c r="D174" s="26" t="s">
        <v>635</v>
      </c>
      <c r="E174" s="28" t="s">
        <v>745</v>
      </c>
      <c r="F174" s="29"/>
      <c r="G174" s="13"/>
      <c r="H174" s="10"/>
      <c r="I174" s="29"/>
      <c r="J174" s="7"/>
      <c r="K174" s="7"/>
      <c r="L174" s="7"/>
      <c r="M174" s="7"/>
      <c r="N174" s="7">
        <f t="shared" si="2"/>
        <v>0</v>
      </c>
      <c r="O174" s="7"/>
    </row>
    <row r="175">
      <c r="A175" s="26" t="s">
        <v>747</v>
      </c>
      <c r="B175" s="26" t="s">
        <v>748</v>
      </c>
      <c r="C175" s="26" t="s">
        <v>584</v>
      </c>
      <c r="D175" s="27"/>
      <c r="E175" s="28" t="s">
        <v>749</v>
      </c>
      <c r="F175" s="29"/>
      <c r="G175" s="13"/>
      <c r="H175" s="10"/>
      <c r="I175" s="29"/>
      <c r="J175" s="7"/>
      <c r="K175" s="7"/>
      <c r="L175" s="7"/>
      <c r="M175" s="7"/>
      <c r="N175" s="7">
        <f t="shared" si="2"/>
        <v>0</v>
      </c>
      <c r="O175" s="7"/>
    </row>
    <row r="176">
      <c r="A176" s="26" t="s">
        <v>750</v>
      </c>
      <c r="B176" s="26" t="s">
        <v>751</v>
      </c>
      <c r="C176" s="26" t="s">
        <v>752</v>
      </c>
      <c r="D176" s="28" t="s">
        <v>753</v>
      </c>
      <c r="E176" s="33" t="s">
        <v>1823</v>
      </c>
      <c r="F176" s="30" t="s">
        <v>755</v>
      </c>
      <c r="G176" s="13"/>
      <c r="H176" s="10"/>
      <c r="I176" s="29"/>
      <c r="J176" s="7"/>
      <c r="K176" s="7"/>
      <c r="L176" s="7"/>
      <c r="M176" s="7"/>
      <c r="N176" s="7">
        <f t="shared" si="2"/>
        <v>1</v>
      </c>
      <c r="O176" s="7"/>
    </row>
    <row r="177">
      <c r="A177" s="26" t="s">
        <v>756</v>
      </c>
      <c r="B177" s="26" t="s">
        <v>757</v>
      </c>
      <c r="C177" s="26" t="s">
        <v>758</v>
      </c>
      <c r="D177" s="28" t="s">
        <v>753</v>
      </c>
      <c r="E177" s="33" t="s">
        <v>1824</v>
      </c>
      <c r="F177" s="30" t="s">
        <v>761</v>
      </c>
      <c r="G177" s="13"/>
      <c r="H177" s="10"/>
      <c r="I177" s="29"/>
      <c r="J177" s="7"/>
      <c r="K177" s="7"/>
      <c r="L177" s="7"/>
      <c r="M177" s="7"/>
      <c r="N177" s="7">
        <f t="shared" si="2"/>
        <v>1</v>
      </c>
      <c r="O177" s="7"/>
    </row>
    <row r="178">
      <c r="A178" s="26" t="s">
        <v>762</v>
      </c>
      <c r="B178" s="26" t="s">
        <v>763</v>
      </c>
      <c r="C178" s="26" t="s">
        <v>589</v>
      </c>
      <c r="D178" s="27"/>
      <c r="E178" s="28" t="s">
        <v>764</v>
      </c>
      <c r="F178" s="29"/>
      <c r="G178" s="13"/>
      <c r="H178" s="10"/>
      <c r="I178" s="29"/>
      <c r="J178" s="7"/>
      <c r="K178" s="7"/>
      <c r="L178" s="7"/>
      <c r="M178" s="7"/>
      <c r="N178" s="7">
        <f t="shared" si="2"/>
        <v>0</v>
      </c>
      <c r="O178" s="7"/>
    </row>
    <row r="179">
      <c r="A179" s="26" t="s">
        <v>766</v>
      </c>
      <c r="B179" s="26" t="s">
        <v>767</v>
      </c>
      <c r="C179" s="26" t="s">
        <v>589</v>
      </c>
      <c r="D179" s="26" t="s">
        <v>598</v>
      </c>
      <c r="E179" s="28" t="s">
        <v>768</v>
      </c>
      <c r="F179" s="29"/>
      <c r="G179" s="13"/>
      <c r="H179" s="10"/>
      <c r="I179" s="29"/>
      <c r="J179" s="7"/>
      <c r="K179" s="7"/>
      <c r="L179" s="7"/>
      <c r="M179" s="7"/>
      <c r="N179" s="7">
        <f t="shared" si="2"/>
        <v>0</v>
      </c>
      <c r="O179" s="7"/>
    </row>
    <row r="180">
      <c r="A180" s="26" t="s">
        <v>770</v>
      </c>
      <c r="B180" s="26" t="s">
        <v>771</v>
      </c>
      <c r="C180" s="26" t="s">
        <v>772</v>
      </c>
      <c r="D180" s="27"/>
      <c r="E180" s="28" t="s">
        <v>773</v>
      </c>
      <c r="F180" s="30" t="s">
        <v>774</v>
      </c>
      <c r="G180" s="13"/>
      <c r="H180" s="10"/>
      <c r="I180" s="29"/>
      <c r="J180" s="7"/>
      <c r="K180" s="7"/>
      <c r="L180" s="7"/>
      <c r="M180" s="7"/>
      <c r="N180" s="7">
        <f t="shared" si="2"/>
        <v>1</v>
      </c>
      <c r="O180" s="7"/>
    </row>
    <row r="181">
      <c r="A181" s="26" t="s">
        <v>775</v>
      </c>
      <c r="B181" s="26" t="s">
        <v>776</v>
      </c>
      <c r="C181" s="26" t="s">
        <v>589</v>
      </c>
      <c r="D181" s="27"/>
      <c r="E181" s="28" t="s">
        <v>777</v>
      </c>
      <c r="F181" s="30" t="s">
        <v>779</v>
      </c>
      <c r="G181" s="13"/>
      <c r="H181" s="10"/>
      <c r="I181" s="30" t="s">
        <v>420</v>
      </c>
      <c r="J181" s="7"/>
      <c r="K181" s="7"/>
      <c r="L181" s="7"/>
      <c r="M181" s="7"/>
      <c r="N181" s="7">
        <f t="shared" si="2"/>
        <v>1</v>
      </c>
      <c r="O181" s="7"/>
    </row>
    <row r="182">
      <c r="A182" s="26" t="s">
        <v>780</v>
      </c>
      <c r="B182" s="26" t="s">
        <v>781</v>
      </c>
      <c r="C182" s="26" t="s">
        <v>589</v>
      </c>
      <c r="D182" s="27"/>
      <c r="E182" s="28" t="s">
        <v>782</v>
      </c>
      <c r="F182" s="29"/>
      <c r="G182" s="13"/>
      <c r="H182" s="10"/>
      <c r="I182" s="29"/>
      <c r="J182" s="7"/>
      <c r="K182" s="7"/>
      <c r="L182" s="7"/>
      <c r="M182" s="7"/>
      <c r="N182" s="7">
        <f t="shared" si="2"/>
        <v>0</v>
      </c>
      <c r="O182" s="7"/>
    </row>
    <row r="183">
      <c r="A183" s="26" t="s">
        <v>783</v>
      </c>
      <c r="B183" s="26" t="s">
        <v>784</v>
      </c>
      <c r="C183" s="26" t="s">
        <v>589</v>
      </c>
      <c r="D183" s="27"/>
      <c r="E183" s="28" t="s">
        <v>785</v>
      </c>
      <c r="F183" s="30" t="s">
        <v>786</v>
      </c>
      <c r="G183" s="13"/>
      <c r="H183" s="10"/>
      <c r="I183" s="29"/>
      <c r="J183" s="7"/>
      <c r="K183" s="7"/>
      <c r="L183" s="7"/>
      <c r="M183" s="7"/>
      <c r="N183" s="7">
        <f t="shared" si="2"/>
        <v>1</v>
      </c>
      <c r="O183" s="7"/>
    </row>
    <row r="184">
      <c r="A184" s="26" t="s">
        <v>787</v>
      </c>
      <c r="B184" s="26" t="s">
        <v>788</v>
      </c>
      <c r="C184" s="26" t="s">
        <v>589</v>
      </c>
      <c r="D184" s="27"/>
      <c r="E184" s="28" t="s">
        <v>790</v>
      </c>
      <c r="F184" s="29"/>
      <c r="G184" s="13"/>
      <c r="H184" s="10"/>
      <c r="I184" s="29"/>
      <c r="J184" s="7"/>
      <c r="K184" s="7"/>
      <c r="L184" s="7"/>
      <c r="M184" s="7"/>
      <c r="N184" s="7">
        <f t="shared" si="2"/>
        <v>0</v>
      </c>
      <c r="O184" s="7"/>
    </row>
    <row r="185">
      <c r="A185" s="26" t="s">
        <v>791</v>
      </c>
      <c r="B185" s="26" t="s">
        <v>792</v>
      </c>
      <c r="C185" s="26" t="s">
        <v>589</v>
      </c>
      <c r="D185" s="27"/>
      <c r="E185" s="31" t="s">
        <v>793</v>
      </c>
      <c r="F185" s="30" t="s">
        <v>794</v>
      </c>
      <c r="G185" s="13"/>
      <c r="H185" s="10"/>
      <c r="I185" s="29"/>
      <c r="J185" s="7"/>
      <c r="K185" s="7"/>
      <c r="L185" s="7"/>
      <c r="M185" s="7"/>
      <c r="N185" s="7">
        <f t="shared" si="2"/>
        <v>1</v>
      </c>
      <c r="O185" s="7"/>
    </row>
    <row r="186">
      <c r="A186" s="26" t="s">
        <v>795</v>
      </c>
      <c r="B186" s="26" t="s">
        <v>796</v>
      </c>
      <c r="C186" s="26" t="s">
        <v>589</v>
      </c>
      <c r="D186" s="27"/>
      <c r="E186" s="28" t="s">
        <v>797</v>
      </c>
      <c r="F186" s="29"/>
      <c r="G186" s="13"/>
      <c r="H186" s="10"/>
      <c r="I186" s="29"/>
      <c r="J186" s="7"/>
      <c r="K186" s="7"/>
      <c r="L186" s="7"/>
      <c r="M186" s="7"/>
      <c r="N186" s="7">
        <f t="shared" si="2"/>
        <v>0</v>
      </c>
      <c r="O186" s="7"/>
    </row>
    <row r="187">
      <c r="A187" s="26" t="s">
        <v>799</v>
      </c>
      <c r="B187" s="31" t="s">
        <v>800</v>
      </c>
      <c r="C187" s="26" t="s">
        <v>584</v>
      </c>
      <c r="D187" s="27"/>
      <c r="E187" s="34" t="s">
        <v>801</v>
      </c>
      <c r="F187" s="30" t="s">
        <v>802</v>
      </c>
      <c r="G187" s="13"/>
      <c r="H187" s="10"/>
      <c r="I187" s="29"/>
      <c r="J187" s="7"/>
      <c r="K187" s="7"/>
      <c r="L187" s="7"/>
      <c r="M187" s="7"/>
      <c r="N187" s="7">
        <f t="shared" si="2"/>
        <v>1</v>
      </c>
      <c r="O187" s="7"/>
    </row>
    <row r="188">
      <c r="A188" s="26" t="s">
        <v>803</v>
      </c>
      <c r="B188" s="26" t="s">
        <v>804</v>
      </c>
      <c r="C188" s="26" t="s">
        <v>589</v>
      </c>
      <c r="D188" s="26" t="s">
        <v>598</v>
      </c>
      <c r="E188" s="28" t="s">
        <v>806</v>
      </c>
      <c r="F188" s="29"/>
      <c r="G188" s="13"/>
      <c r="H188" s="10"/>
      <c r="I188" s="29"/>
      <c r="J188" s="7"/>
      <c r="K188" s="7"/>
      <c r="L188" s="7"/>
      <c r="M188" s="7"/>
      <c r="N188" s="7">
        <f t="shared" si="2"/>
        <v>0</v>
      </c>
      <c r="O188" s="7"/>
    </row>
    <row r="189">
      <c r="A189" s="26" t="s">
        <v>807</v>
      </c>
      <c r="B189" s="26" t="s">
        <v>808</v>
      </c>
      <c r="C189" s="26" t="s">
        <v>809</v>
      </c>
      <c r="D189" s="27"/>
      <c r="E189" s="33" t="s">
        <v>1832</v>
      </c>
      <c r="F189" s="30" t="s">
        <v>812</v>
      </c>
      <c r="G189" s="13"/>
      <c r="H189" s="10"/>
      <c r="I189" s="29"/>
      <c r="J189" s="7"/>
      <c r="K189" s="7"/>
      <c r="L189" s="7"/>
      <c r="M189" s="7"/>
      <c r="N189" s="7">
        <f t="shared" si="2"/>
        <v>1</v>
      </c>
      <c r="O189" s="7"/>
    </row>
    <row r="190">
      <c r="A190" s="26" t="s">
        <v>813</v>
      </c>
      <c r="B190" s="26" t="s">
        <v>814</v>
      </c>
      <c r="C190" s="26" t="s">
        <v>589</v>
      </c>
      <c r="D190" s="27"/>
      <c r="E190" s="31" t="s">
        <v>815</v>
      </c>
      <c r="F190" s="30" t="s">
        <v>816</v>
      </c>
      <c r="G190" s="13"/>
      <c r="H190" s="10"/>
      <c r="I190" s="30" t="s">
        <v>374</v>
      </c>
      <c r="J190" s="7"/>
      <c r="K190" s="7"/>
      <c r="L190" s="7"/>
      <c r="M190" s="7"/>
      <c r="N190" s="7">
        <f t="shared" si="2"/>
        <v>1</v>
      </c>
      <c r="O190" s="7"/>
    </row>
    <row r="191">
      <c r="A191" s="26" t="s">
        <v>817</v>
      </c>
      <c r="B191" s="26" t="s">
        <v>818</v>
      </c>
      <c r="C191" s="26" t="s">
        <v>589</v>
      </c>
      <c r="D191" s="27"/>
      <c r="E191" s="28" t="s">
        <v>819</v>
      </c>
      <c r="F191" s="30" t="s">
        <v>820</v>
      </c>
      <c r="G191" s="13"/>
      <c r="H191" s="10"/>
      <c r="I191" s="29"/>
      <c r="J191" s="7"/>
      <c r="K191" s="7"/>
      <c r="L191" s="7"/>
      <c r="M191" s="7"/>
      <c r="N191" s="7">
        <f t="shared" si="2"/>
        <v>1</v>
      </c>
      <c r="O191" s="7"/>
    </row>
    <row r="192">
      <c r="A192" s="26" t="s">
        <v>821</v>
      </c>
      <c r="B192" s="26" t="s">
        <v>822</v>
      </c>
      <c r="C192" s="26" t="s">
        <v>584</v>
      </c>
      <c r="D192" s="27"/>
      <c r="E192" s="28" t="s">
        <v>823</v>
      </c>
      <c r="F192" s="29"/>
      <c r="G192" s="13"/>
      <c r="H192" s="10"/>
      <c r="I192" s="29"/>
      <c r="J192" s="7"/>
      <c r="K192" s="7"/>
      <c r="L192" s="7"/>
      <c r="M192" s="7"/>
      <c r="N192" s="7">
        <f t="shared" si="2"/>
        <v>0</v>
      </c>
      <c r="O192" s="7"/>
    </row>
    <row r="193">
      <c r="A193" s="26" t="s">
        <v>824</v>
      </c>
      <c r="B193" s="26" t="s">
        <v>825</v>
      </c>
      <c r="C193" s="26" t="s">
        <v>589</v>
      </c>
      <c r="D193" s="27"/>
      <c r="E193" s="28" t="s">
        <v>826</v>
      </c>
      <c r="F193" s="30" t="s">
        <v>827</v>
      </c>
      <c r="G193" s="13"/>
      <c r="H193" s="10"/>
      <c r="I193" s="30" t="s">
        <v>828</v>
      </c>
      <c r="J193" s="7"/>
      <c r="K193" s="7"/>
      <c r="L193" s="7"/>
      <c r="M193" s="7"/>
      <c r="N193" s="7">
        <f t="shared" si="2"/>
        <v>1</v>
      </c>
      <c r="O193" s="7"/>
    </row>
    <row r="194">
      <c r="A194" s="26" t="s">
        <v>829</v>
      </c>
      <c r="B194" s="26" t="s">
        <v>830</v>
      </c>
      <c r="C194" s="26" t="s">
        <v>589</v>
      </c>
      <c r="D194" s="27"/>
      <c r="E194" s="28" t="s">
        <v>831</v>
      </c>
      <c r="F194" s="30" t="s">
        <v>832</v>
      </c>
      <c r="G194" s="13"/>
      <c r="H194" s="10"/>
      <c r="I194" s="29"/>
      <c r="J194" s="7"/>
      <c r="K194" s="7"/>
      <c r="L194" s="7"/>
      <c r="M194" s="7"/>
      <c r="N194" s="7">
        <f t="shared" si="2"/>
        <v>1</v>
      </c>
      <c r="O194" s="7"/>
    </row>
    <row r="195">
      <c r="A195" s="26" t="s">
        <v>833</v>
      </c>
      <c r="B195" s="26" t="s">
        <v>834</v>
      </c>
      <c r="C195" s="26" t="s">
        <v>835</v>
      </c>
      <c r="D195" s="26" t="s">
        <v>635</v>
      </c>
      <c r="E195" s="28" t="s">
        <v>836</v>
      </c>
      <c r="F195" s="30" t="s">
        <v>837</v>
      </c>
      <c r="G195" s="13"/>
      <c r="H195" s="10"/>
      <c r="I195" s="29"/>
      <c r="J195" s="7"/>
      <c r="K195" s="7"/>
      <c r="L195" s="7"/>
      <c r="M195" s="7"/>
      <c r="N195" s="7">
        <f t="shared" si="2"/>
        <v>1</v>
      </c>
      <c r="O195" s="7"/>
    </row>
    <row r="196">
      <c r="A196" s="26" t="s">
        <v>838</v>
      </c>
      <c r="B196" s="26" t="s">
        <v>839</v>
      </c>
      <c r="C196" s="26" t="s">
        <v>589</v>
      </c>
      <c r="D196" s="27"/>
      <c r="E196" s="32" t="s">
        <v>840</v>
      </c>
      <c r="F196" s="30" t="s">
        <v>841</v>
      </c>
      <c r="G196" s="13"/>
      <c r="H196" s="10"/>
      <c r="I196" s="29"/>
      <c r="J196" s="7"/>
      <c r="K196" s="7"/>
      <c r="L196" s="7"/>
      <c r="M196" s="7"/>
      <c r="N196" s="7">
        <f t="shared" si="2"/>
        <v>1</v>
      </c>
      <c r="O196" s="7"/>
    </row>
    <row r="197">
      <c r="A197" s="26" t="s">
        <v>842</v>
      </c>
      <c r="B197" s="26" t="s">
        <v>843</v>
      </c>
      <c r="C197" s="26" t="s">
        <v>589</v>
      </c>
      <c r="D197" s="27"/>
      <c r="E197" s="28" t="s">
        <v>844</v>
      </c>
      <c r="F197" s="30" t="s">
        <v>845</v>
      </c>
      <c r="G197" s="13"/>
      <c r="H197" s="10"/>
      <c r="I197" s="29"/>
      <c r="J197" s="7"/>
      <c r="K197" s="7"/>
      <c r="L197" s="7"/>
      <c r="M197" s="7"/>
      <c r="N197" s="7">
        <f t="shared" si="2"/>
        <v>1</v>
      </c>
      <c r="O197" s="7"/>
    </row>
    <row r="198">
      <c r="A198" s="26" t="s">
        <v>846</v>
      </c>
      <c r="B198" s="31" t="s">
        <v>848</v>
      </c>
      <c r="C198" s="26" t="s">
        <v>584</v>
      </c>
      <c r="D198" s="27"/>
      <c r="E198" s="28" t="s">
        <v>849</v>
      </c>
      <c r="F198" s="30" t="s">
        <v>850</v>
      </c>
      <c r="G198" s="13"/>
      <c r="H198" s="10"/>
      <c r="I198" s="29"/>
      <c r="J198" s="7"/>
      <c r="K198" s="7"/>
      <c r="L198" s="7"/>
      <c r="M198" s="7"/>
      <c r="N198" s="7">
        <f t="shared" si="2"/>
        <v>1</v>
      </c>
      <c r="O198" s="7"/>
    </row>
    <row r="199">
      <c r="A199" s="26" t="s">
        <v>851</v>
      </c>
      <c r="B199" s="26" t="s">
        <v>852</v>
      </c>
      <c r="C199" s="26" t="s">
        <v>589</v>
      </c>
      <c r="D199" s="27"/>
      <c r="E199" s="28" t="s">
        <v>853</v>
      </c>
      <c r="F199" s="30" t="s">
        <v>854</v>
      </c>
      <c r="G199" s="13"/>
      <c r="H199" s="10"/>
      <c r="I199" s="29"/>
      <c r="J199" s="7"/>
      <c r="K199" s="7"/>
      <c r="L199" s="7"/>
      <c r="M199" s="7"/>
      <c r="N199" s="7">
        <f t="shared" si="2"/>
        <v>1</v>
      </c>
      <c r="O199" s="7"/>
    </row>
    <row r="200">
      <c r="A200" s="26" t="s">
        <v>855</v>
      </c>
      <c r="B200" s="26" t="s">
        <v>856</v>
      </c>
      <c r="C200" s="26" t="s">
        <v>584</v>
      </c>
      <c r="D200" s="27"/>
      <c r="E200" s="31" t="s">
        <v>857</v>
      </c>
      <c r="F200" s="30" t="s">
        <v>858</v>
      </c>
      <c r="G200" s="13"/>
      <c r="H200" s="10"/>
      <c r="I200" s="29"/>
      <c r="J200" s="7"/>
      <c r="K200" s="7"/>
      <c r="L200" s="7"/>
      <c r="M200" s="7"/>
      <c r="N200" s="7">
        <f t="shared" si="2"/>
        <v>1</v>
      </c>
      <c r="O200" s="7"/>
    </row>
    <row r="201">
      <c r="A201" s="26" t="s">
        <v>859</v>
      </c>
      <c r="B201" s="26" t="s">
        <v>860</v>
      </c>
      <c r="C201" s="26" t="s">
        <v>589</v>
      </c>
      <c r="D201" s="27"/>
      <c r="E201" s="28" t="s">
        <v>861</v>
      </c>
      <c r="F201" s="30" t="s">
        <v>862</v>
      </c>
      <c r="G201" s="13"/>
      <c r="H201" s="10"/>
      <c r="I201" s="29"/>
      <c r="J201" s="7"/>
      <c r="K201" s="7"/>
      <c r="L201" s="7"/>
      <c r="M201" s="7"/>
      <c r="N201" s="7">
        <f t="shared" si="2"/>
        <v>1</v>
      </c>
      <c r="O201" s="7"/>
    </row>
    <row r="202">
      <c r="A202" s="26" t="s">
        <v>863</v>
      </c>
      <c r="B202" s="26" t="s">
        <v>864</v>
      </c>
      <c r="C202" s="26" t="s">
        <v>589</v>
      </c>
      <c r="D202" s="28" t="s">
        <v>865</v>
      </c>
      <c r="E202" s="28" t="s">
        <v>866</v>
      </c>
      <c r="F202" s="30" t="s">
        <v>867</v>
      </c>
      <c r="G202" s="13"/>
      <c r="H202" s="10"/>
      <c r="I202" s="30" t="s">
        <v>82</v>
      </c>
      <c r="J202" s="7"/>
      <c r="K202" s="7"/>
      <c r="L202" s="7"/>
      <c r="M202" s="7"/>
      <c r="N202" s="7">
        <f t="shared" si="2"/>
        <v>1</v>
      </c>
      <c r="O202" s="7"/>
    </row>
    <row r="203">
      <c r="A203" s="26" t="s">
        <v>868</v>
      </c>
      <c r="B203" s="26" t="s">
        <v>869</v>
      </c>
      <c r="C203" s="26" t="s">
        <v>589</v>
      </c>
      <c r="D203" s="27"/>
      <c r="E203" s="28" t="s">
        <v>870</v>
      </c>
      <c r="F203" s="29"/>
      <c r="G203" s="13"/>
      <c r="H203" s="10"/>
      <c r="I203" s="29"/>
      <c r="J203" s="7"/>
      <c r="K203" s="7"/>
      <c r="L203" s="7"/>
      <c r="M203" s="7"/>
      <c r="N203" s="7">
        <f t="shared" si="2"/>
        <v>0</v>
      </c>
      <c r="O203" s="7"/>
    </row>
    <row r="204">
      <c r="A204" s="26" t="s">
        <v>871</v>
      </c>
      <c r="B204" s="26" t="s">
        <v>872</v>
      </c>
      <c r="C204" s="26" t="s">
        <v>589</v>
      </c>
      <c r="D204" s="27"/>
      <c r="E204" s="28" t="s">
        <v>874</v>
      </c>
      <c r="F204" s="30" t="s">
        <v>875</v>
      </c>
      <c r="G204" s="13"/>
      <c r="H204" s="10"/>
      <c r="I204" s="29"/>
      <c r="J204" s="7"/>
      <c r="K204" s="7"/>
      <c r="L204" s="7"/>
      <c r="M204" s="7"/>
      <c r="N204" s="7">
        <f t="shared" si="2"/>
        <v>1</v>
      </c>
      <c r="O204" s="7"/>
    </row>
    <row r="205">
      <c r="A205" s="26" t="s">
        <v>876</v>
      </c>
      <c r="B205" s="26" t="s">
        <v>877</v>
      </c>
      <c r="C205" s="26" t="s">
        <v>589</v>
      </c>
      <c r="D205" s="27"/>
      <c r="E205" s="28" t="s">
        <v>878</v>
      </c>
      <c r="F205" s="29"/>
      <c r="G205" s="13"/>
      <c r="H205" s="10"/>
      <c r="I205" s="29"/>
      <c r="J205" s="7"/>
      <c r="K205" s="7"/>
      <c r="L205" s="7"/>
      <c r="M205" s="7"/>
      <c r="N205" s="7">
        <f t="shared" si="2"/>
        <v>0</v>
      </c>
      <c r="O205" s="7"/>
    </row>
    <row r="206">
      <c r="A206" s="26" t="s">
        <v>880</v>
      </c>
      <c r="B206" s="26" t="s">
        <v>881</v>
      </c>
      <c r="C206" s="26" t="s">
        <v>589</v>
      </c>
      <c r="D206" s="26" t="s">
        <v>598</v>
      </c>
      <c r="E206" s="28" t="s">
        <v>882</v>
      </c>
      <c r="F206" s="30" t="s">
        <v>884</v>
      </c>
      <c r="G206" s="13"/>
      <c r="H206" s="10"/>
      <c r="I206" s="30"/>
      <c r="J206" s="7"/>
      <c r="K206" s="7"/>
      <c r="L206" s="7"/>
      <c r="M206" s="7"/>
      <c r="N206" s="7">
        <f t="shared" si="2"/>
        <v>1</v>
      </c>
      <c r="O206" s="7"/>
    </row>
    <row r="207">
      <c r="A207" s="26" t="s">
        <v>880</v>
      </c>
      <c r="B207" s="26" t="s">
        <v>885</v>
      </c>
      <c r="C207" s="26" t="s">
        <v>589</v>
      </c>
      <c r="D207" s="27"/>
      <c r="E207" s="28" t="s">
        <v>886</v>
      </c>
      <c r="F207" s="29"/>
      <c r="G207" s="13"/>
      <c r="H207" s="10"/>
      <c r="I207" s="30" t="s">
        <v>254</v>
      </c>
      <c r="J207" s="7"/>
      <c r="K207" s="7"/>
      <c r="L207" s="7"/>
      <c r="M207" s="7"/>
      <c r="N207" s="7">
        <f t="shared" si="2"/>
        <v>0</v>
      </c>
      <c r="O207" s="7"/>
    </row>
    <row r="208">
      <c r="A208" s="26" t="s">
        <v>887</v>
      </c>
      <c r="B208" s="26" t="s">
        <v>888</v>
      </c>
      <c r="C208" s="26" t="s">
        <v>648</v>
      </c>
      <c r="D208" s="27"/>
      <c r="E208" s="28" t="s">
        <v>889</v>
      </c>
      <c r="F208" s="29"/>
      <c r="G208" s="13"/>
      <c r="H208" s="10"/>
      <c r="I208" s="29"/>
      <c r="J208" s="7"/>
      <c r="K208" s="7"/>
      <c r="L208" s="7"/>
      <c r="M208" s="7"/>
      <c r="N208" s="7">
        <f t="shared" si="2"/>
        <v>0</v>
      </c>
      <c r="O208" s="7"/>
    </row>
    <row r="209">
      <c r="A209" s="26" t="s">
        <v>891</v>
      </c>
      <c r="B209" s="26" t="s">
        <v>892</v>
      </c>
      <c r="C209" s="26" t="s">
        <v>589</v>
      </c>
      <c r="D209" s="27"/>
      <c r="E209" s="28" t="s">
        <v>893</v>
      </c>
      <c r="F209" s="30"/>
      <c r="G209" s="13"/>
      <c r="H209" s="10"/>
      <c r="I209" s="29"/>
      <c r="J209" s="7"/>
      <c r="K209" s="7"/>
      <c r="L209" s="7"/>
      <c r="M209" s="7"/>
      <c r="N209" s="7">
        <f t="shared" si="2"/>
        <v>0</v>
      </c>
      <c r="O209" s="7"/>
    </row>
    <row r="210">
      <c r="A210" s="31" t="s">
        <v>894</v>
      </c>
      <c r="B210" s="31" t="s">
        <v>895</v>
      </c>
      <c r="C210" s="26" t="s">
        <v>835</v>
      </c>
      <c r="D210" s="27"/>
      <c r="E210" s="32" t="s">
        <v>896</v>
      </c>
      <c r="F210" s="30" t="s">
        <v>897</v>
      </c>
      <c r="G210" s="13"/>
      <c r="H210" s="10"/>
      <c r="I210" s="29"/>
      <c r="J210" s="7"/>
      <c r="K210" s="7"/>
      <c r="L210" s="7"/>
      <c r="M210" s="7"/>
      <c r="N210" s="7">
        <f t="shared" si="2"/>
        <v>1</v>
      </c>
      <c r="O210" s="7"/>
    </row>
    <row r="211">
      <c r="A211" s="26" t="s">
        <v>898</v>
      </c>
      <c r="B211" s="26" t="s">
        <v>899</v>
      </c>
      <c r="C211" s="26" t="s">
        <v>589</v>
      </c>
      <c r="D211" s="26" t="s">
        <v>598</v>
      </c>
      <c r="E211" s="28" t="s">
        <v>900</v>
      </c>
      <c r="F211" s="30" t="s">
        <v>154</v>
      </c>
      <c r="G211" s="13"/>
      <c r="H211" s="10"/>
      <c r="I211" s="29"/>
      <c r="J211" s="7"/>
      <c r="K211" s="7"/>
      <c r="L211" s="7"/>
      <c r="M211" s="7"/>
      <c r="N211" s="7">
        <f t="shared" si="2"/>
        <v>1</v>
      </c>
      <c r="O211" s="7"/>
    </row>
    <row r="212">
      <c r="A212" s="26" t="s">
        <v>901</v>
      </c>
      <c r="B212" s="26" t="s">
        <v>902</v>
      </c>
      <c r="C212" s="26" t="s">
        <v>589</v>
      </c>
      <c r="D212" s="27"/>
      <c r="E212" s="28" t="s">
        <v>903</v>
      </c>
      <c r="F212" s="30" t="s">
        <v>904</v>
      </c>
      <c r="G212" s="13"/>
      <c r="H212" s="10"/>
      <c r="I212" s="29"/>
      <c r="J212" s="7"/>
      <c r="K212" s="7"/>
      <c r="L212" s="7"/>
      <c r="M212" s="7"/>
      <c r="N212" s="7">
        <f t="shared" si="2"/>
        <v>1</v>
      </c>
      <c r="O212" s="7"/>
    </row>
    <row r="213">
      <c r="A213" s="26" t="s">
        <v>905</v>
      </c>
      <c r="B213" s="26" t="s">
        <v>906</v>
      </c>
      <c r="C213" s="26" t="s">
        <v>589</v>
      </c>
      <c r="D213" s="26" t="s">
        <v>598</v>
      </c>
      <c r="E213" s="28" t="s">
        <v>907</v>
      </c>
      <c r="F213" s="30" t="s">
        <v>908</v>
      </c>
      <c r="G213" s="13"/>
      <c r="H213" s="10"/>
      <c r="I213" s="30" t="s">
        <v>344</v>
      </c>
      <c r="J213" s="7"/>
      <c r="K213" s="7"/>
      <c r="L213" s="7"/>
      <c r="M213" s="7"/>
      <c r="N213" s="7">
        <f t="shared" si="2"/>
        <v>1</v>
      </c>
      <c r="O213" s="7"/>
    </row>
    <row r="214">
      <c r="A214" s="26" t="s">
        <v>909</v>
      </c>
      <c r="B214" s="26" t="s">
        <v>910</v>
      </c>
      <c r="C214" s="26" t="s">
        <v>589</v>
      </c>
      <c r="D214" s="26" t="s">
        <v>598</v>
      </c>
      <c r="E214" s="28" t="s">
        <v>911</v>
      </c>
      <c r="F214" s="30" t="s">
        <v>912</v>
      </c>
      <c r="G214" s="13"/>
      <c r="H214" s="10"/>
      <c r="I214" s="29"/>
      <c r="J214" s="7"/>
      <c r="K214" s="7"/>
      <c r="L214" s="7"/>
      <c r="M214" s="7"/>
      <c r="N214" s="7">
        <f t="shared" si="2"/>
        <v>1</v>
      </c>
      <c r="O214" s="7"/>
    </row>
    <row r="215">
      <c r="A215" s="26" t="s">
        <v>913</v>
      </c>
      <c r="B215" s="26" t="s">
        <v>914</v>
      </c>
      <c r="C215" s="26" t="s">
        <v>589</v>
      </c>
      <c r="D215" s="27"/>
      <c r="E215" s="28" t="s">
        <v>915</v>
      </c>
      <c r="F215" s="29"/>
      <c r="G215" s="13"/>
      <c r="H215" s="10"/>
      <c r="I215" s="29"/>
      <c r="J215" s="7"/>
      <c r="K215" s="7"/>
      <c r="L215" s="7"/>
      <c r="M215" s="7"/>
      <c r="N215" s="7">
        <f t="shared" si="2"/>
        <v>0</v>
      </c>
      <c r="O215" s="7"/>
    </row>
    <row r="216" ht="18.0" customHeight="1">
      <c r="A216" s="26" t="s">
        <v>916</v>
      </c>
      <c r="B216" s="26" t="s">
        <v>917</v>
      </c>
      <c r="C216" s="26" t="s">
        <v>589</v>
      </c>
      <c r="D216" s="28" t="s">
        <v>918</v>
      </c>
      <c r="E216" s="27"/>
      <c r="F216" s="29"/>
      <c r="G216" s="13"/>
      <c r="H216" s="10"/>
      <c r="I216" s="29"/>
      <c r="J216" s="7"/>
      <c r="K216" s="7"/>
      <c r="L216" s="7"/>
      <c r="M216" s="7"/>
      <c r="N216" s="7">
        <f t="shared" si="2"/>
        <v>0</v>
      </c>
      <c r="O216" s="7"/>
    </row>
    <row r="217">
      <c r="A217" s="26" t="s">
        <v>916</v>
      </c>
      <c r="B217" s="26" t="s">
        <v>917</v>
      </c>
      <c r="C217" s="26" t="s">
        <v>919</v>
      </c>
      <c r="D217" s="31" t="s">
        <v>920</v>
      </c>
      <c r="E217" s="28" t="s">
        <v>921</v>
      </c>
      <c r="F217" s="30" t="s">
        <v>923</v>
      </c>
      <c r="G217" s="13"/>
      <c r="H217" s="10"/>
      <c r="I217" s="29"/>
      <c r="J217" s="7"/>
      <c r="K217" s="7"/>
      <c r="L217" s="7"/>
      <c r="M217" s="7"/>
      <c r="N217" s="7">
        <f t="shared" si="2"/>
        <v>1</v>
      </c>
      <c r="O217" s="7"/>
    </row>
    <row r="218">
      <c r="A218" s="26" t="s">
        <v>925</v>
      </c>
      <c r="B218" s="26" t="s">
        <v>926</v>
      </c>
      <c r="C218" s="26" t="s">
        <v>589</v>
      </c>
      <c r="D218" s="27"/>
      <c r="E218" s="28" t="s">
        <v>927</v>
      </c>
      <c r="F218" s="30" t="s">
        <v>928</v>
      </c>
      <c r="G218" s="13"/>
      <c r="H218" s="10"/>
      <c r="I218" s="29"/>
      <c r="J218" s="7"/>
      <c r="K218" s="7"/>
      <c r="L218" s="7"/>
      <c r="M218" s="7"/>
      <c r="N218" s="7">
        <f t="shared" si="2"/>
        <v>1</v>
      </c>
      <c r="O218" s="7"/>
    </row>
    <row r="219">
      <c r="A219" s="26" t="s">
        <v>929</v>
      </c>
      <c r="B219" s="26" t="s">
        <v>930</v>
      </c>
      <c r="C219" s="26" t="s">
        <v>931</v>
      </c>
      <c r="D219" s="27"/>
      <c r="E219" s="28" t="s">
        <v>932</v>
      </c>
      <c r="F219" s="29"/>
      <c r="G219" s="13"/>
      <c r="H219" s="10"/>
      <c r="I219" s="29"/>
      <c r="J219" s="7"/>
      <c r="K219" s="7"/>
      <c r="L219" s="7"/>
      <c r="M219" s="7"/>
      <c r="N219" s="7">
        <f t="shared" si="2"/>
        <v>0</v>
      </c>
      <c r="O219" s="7"/>
    </row>
    <row r="220">
      <c r="A220" s="26" t="s">
        <v>929</v>
      </c>
      <c r="B220" s="26" t="s">
        <v>934</v>
      </c>
      <c r="C220" s="26" t="s">
        <v>935</v>
      </c>
      <c r="D220" s="27"/>
      <c r="E220" s="28" t="s">
        <v>936</v>
      </c>
      <c r="F220" s="29"/>
      <c r="G220" s="13"/>
      <c r="H220" s="10"/>
      <c r="I220" s="29"/>
      <c r="J220" s="7"/>
      <c r="K220" s="7"/>
      <c r="L220" s="7"/>
      <c r="M220" s="7"/>
      <c r="N220" s="7">
        <f t="shared" si="2"/>
        <v>0</v>
      </c>
      <c r="O220" s="7"/>
    </row>
    <row r="221">
      <c r="A221" s="26" t="s">
        <v>937</v>
      </c>
      <c r="B221" s="31" t="s">
        <v>938</v>
      </c>
      <c r="C221" s="26" t="s">
        <v>589</v>
      </c>
      <c r="D221" s="27"/>
      <c r="E221" s="28" t="s">
        <v>939</v>
      </c>
      <c r="F221" s="30" t="s">
        <v>940</v>
      </c>
      <c r="G221" s="13"/>
      <c r="H221" s="10"/>
      <c r="I221" s="30" t="s">
        <v>127</v>
      </c>
      <c r="J221" s="7"/>
      <c r="K221" s="7"/>
      <c r="L221" s="7"/>
      <c r="M221" s="7"/>
      <c r="N221" s="7">
        <f t="shared" si="2"/>
        <v>1</v>
      </c>
      <c r="O221" s="7"/>
    </row>
    <row r="222">
      <c r="A222" s="26" t="s">
        <v>941</v>
      </c>
      <c r="B222" s="26" t="s">
        <v>942</v>
      </c>
      <c r="C222" s="26" t="s">
        <v>589</v>
      </c>
      <c r="D222" s="27"/>
      <c r="E222" s="28" t="s">
        <v>943</v>
      </c>
      <c r="F222" s="29"/>
      <c r="G222" s="13"/>
      <c r="H222" s="10"/>
      <c r="I222" s="29"/>
      <c r="J222" s="7"/>
      <c r="K222" s="7"/>
      <c r="L222" s="7"/>
      <c r="M222" s="7"/>
      <c r="N222" s="7">
        <f t="shared" si="2"/>
        <v>0</v>
      </c>
      <c r="O222" s="7"/>
    </row>
    <row r="223">
      <c r="A223" s="26" t="s">
        <v>945</v>
      </c>
      <c r="B223" s="26" t="s">
        <v>946</v>
      </c>
      <c r="C223" s="26" t="s">
        <v>589</v>
      </c>
      <c r="D223" s="27"/>
      <c r="E223" s="28" t="s">
        <v>947</v>
      </c>
      <c r="F223" s="30" t="s">
        <v>948</v>
      </c>
      <c r="G223" s="13"/>
      <c r="H223" s="10"/>
      <c r="I223" s="30" t="s">
        <v>290</v>
      </c>
      <c r="J223" s="7"/>
      <c r="K223" s="7"/>
      <c r="L223" s="7"/>
      <c r="M223" s="7"/>
      <c r="N223" s="7">
        <f t="shared" si="2"/>
        <v>1</v>
      </c>
      <c r="O223" s="7"/>
    </row>
    <row r="224">
      <c r="A224" s="26" t="s">
        <v>949</v>
      </c>
      <c r="B224" s="26" t="s">
        <v>950</v>
      </c>
      <c r="C224" s="26" t="s">
        <v>589</v>
      </c>
      <c r="D224" s="27"/>
      <c r="E224" s="28" t="s">
        <v>951</v>
      </c>
      <c r="F224" s="30" t="s">
        <v>952</v>
      </c>
      <c r="G224" s="13"/>
      <c r="H224" s="10"/>
      <c r="I224" s="29"/>
      <c r="J224" s="7"/>
      <c r="K224" s="7"/>
      <c r="L224" s="7"/>
      <c r="M224" s="7"/>
      <c r="N224" s="7">
        <f t="shared" si="2"/>
        <v>1</v>
      </c>
      <c r="O224" s="7"/>
    </row>
    <row r="225">
      <c r="A225" s="26" t="s">
        <v>953</v>
      </c>
      <c r="B225" s="26" t="s">
        <v>954</v>
      </c>
      <c r="C225" s="26" t="s">
        <v>584</v>
      </c>
      <c r="D225" s="26" t="s">
        <v>955</v>
      </c>
      <c r="E225" s="34" t="s">
        <v>956</v>
      </c>
      <c r="F225" s="30" t="s">
        <v>957</v>
      </c>
      <c r="G225" s="13"/>
      <c r="H225" s="10"/>
      <c r="I225" s="29"/>
      <c r="J225" s="7"/>
      <c r="K225" s="7"/>
      <c r="L225" s="7"/>
      <c r="M225" s="7"/>
      <c r="N225" s="7">
        <f t="shared" si="2"/>
        <v>1</v>
      </c>
      <c r="O225" s="7"/>
    </row>
    <row r="226">
      <c r="A226" s="26" t="s">
        <v>958</v>
      </c>
      <c r="B226" s="26" t="s">
        <v>277</v>
      </c>
      <c r="C226" s="26" t="s">
        <v>589</v>
      </c>
      <c r="D226" s="27"/>
      <c r="E226" s="28" t="s">
        <v>959</v>
      </c>
      <c r="F226" s="30" t="s">
        <v>188</v>
      </c>
      <c r="G226" s="13"/>
      <c r="H226" s="10"/>
      <c r="I226" s="30" t="s">
        <v>280</v>
      </c>
      <c r="J226" s="7"/>
      <c r="K226" s="7"/>
      <c r="L226" s="7"/>
      <c r="M226" s="7"/>
      <c r="N226" s="7">
        <f t="shared" si="2"/>
        <v>1</v>
      </c>
      <c r="O226" s="7"/>
    </row>
    <row r="227">
      <c r="A227" s="26" t="s">
        <v>960</v>
      </c>
      <c r="B227" s="26" t="s">
        <v>961</v>
      </c>
      <c r="C227" s="26" t="s">
        <v>589</v>
      </c>
      <c r="D227" s="27"/>
      <c r="E227" s="28" t="s">
        <v>962</v>
      </c>
      <c r="F227" s="30" t="s">
        <v>963</v>
      </c>
      <c r="G227" s="13"/>
      <c r="H227" s="10"/>
      <c r="I227" s="30" t="s">
        <v>20</v>
      </c>
      <c r="J227" s="7"/>
      <c r="K227" s="7"/>
      <c r="L227" s="7"/>
      <c r="M227" s="7"/>
      <c r="N227" s="7">
        <f t="shared" si="2"/>
        <v>1</v>
      </c>
      <c r="O227" s="7"/>
    </row>
    <row r="228">
      <c r="A228" s="26" t="s">
        <v>964</v>
      </c>
      <c r="B228" s="26" t="s">
        <v>965</v>
      </c>
      <c r="C228" s="26" t="s">
        <v>589</v>
      </c>
      <c r="D228" s="26" t="s">
        <v>635</v>
      </c>
      <c r="E228" s="28" t="s">
        <v>966</v>
      </c>
      <c r="F228" s="30"/>
      <c r="G228" s="13"/>
      <c r="H228" s="10"/>
      <c r="I228" s="29"/>
      <c r="J228" s="7"/>
      <c r="K228" s="7"/>
      <c r="L228" s="7"/>
      <c r="M228" s="7"/>
      <c r="N228" s="7">
        <f t="shared" si="2"/>
        <v>0</v>
      </c>
      <c r="O228" s="7"/>
    </row>
    <row r="229">
      <c r="A229" s="26" t="s">
        <v>968</v>
      </c>
      <c r="B229" s="31" t="s">
        <v>969</v>
      </c>
      <c r="C229" s="26" t="s">
        <v>589</v>
      </c>
      <c r="D229" s="27"/>
      <c r="E229" s="34" t="s">
        <v>970</v>
      </c>
      <c r="F229" s="30" t="s">
        <v>971</v>
      </c>
      <c r="G229" s="13"/>
      <c r="H229" s="10"/>
      <c r="I229" s="30" t="s">
        <v>247</v>
      </c>
      <c r="J229" s="7"/>
      <c r="K229" s="7"/>
      <c r="L229" s="7"/>
      <c r="M229" s="7"/>
      <c r="N229" s="7">
        <f t="shared" si="2"/>
        <v>1</v>
      </c>
      <c r="O229" s="7"/>
    </row>
    <row r="230">
      <c r="A230" s="26" t="s">
        <v>972</v>
      </c>
      <c r="B230" s="26" t="s">
        <v>973</v>
      </c>
      <c r="C230" s="26" t="s">
        <v>974</v>
      </c>
      <c r="D230" s="27"/>
      <c r="E230" s="28" t="s">
        <v>976</v>
      </c>
      <c r="F230" s="30" t="s">
        <v>977</v>
      </c>
      <c r="G230" s="13"/>
      <c r="H230" s="10"/>
      <c r="I230" s="29"/>
      <c r="J230" s="7"/>
      <c r="K230" s="7"/>
      <c r="L230" s="7"/>
      <c r="M230" s="7"/>
      <c r="N230" s="7">
        <f t="shared" si="2"/>
        <v>1</v>
      </c>
      <c r="O230" s="7"/>
    </row>
    <row r="231">
      <c r="A231" s="26" t="s">
        <v>978</v>
      </c>
      <c r="B231" s="26" t="s">
        <v>979</v>
      </c>
      <c r="C231" s="26" t="s">
        <v>589</v>
      </c>
      <c r="D231" s="26" t="s">
        <v>598</v>
      </c>
      <c r="E231" s="28" t="s">
        <v>980</v>
      </c>
      <c r="F231" s="29"/>
      <c r="G231" s="13"/>
      <c r="H231" s="10"/>
      <c r="I231" s="29"/>
      <c r="J231" s="7"/>
      <c r="K231" s="7"/>
      <c r="L231" s="7"/>
      <c r="M231" s="7"/>
      <c r="N231" s="7">
        <f t="shared" si="2"/>
        <v>0</v>
      </c>
      <c r="O231" s="7"/>
    </row>
    <row r="232">
      <c r="A232" s="26" t="s">
        <v>981</v>
      </c>
      <c r="B232" s="26" t="s">
        <v>982</v>
      </c>
      <c r="C232" s="26" t="s">
        <v>589</v>
      </c>
      <c r="D232" s="26" t="s">
        <v>598</v>
      </c>
      <c r="E232" s="28" t="s">
        <v>983</v>
      </c>
      <c r="F232" s="30" t="s">
        <v>984</v>
      </c>
      <c r="G232" s="13"/>
      <c r="H232" s="10"/>
      <c r="I232" s="29"/>
      <c r="J232" s="7"/>
      <c r="K232" s="7"/>
      <c r="L232" s="7"/>
      <c r="M232" s="7"/>
      <c r="N232" s="7">
        <f t="shared" si="2"/>
        <v>1</v>
      </c>
      <c r="O232" s="7"/>
    </row>
    <row r="233">
      <c r="A233" s="26" t="s">
        <v>985</v>
      </c>
      <c r="B233" s="26" t="s">
        <v>986</v>
      </c>
      <c r="C233" s="26" t="s">
        <v>589</v>
      </c>
      <c r="D233" s="26" t="s">
        <v>598</v>
      </c>
      <c r="E233" s="28" t="s">
        <v>987</v>
      </c>
      <c r="F233" s="29"/>
      <c r="G233" s="13"/>
      <c r="H233" s="10"/>
      <c r="I233" s="29"/>
      <c r="J233" s="7"/>
      <c r="K233" s="7"/>
      <c r="L233" s="7"/>
      <c r="M233" s="7"/>
      <c r="N233" s="7">
        <f t="shared" si="2"/>
        <v>0</v>
      </c>
      <c r="O233" s="7"/>
    </row>
    <row r="234">
      <c r="A234" s="26" t="s">
        <v>988</v>
      </c>
      <c r="B234" s="26" t="s">
        <v>989</v>
      </c>
      <c r="C234" s="26" t="s">
        <v>589</v>
      </c>
      <c r="D234" s="26" t="s">
        <v>598</v>
      </c>
      <c r="E234" s="28" t="s">
        <v>990</v>
      </c>
      <c r="F234" s="30" t="s">
        <v>991</v>
      </c>
      <c r="G234" s="13"/>
      <c r="H234" s="10"/>
      <c r="I234" s="30" t="s">
        <v>344</v>
      </c>
      <c r="J234" s="7"/>
      <c r="K234" s="7"/>
      <c r="L234" s="7"/>
      <c r="M234" s="7"/>
      <c r="N234" s="7">
        <f t="shared" si="2"/>
        <v>1</v>
      </c>
      <c r="O234" s="7"/>
    </row>
    <row r="235">
      <c r="A235" s="26" t="s">
        <v>992</v>
      </c>
      <c r="B235" s="26" t="s">
        <v>993</v>
      </c>
      <c r="C235" s="26" t="s">
        <v>589</v>
      </c>
      <c r="D235" s="27"/>
      <c r="E235" s="28" t="s">
        <v>994</v>
      </c>
      <c r="F235" s="29"/>
      <c r="G235" s="13"/>
      <c r="H235" s="10"/>
      <c r="I235" s="29"/>
      <c r="J235" s="7"/>
      <c r="K235" s="7"/>
      <c r="L235" s="7"/>
      <c r="M235" s="7"/>
      <c r="N235" s="7">
        <f t="shared" si="2"/>
        <v>0</v>
      </c>
      <c r="O235" s="7"/>
    </row>
    <row r="236">
      <c r="A236" s="26" t="s">
        <v>995</v>
      </c>
      <c r="B236" s="26" t="s">
        <v>996</v>
      </c>
      <c r="C236" s="26" t="s">
        <v>589</v>
      </c>
      <c r="D236" s="26" t="s">
        <v>997</v>
      </c>
      <c r="E236" s="28" t="s">
        <v>998</v>
      </c>
      <c r="F236" s="30"/>
      <c r="G236" s="13"/>
      <c r="H236" s="10"/>
      <c r="I236" s="30"/>
      <c r="J236" s="7"/>
      <c r="K236" s="7"/>
      <c r="L236" s="7"/>
      <c r="M236" s="7"/>
      <c r="N236" s="7">
        <f t="shared" si="2"/>
        <v>0</v>
      </c>
      <c r="O236" s="7"/>
    </row>
    <row r="237">
      <c r="A237" s="26" t="s">
        <v>999</v>
      </c>
      <c r="B237" s="26" t="s">
        <v>1000</v>
      </c>
      <c r="C237" s="26" t="s">
        <v>589</v>
      </c>
      <c r="D237" s="26" t="s">
        <v>598</v>
      </c>
      <c r="E237" s="28" t="s">
        <v>1001</v>
      </c>
      <c r="F237" s="30" t="s">
        <v>1002</v>
      </c>
      <c r="G237" s="13"/>
      <c r="H237" s="10"/>
      <c r="I237" s="29"/>
      <c r="J237" s="7"/>
      <c r="K237" s="7"/>
      <c r="L237" s="7"/>
      <c r="M237" s="7"/>
      <c r="N237" s="7">
        <f t="shared" si="2"/>
        <v>1</v>
      </c>
      <c r="O237" s="7"/>
    </row>
    <row r="238">
      <c r="A238" s="26" t="s">
        <v>1003</v>
      </c>
      <c r="B238" s="31" t="s">
        <v>1004</v>
      </c>
      <c r="C238" s="26" t="s">
        <v>589</v>
      </c>
      <c r="D238" s="27"/>
      <c r="E238" s="28" t="s">
        <v>1005</v>
      </c>
      <c r="F238" s="30" t="s">
        <v>1007</v>
      </c>
      <c r="G238" s="13"/>
      <c r="H238" s="10"/>
      <c r="I238" s="29"/>
      <c r="J238" s="7"/>
      <c r="K238" s="7"/>
      <c r="L238" s="7"/>
      <c r="M238" s="7"/>
      <c r="N238" s="7">
        <f t="shared" si="2"/>
        <v>1</v>
      </c>
      <c r="O238" s="7"/>
    </row>
    <row r="239">
      <c r="A239" s="26" t="s">
        <v>1008</v>
      </c>
      <c r="B239" s="31" t="s">
        <v>1009</v>
      </c>
      <c r="C239" s="26" t="s">
        <v>589</v>
      </c>
      <c r="D239" s="27"/>
      <c r="E239" s="28" t="s">
        <v>1010</v>
      </c>
      <c r="F239" s="30" t="s">
        <v>1011</v>
      </c>
      <c r="G239" s="13"/>
      <c r="H239" s="10"/>
      <c r="I239" s="29"/>
      <c r="J239" s="7"/>
      <c r="K239" s="7"/>
      <c r="L239" s="7"/>
      <c r="M239" s="7"/>
      <c r="N239" s="7">
        <f t="shared" si="2"/>
        <v>1</v>
      </c>
      <c r="O239" s="7"/>
    </row>
    <row r="240">
      <c r="A240" s="26" t="s">
        <v>1013</v>
      </c>
      <c r="B240" s="26" t="s">
        <v>1014</v>
      </c>
      <c r="C240" s="26" t="s">
        <v>589</v>
      </c>
      <c r="D240" s="26" t="s">
        <v>598</v>
      </c>
      <c r="E240" s="28" t="s">
        <v>1015</v>
      </c>
      <c r="F240" s="29"/>
      <c r="G240" s="13"/>
      <c r="H240" s="10"/>
      <c r="I240" s="29"/>
      <c r="J240" s="7"/>
      <c r="K240" s="7"/>
      <c r="L240" s="7"/>
      <c r="M240" s="7"/>
      <c r="N240" s="7">
        <f t="shared" si="2"/>
        <v>0</v>
      </c>
      <c r="O240" s="7"/>
    </row>
    <row r="241">
      <c r="A241" s="26" t="s">
        <v>1016</v>
      </c>
      <c r="B241" s="26" t="s">
        <v>1017</v>
      </c>
      <c r="C241" s="26" t="s">
        <v>589</v>
      </c>
      <c r="D241" s="27"/>
      <c r="E241" s="28" t="s">
        <v>1018</v>
      </c>
      <c r="F241" s="30" t="s">
        <v>154</v>
      </c>
      <c r="G241" s="13"/>
      <c r="H241" s="10"/>
      <c r="I241" s="29"/>
      <c r="J241" s="7"/>
      <c r="K241" s="7"/>
      <c r="L241" s="7"/>
      <c r="M241" s="7"/>
      <c r="N241" s="7">
        <f t="shared" si="2"/>
        <v>1</v>
      </c>
      <c r="O241" s="7"/>
    </row>
    <row r="242">
      <c r="A242" s="26" t="s">
        <v>1019</v>
      </c>
      <c r="B242" s="31" t="s">
        <v>1020</v>
      </c>
      <c r="C242" s="26" t="s">
        <v>589</v>
      </c>
      <c r="D242" s="27"/>
      <c r="E242" s="26" t="s">
        <v>1021</v>
      </c>
      <c r="F242" s="30" t="s">
        <v>1022</v>
      </c>
      <c r="G242" s="13"/>
      <c r="H242" s="10"/>
      <c r="I242" s="30" t="s">
        <v>427</v>
      </c>
      <c r="J242" s="7"/>
      <c r="K242" s="7"/>
      <c r="L242" s="7"/>
      <c r="M242" s="7"/>
      <c r="N242" s="7">
        <f t="shared" si="2"/>
        <v>1</v>
      </c>
      <c r="O242" s="7"/>
    </row>
    <row r="243">
      <c r="A243" s="31" t="s">
        <v>1023</v>
      </c>
      <c r="B243" s="26" t="s">
        <v>1024</v>
      </c>
      <c r="C243" s="26" t="s">
        <v>589</v>
      </c>
      <c r="D243" s="26" t="s">
        <v>598</v>
      </c>
      <c r="E243" s="27"/>
      <c r="F243" s="29"/>
      <c r="G243" s="13"/>
      <c r="H243" s="10"/>
      <c r="I243" s="29"/>
      <c r="J243" s="7"/>
      <c r="K243" s="7"/>
      <c r="L243" s="7"/>
      <c r="M243" s="7"/>
      <c r="N243" s="7">
        <f t="shared" si="2"/>
        <v>0</v>
      </c>
      <c r="O243" s="7"/>
    </row>
    <row r="244">
      <c r="A244" s="31" t="s">
        <v>1023</v>
      </c>
      <c r="B244" s="26" t="s">
        <v>1024</v>
      </c>
      <c r="C244" s="26" t="s">
        <v>1025</v>
      </c>
      <c r="D244" s="26" t="s">
        <v>1026</v>
      </c>
      <c r="E244" s="27"/>
      <c r="F244" s="30" t="s">
        <v>1027</v>
      </c>
      <c r="G244" s="13"/>
      <c r="H244" s="10"/>
      <c r="I244" s="29"/>
      <c r="J244" s="7"/>
      <c r="K244" s="7"/>
      <c r="L244" s="7"/>
      <c r="M244" s="7"/>
      <c r="N244" s="7">
        <f t="shared" si="2"/>
        <v>1</v>
      </c>
      <c r="O244" s="7"/>
    </row>
    <row r="245">
      <c r="A245" s="26" t="s">
        <v>1028</v>
      </c>
      <c r="B245" s="26" t="s">
        <v>1029</v>
      </c>
      <c r="C245" s="26" t="s">
        <v>584</v>
      </c>
      <c r="D245" s="27"/>
      <c r="E245" s="32" t="s">
        <v>1030</v>
      </c>
      <c r="F245" s="29"/>
      <c r="G245" s="13"/>
      <c r="H245" s="10"/>
      <c r="I245" s="29"/>
      <c r="J245" s="7"/>
      <c r="K245" s="7"/>
      <c r="L245" s="7"/>
      <c r="M245" s="7"/>
      <c r="N245" s="7">
        <f t="shared" si="2"/>
        <v>0</v>
      </c>
      <c r="O245" s="7"/>
    </row>
    <row r="246">
      <c r="A246" s="26" t="s">
        <v>1031</v>
      </c>
      <c r="B246" s="26" t="s">
        <v>1032</v>
      </c>
      <c r="C246" s="26" t="s">
        <v>589</v>
      </c>
      <c r="D246" s="26" t="s">
        <v>598</v>
      </c>
      <c r="E246" s="28" t="s">
        <v>1033</v>
      </c>
      <c r="F246" s="29"/>
      <c r="G246" s="13"/>
      <c r="H246" s="10"/>
      <c r="I246" s="29"/>
      <c r="J246" s="7"/>
      <c r="K246" s="7"/>
      <c r="L246" s="7"/>
      <c r="M246" s="7"/>
      <c r="N246" s="7">
        <f t="shared" si="2"/>
        <v>0</v>
      </c>
      <c r="O246" s="7"/>
    </row>
    <row r="247">
      <c r="A247" s="26" t="s">
        <v>1035</v>
      </c>
      <c r="B247" s="26" t="s">
        <v>1036</v>
      </c>
      <c r="C247" s="26" t="s">
        <v>589</v>
      </c>
      <c r="D247" s="26" t="s">
        <v>635</v>
      </c>
      <c r="E247" s="28" t="s">
        <v>1037</v>
      </c>
      <c r="F247" s="30" t="s">
        <v>1038</v>
      </c>
      <c r="G247" s="13"/>
      <c r="H247" s="10"/>
      <c r="I247" s="29"/>
      <c r="J247" s="7"/>
      <c r="K247" s="7"/>
      <c r="L247" s="7"/>
      <c r="M247" s="7"/>
      <c r="N247" s="7">
        <f t="shared" si="2"/>
        <v>1</v>
      </c>
      <c r="O247" s="7"/>
    </row>
    <row r="248">
      <c r="A248" s="26" t="s">
        <v>1039</v>
      </c>
      <c r="B248" s="26" t="s">
        <v>1040</v>
      </c>
      <c r="C248" s="26" t="s">
        <v>589</v>
      </c>
      <c r="D248" s="27"/>
      <c r="E248" s="28" t="s">
        <v>1041</v>
      </c>
      <c r="F248" s="30" t="s">
        <v>1042</v>
      </c>
      <c r="G248" s="13"/>
      <c r="H248" s="10"/>
      <c r="I248" s="29"/>
      <c r="J248" s="7"/>
      <c r="K248" s="7"/>
      <c r="L248" s="7"/>
      <c r="M248" s="7"/>
      <c r="N248" s="7">
        <f t="shared" si="2"/>
        <v>1</v>
      </c>
      <c r="O248" s="7"/>
    </row>
    <row r="249">
      <c r="A249" s="26" t="s">
        <v>1043</v>
      </c>
      <c r="B249" s="26" t="s">
        <v>1044</v>
      </c>
      <c r="C249" s="26" t="s">
        <v>589</v>
      </c>
      <c r="D249" s="27"/>
      <c r="E249" s="28" t="s">
        <v>1045</v>
      </c>
      <c r="F249" s="29"/>
      <c r="G249" s="13"/>
      <c r="H249" s="10"/>
      <c r="I249" s="29"/>
      <c r="J249" s="7"/>
      <c r="K249" s="7"/>
      <c r="L249" s="7"/>
      <c r="M249" s="7"/>
      <c r="N249" s="7">
        <f t="shared" si="2"/>
        <v>0</v>
      </c>
      <c r="O249" s="7"/>
    </row>
    <row r="250">
      <c r="A250" s="26" t="s">
        <v>1047</v>
      </c>
      <c r="B250" s="26" t="s">
        <v>1048</v>
      </c>
      <c r="C250" s="26" t="s">
        <v>589</v>
      </c>
      <c r="D250" s="26" t="s">
        <v>635</v>
      </c>
      <c r="E250" s="28" t="s">
        <v>1049</v>
      </c>
      <c r="F250" s="29"/>
      <c r="G250" s="13"/>
      <c r="H250" s="10"/>
      <c r="I250" s="29"/>
      <c r="J250" s="7"/>
      <c r="K250" s="7"/>
      <c r="L250" s="7"/>
      <c r="M250" s="7"/>
      <c r="N250" s="7">
        <f t="shared" si="2"/>
        <v>0</v>
      </c>
      <c r="O250" s="7"/>
    </row>
    <row r="251">
      <c r="A251" s="26" t="s">
        <v>1050</v>
      </c>
      <c r="B251" s="26" t="s">
        <v>1051</v>
      </c>
      <c r="C251" s="26" t="s">
        <v>589</v>
      </c>
      <c r="D251" s="27"/>
      <c r="E251" s="28" t="s">
        <v>1052</v>
      </c>
      <c r="F251" s="30" t="s">
        <v>1053</v>
      </c>
      <c r="G251" s="13"/>
      <c r="H251" s="10"/>
      <c r="I251" s="29"/>
      <c r="J251" s="7"/>
      <c r="K251" s="7"/>
      <c r="L251" s="7"/>
      <c r="M251" s="7"/>
      <c r="N251" s="7">
        <f t="shared" si="2"/>
        <v>1</v>
      </c>
      <c r="O251" s="7"/>
    </row>
    <row r="252">
      <c r="A252" s="26" t="s">
        <v>1054</v>
      </c>
      <c r="B252" s="26" t="s">
        <v>1055</v>
      </c>
      <c r="C252" s="26" t="s">
        <v>589</v>
      </c>
      <c r="D252" s="27"/>
      <c r="E252" s="28" t="s">
        <v>1056</v>
      </c>
      <c r="F252" s="29"/>
      <c r="G252" s="13"/>
      <c r="H252" s="10"/>
      <c r="I252" s="29"/>
      <c r="J252" s="7"/>
      <c r="K252" s="7"/>
      <c r="L252" s="7"/>
      <c r="M252" s="7"/>
      <c r="N252" s="7">
        <f t="shared" si="2"/>
        <v>0</v>
      </c>
      <c r="O252" s="7"/>
    </row>
    <row r="253">
      <c r="A253" s="26" t="s">
        <v>1057</v>
      </c>
      <c r="B253" s="26" t="s">
        <v>1058</v>
      </c>
      <c r="C253" s="26" t="s">
        <v>1059</v>
      </c>
      <c r="D253" s="26" t="s">
        <v>635</v>
      </c>
      <c r="E253" s="28" t="s">
        <v>1060</v>
      </c>
      <c r="F253" s="30" t="s">
        <v>1061</v>
      </c>
      <c r="G253" s="13"/>
      <c r="H253" s="10"/>
      <c r="I253" s="29"/>
      <c r="J253" s="7"/>
      <c r="K253" s="7"/>
      <c r="L253" s="7"/>
      <c r="M253" s="7"/>
      <c r="N253" s="7">
        <f t="shared" si="2"/>
        <v>1</v>
      </c>
      <c r="O253" s="7"/>
    </row>
    <row r="254">
      <c r="A254" s="26" t="s">
        <v>1062</v>
      </c>
      <c r="B254" s="26" t="s">
        <v>1063</v>
      </c>
      <c r="C254" s="26" t="s">
        <v>589</v>
      </c>
      <c r="D254" s="26" t="s">
        <v>598</v>
      </c>
      <c r="E254" s="28" t="s">
        <v>1064</v>
      </c>
      <c r="F254" s="29"/>
      <c r="G254" s="13"/>
      <c r="H254" s="10"/>
      <c r="I254" s="29"/>
      <c r="J254" s="7"/>
      <c r="K254" s="7"/>
      <c r="L254" s="7"/>
      <c r="M254" s="7"/>
      <c r="N254" s="7">
        <f t="shared" si="2"/>
        <v>0</v>
      </c>
      <c r="O254" s="7"/>
    </row>
    <row r="255">
      <c r="A255" s="26" t="s">
        <v>1065</v>
      </c>
      <c r="B255" s="26" t="s">
        <v>1066</v>
      </c>
      <c r="C255" s="26" t="s">
        <v>584</v>
      </c>
      <c r="D255" s="27"/>
      <c r="E255" s="32" t="s">
        <v>1067</v>
      </c>
      <c r="F255" s="30" t="s">
        <v>1068</v>
      </c>
      <c r="G255" s="13"/>
      <c r="H255" s="10"/>
      <c r="I255" s="29"/>
      <c r="J255" s="7"/>
      <c r="K255" s="7"/>
      <c r="L255" s="7"/>
      <c r="M255" s="7"/>
      <c r="N255" s="7">
        <f t="shared" si="2"/>
        <v>1</v>
      </c>
      <c r="O255" s="7"/>
    </row>
    <row r="256">
      <c r="A256" s="26" t="s">
        <v>1070</v>
      </c>
      <c r="B256" s="26" t="s">
        <v>1071</v>
      </c>
      <c r="C256" s="26" t="s">
        <v>589</v>
      </c>
      <c r="D256" s="26" t="s">
        <v>598</v>
      </c>
      <c r="E256" s="28" t="s">
        <v>1072</v>
      </c>
      <c r="F256" s="29"/>
      <c r="G256" s="13"/>
      <c r="H256" s="10"/>
      <c r="I256" s="29"/>
      <c r="J256" s="7"/>
      <c r="K256" s="7"/>
      <c r="L256" s="7"/>
      <c r="M256" s="7"/>
      <c r="N256" s="7">
        <f t="shared" si="2"/>
        <v>0</v>
      </c>
      <c r="O256" s="7"/>
    </row>
    <row r="257">
      <c r="A257" s="26" t="s">
        <v>1073</v>
      </c>
      <c r="B257" s="26" t="s">
        <v>1074</v>
      </c>
      <c r="C257" s="26" t="s">
        <v>835</v>
      </c>
      <c r="D257" s="27"/>
      <c r="E257" s="28" t="s">
        <v>1075</v>
      </c>
      <c r="F257" s="29"/>
      <c r="G257" s="13"/>
      <c r="H257" s="10"/>
      <c r="I257" s="29"/>
      <c r="J257" s="7"/>
      <c r="K257" s="7"/>
      <c r="L257" s="7"/>
      <c r="M257" s="7"/>
      <c r="N257" s="7">
        <f t="shared" si="2"/>
        <v>0</v>
      </c>
      <c r="O257" s="7"/>
    </row>
    <row r="258">
      <c r="A258" s="26" t="s">
        <v>1076</v>
      </c>
      <c r="B258" s="26" t="s">
        <v>1077</v>
      </c>
      <c r="C258" s="26" t="s">
        <v>589</v>
      </c>
      <c r="D258" s="26" t="s">
        <v>598</v>
      </c>
      <c r="E258" s="28" t="s">
        <v>1078</v>
      </c>
      <c r="F258" s="29"/>
      <c r="G258" s="13"/>
      <c r="H258" s="10"/>
      <c r="I258" s="29"/>
      <c r="J258" s="7"/>
      <c r="K258" s="7"/>
      <c r="L258" s="7"/>
      <c r="M258" s="7"/>
      <c r="N258" s="7">
        <f t="shared" si="2"/>
        <v>0</v>
      </c>
      <c r="O258" s="7"/>
    </row>
    <row r="259">
      <c r="A259" s="26" t="s">
        <v>1079</v>
      </c>
      <c r="B259" s="26" t="s">
        <v>1080</v>
      </c>
      <c r="C259" s="26" t="s">
        <v>584</v>
      </c>
      <c r="D259" s="27"/>
      <c r="E259" s="28" t="s">
        <v>1081</v>
      </c>
      <c r="F259" s="29"/>
      <c r="G259" s="13"/>
      <c r="H259" s="10"/>
      <c r="I259" s="29"/>
      <c r="J259" s="7"/>
      <c r="K259" s="7"/>
      <c r="L259" s="7"/>
      <c r="M259" s="7"/>
      <c r="N259" s="7">
        <f t="shared" si="2"/>
        <v>0</v>
      </c>
      <c r="O259" s="7"/>
    </row>
    <row r="260">
      <c r="A260" s="26" t="s">
        <v>1082</v>
      </c>
      <c r="B260" s="26" t="s">
        <v>1083</v>
      </c>
      <c r="C260" s="26" t="s">
        <v>589</v>
      </c>
      <c r="D260" s="27"/>
      <c r="E260" s="28" t="s">
        <v>1084</v>
      </c>
      <c r="F260" s="29"/>
      <c r="G260" s="13"/>
      <c r="H260" s="10"/>
      <c r="I260" s="29"/>
      <c r="J260" s="7"/>
      <c r="K260" s="7"/>
      <c r="L260" s="7"/>
      <c r="M260" s="7"/>
      <c r="N260" s="7">
        <f t="shared" si="2"/>
        <v>0</v>
      </c>
      <c r="O260" s="7"/>
    </row>
    <row r="261">
      <c r="A261" s="26" t="s">
        <v>1085</v>
      </c>
      <c r="B261" s="26" t="s">
        <v>1086</v>
      </c>
      <c r="C261" s="26" t="s">
        <v>589</v>
      </c>
      <c r="D261" s="26" t="s">
        <v>1087</v>
      </c>
      <c r="E261" s="28" t="s">
        <v>1088</v>
      </c>
      <c r="F261" s="30" t="s">
        <v>1089</v>
      </c>
      <c r="G261" s="13"/>
      <c r="H261" s="10"/>
      <c r="I261" s="29"/>
      <c r="J261" s="7"/>
      <c r="K261" s="7"/>
      <c r="L261" s="7"/>
      <c r="M261" s="7"/>
      <c r="N261" s="7">
        <f t="shared" si="2"/>
        <v>1</v>
      </c>
      <c r="O261" s="7"/>
    </row>
    <row r="262">
      <c r="A262" s="26" t="s">
        <v>1090</v>
      </c>
      <c r="B262" s="26" t="s">
        <v>1091</v>
      </c>
      <c r="C262" s="26" t="s">
        <v>589</v>
      </c>
      <c r="D262" s="26" t="s">
        <v>235</v>
      </c>
      <c r="E262" s="28" t="s">
        <v>1088</v>
      </c>
      <c r="F262" s="30" t="s">
        <v>1092</v>
      </c>
      <c r="G262" s="13"/>
      <c r="H262" s="10"/>
      <c r="I262" s="29"/>
      <c r="J262" s="7"/>
      <c r="K262" s="7"/>
      <c r="L262" s="7"/>
      <c r="M262" s="7"/>
      <c r="N262" s="7">
        <f t="shared" si="2"/>
        <v>1</v>
      </c>
      <c r="O262" s="7"/>
    </row>
    <row r="263">
      <c r="A263" s="26" t="s">
        <v>1093</v>
      </c>
      <c r="B263" s="26" t="s">
        <v>1094</v>
      </c>
      <c r="C263" s="26" t="s">
        <v>589</v>
      </c>
      <c r="D263" s="26" t="s">
        <v>235</v>
      </c>
      <c r="E263" s="28" t="s">
        <v>1088</v>
      </c>
      <c r="F263" s="30" t="s">
        <v>1095</v>
      </c>
      <c r="G263" s="13"/>
      <c r="H263" s="10"/>
      <c r="I263" s="29"/>
      <c r="J263" s="7"/>
      <c r="K263" s="7"/>
      <c r="L263" s="7"/>
      <c r="M263" s="7"/>
      <c r="N263" s="7">
        <f t="shared" si="2"/>
        <v>1</v>
      </c>
      <c r="O263" s="7"/>
    </row>
    <row r="264">
      <c r="A264" s="26" t="s">
        <v>1096</v>
      </c>
      <c r="B264" s="26" t="s">
        <v>1097</v>
      </c>
      <c r="C264" s="26" t="s">
        <v>589</v>
      </c>
      <c r="D264" s="27"/>
      <c r="E264" s="32" t="s">
        <v>1098</v>
      </c>
      <c r="F264" s="30" t="s">
        <v>1099</v>
      </c>
      <c r="G264" s="13"/>
      <c r="H264" s="10"/>
      <c r="I264" s="29"/>
      <c r="J264" s="7"/>
      <c r="K264" s="7"/>
      <c r="L264" s="7"/>
      <c r="M264" s="7"/>
      <c r="N264" s="7">
        <f t="shared" si="2"/>
        <v>1</v>
      </c>
      <c r="O264" s="7"/>
    </row>
    <row r="265">
      <c r="A265" s="26" t="s">
        <v>1100</v>
      </c>
      <c r="B265" s="26" t="s">
        <v>1101</v>
      </c>
      <c r="C265" s="26" t="s">
        <v>589</v>
      </c>
      <c r="D265" s="27"/>
      <c r="E265" s="28" t="s">
        <v>1102</v>
      </c>
      <c r="F265" s="30" t="s">
        <v>1103</v>
      </c>
      <c r="G265" s="13"/>
      <c r="H265" s="10"/>
      <c r="I265" s="29"/>
      <c r="J265" s="7"/>
      <c r="K265" s="7"/>
      <c r="L265" s="7"/>
      <c r="M265" s="7"/>
      <c r="N265" s="7">
        <f t="shared" si="2"/>
        <v>1</v>
      </c>
      <c r="O265" s="7"/>
    </row>
    <row r="266">
      <c r="A266" s="26" t="s">
        <v>1104</v>
      </c>
      <c r="B266" s="26" t="s">
        <v>1105</v>
      </c>
      <c r="C266" s="26" t="s">
        <v>589</v>
      </c>
      <c r="D266" s="27"/>
      <c r="E266" s="28" t="s">
        <v>1106</v>
      </c>
      <c r="F266" s="30" t="s">
        <v>1107</v>
      </c>
      <c r="G266" s="13"/>
      <c r="H266" s="10"/>
      <c r="I266" s="29"/>
      <c r="J266" s="7"/>
      <c r="K266" s="7"/>
      <c r="L266" s="7"/>
      <c r="M266" s="7"/>
      <c r="N266" s="7">
        <f t="shared" si="2"/>
        <v>1</v>
      </c>
      <c r="O266" s="7"/>
    </row>
    <row r="267">
      <c r="A267" s="26" t="s">
        <v>1108</v>
      </c>
      <c r="B267" s="26" t="s">
        <v>1109</v>
      </c>
      <c r="C267" s="26" t="s">
        <v>648</v>
      </c>
      <c r="D267" s="26" t="s">
        <v>1026</v>
      </c>
      <c r="E267" s="27"/>
      <c r="F267" s="30" t="s">
        <v>1110</v>
      </c>
      <c r="G267" s="13"/>
      <c r="H267" s="10"/>
      <c r="I267" s="29"/>
      <c r="J267" s="7"/>
      <c r="K267" s="7"/>
      <c r="L267" s="7"/>
      <c r="M267" s="7"/>
      <c r="N267" s="7">
        <f t="shared" si="2"/>
        <v>1</v>
      </c>
      <c r="O267" s="7"/>
    </row>
    <row r="268">
      <c r="A268" s="26" t="s">
        <v>1111</v>
      </c>
      <c r="B268" s="26" t="s">
        <v>1112</v>
      </c>
      <c r="C268" s="26" t="s">
        <v>589</v>
      </c>
      <c r="D268" s="27"/>
      <c r="E268" s="28" t="s">
        <v>1113</v>
      </c>
      <c r="F268" s="29"/>
      <c r="G268" s="13"/>
      <c r="H268" s="10"/>
      <c r="I268" s="29"/>
      <c r="J268" s="7"/>
      <c r="K268" s="7"/>
      <c r="L268" s="7"/>
      <c r="M268" s="7"/>
      <c r="N268" s="7">
        <f t="shared" si="2"/>
        <v>0</v>
      </c>
      <c r="O268" s="7"/>
    </row>
    <row r="269">
      <c r="A269" s="26" t="s">
        <v>1114</v>
      </c>
      <c r="B269" s="26" t="s">
        <v>1115</v>
      </c>
      <c r="C269" s="26" t="s">
        <v>589</v>
      </c>
      <c r="D269" s="27"/>
      <c r="E269" s="28" t="s">
        <v>1116</v>
      </c>
      <c r="F269" s="29"/>
      <c r="G269" s="13"/>
      <c r="H269" s="10"/>
      <c r="I269" s="29"/>
      <c r="J269" s="7"/>
      <c r="K269" s="7"/>
      <c r="L269" s="7"/>
      <c r="M269" s="7"/>
      <c r="N269" s="7">
        <f t="shared" si="2"/>
        <v>0</v>
      </c>
      <c r="O269" s="7"/>
    </row>
    <row r="270">
      <c r="A270" s="26" t="s">
        <v>1117</v>
      </c>
      <c r="B270" s="26" t="s">
        <v>1118</v>
      </c>
      <c r="C270" s="26" t="s">
        <v>589</v>
      </c>
      <c r="D270" s="26" t="s">
        <v>598</v>
      </c>
      <c r="E270" s="28" t="s">
        <v>1119</v>
      </c>
      <c r="F270" s="29"/>
      <c r="G270" s="13"/>
      <c r="H270" s="10"/>
      <c r="I270" s="29"/>
      <c r="J270" s="7"/>
      <c r="K270" s="7"/>
      <c r="L270" s="7"/>
      <c r="M270" s="7"/>
      <c r="N270" s="7">
        <f t="shared" si="2"/>
        <v>0</v>
      </c>
      <c r="O270" s="7"/>
    </row>
    <row r="271">
      <c r="A271" s="26" t="s">
        <v>1120</v>
      </c>
      <c r="B271" s="26" t="s">
        <v>1020</v>
      </c>
      <c r="C271" s="26" t="s">
        <v>589</v>
      </c>
      <c r="D271" s="27"/>
      <c r="E271" s="28" t="s">
        <v>1121</v>
      </c>
      <c r="F271" s="30" t="s">
        <v>1122</v>
      </c>
      <c r="G271" s="13"/>
      <c r="H271" s="10"/>
      <c r="I271" s="30" t="s">
        <v>351</v>
      </c>
      <c r="J271" s="7"/>
      <c r="K271" s="7"/>
      <c r="L271" s="7"/>
      <c r="M271" s="7"/>
      <c r="N271" s="7">
        <f t="shared" si="2"/>
        <v>1</v>
      </c>
      <c r="O271" s="7"/>
    </row>
    <row r="272">
      <c r="A272" s="26" t="s">
        <v>1123</v>
      </c>
      <c r="B272" s="26" t="s">
        <v>1124</v>
      </c>
      <c r="C272" s="26" t="s">
        <v>589</v>
      </c>
      <c r="D272" s="27"/>
      <c r="E272" s="28" t="s">
        <v>1125</v>
      </c>
      <c r="F272" s="30" t="s">
        <v>1126</v>
      </c>
      <c r="G272" s="13"/>
      <c r="H272" s="10"/>
      <c r="I272" s="30" t="s">
        <v>260</v>
      </c>
      <c r="J272" s="7"/>
      <c r="K272" s="7"/>
      <c r="L272" s="7"/>
      <c r="M272" s="7"/>
      <c r="N272" s="7">
        <f t="shared" si="2"/>
        <v>1</v>
      </c>
      <c r="O272" s="7"/>
    </row>
    <row r="273">
      <c r="A273" s="26" t="s">
        <v>1127</v>
      </c>
      <c r="B273" s="26" t="s">
        <v>1128</v>
      </c>
      <c r="C273" s="26" t="s">
        <v>589</v>
      </c>
      <c r="D273" s="27"/>
      <c r="E273" s="28" t="s">
        <v>1129</v>
      </c>
      <c r="F273" s="30" t="s">
        <v>1130</v>
      </c>
      <c r="G273" s="13"/>
      <c r="H273" s="10"/>
      <c r="I273" s="30" t="s">
        <v>324</v>
      </c>
      <c r="J273" s="7"/>
      <c r="K273" s="7"/>
      <c r="L273" s="7"/>
      <c r="M273" s="7"/>
      <c r="N273" s="7">
        <f t="shared" si="2"/>
        <v>1</v>
      </c>
      <c r="O273" s="7"/>
    </row>
    <row r="274">
      <c r="A274" s="26" t="s">
        <v>1131</v>
      </c>
      <c r="B274" s="31" t="s">
        <v>1132</v>
      </c>
      <c r="C274" s="26" t="s">
        <v>589</v>
      </c>
      <c r="D274" s="26" t="s">
        <v>598</v>
      </c>
      <c r="E274" s="28" t="s">
        <v>1133</v>
      </c>
      <c r="F274" s="29"/>
      <c r="G274" s="13"/>
      <c r="H274" s="10"/>
      <c r="I274" s="29"/>
      <c r="J274" s="7"/>
      <c r="K274" s="7"/>
      <c r="L274" s="7"/>
      <c r="M274" s="7"/>
      <c r="N274" s="7">
        <f t="shared" si="2"/>
        <v>0</v>
      </c>
      <c r="O274" s="7"/>
    </row>
    <row r="275">
      <c r="A275" s="26" t="s">
        <v>1134</v>
      </c>
      <c r="B275" s="31" t="s">
        <v>1135</v>
      </c>
      <c r="C275" s="26" t="s">
        <v>589</v>
      </c>
      <c r="D275" s="27"/>
      <c r="E275" s="28" t="s">
        <v>1136</v>
      </c>
      <c r="F275" s="29"/>
      <c r="G275" s="13"/>
      <c r="H275" s="10"/>
      <c r="I275" s="29"/>
      <c r="J275" s="7"/>
      <c r="K275" s="7"/>
      <c r="L275" s="7"/>
      <c r="M275" s="7"/>
      <c r="N275" s="7">
        <f t="shared" si="2"/>
        <v>0</v>
      </c>
      <c r="O275" s="7"/>
    </row>
    <row r="276">
      <c r="A276" s="31" t="s">
        <v>1138</v>
      </c>
      <c r="B276" s="26" t="s">
        <v>1139</v>
      </c>
      <c r="C276" s="26" t="s">
        <v>589</v>
      </c>
      <c r="D276" s="26" t="s">
        <v>598</v>
      </c>
      <c r="E276" s="27"/>
      <c r="F276" s="30" t="s">
        <v>1140</v>
      </c>
      <c r="G276" s="13"/>
      <c r="H276" s="10"/>
      <c r="I276" s="29"/>
      <c r="J276" s="7"/>
      <c r="K276" s="7"/>
      <c r="L276" s="7"/>
      <c r="M276" s="7"/>
      <c r="N276" s="7">
        <f t="shared" si="2"/>
        <v>1</v>
      </c>
      <c r="O276" s="7"/>
    </row>
    <row r="277">
      <c r="A277" s="26" t="s">
        <v>1141</v>
      </c>
      <c r="B277" s="26" t="s">
        <v>1142</v>
      </c>
      <c r="C277" s="26" t="s">
        <v>589</v>
      </c>
      <c r="D277" s="27"/>
      <c r="E277" s="28" t="s">
        <v>1143</v>
      </c>
      <c r="F277" s="30" t="s">
        <v>1144</v>
      </c>
      <c r="G277" s="13"/>
      <c r="H277" s="10"/>
      <c r="I277" s="29"/>
      <c r="J277" s="7"/>
      <c r="K277" s="7"/>
      <c r="L277" s="7"/>
      <c r="M277" s="7"/>
      <c r="N277" s="7">
        <f t="shared" si="2"/>
        <v>1</v>
      </c>
      <c r="O277" s="7"/>
    </row>
    <row r="278">
      <c r="A278" s="26" t="s">
        <v>1145</v>
      </c>
      <c r="B278" s="26" t="s">
        <v>1146</v>
      </c>
      <c r="C278" s="26" t="s">
        <v>584</v>
      </c>
      <c r="D278" s="27"/>
      <c r="E278" s="33" t="s">
        <v>1868</v>
      </c>
      <c r="F278" s="30" t="s">
        <v>1148</v>
      </c>
      <c r="G278" s="13"/>
      <c r="H278" s="10"/>
      <c r="I278" s="29"/>
      <c r="J278" s="7"/>
      <c r="K278" s="7"/>
      <c r="L278" s="7"/>
      <c r="M278" s="7"/>
      <c r="N278" s="7">
        <f t="shared" si="2"/>
        <v>1</v>
      </c>
      <c r="O278" s="7"/>
    </row>
    <row r="279">
      <c r="A279" s="26" t="s">
        <v>1149</v>
      </c>
      <c r="B279" s="26" t="s">
        <v>1150</v>
      </c>
      <c r="C279" s="26" t="s">
        <v>1151</v>
      </c>
      <c r="D279" s="27"/>
      <c r="E279" s="28" t="s">
        <v>1152</v>
      </c>
      <c r="F279" s="29"/>
      <c r="G279" s="13"/>
      <c r="H279" s="10"/>
      <c r="I279" s="29"/>
      <c r="J279" s="7"/>
      <c r="K279" s="7"/>
      <c r="L279" s="7"/>
      <c r="M279" s="7"/>
      <c r="N279" s="7">
        <f t="shared" si="2"/>
        <v>0</v>
      </c>
      <c r="O279" s="7"/>
    </row>
    <row r="280">
      <c r="A280" s="31" t="s">
        <v>1153</v>
      </c>
      <c r="B280" s="26" t="s">
        <v>1154</v>
      </c>
      <c r="C280" s="26" t="s">
        <v>589</v>
      </c>
      <c r="D280" s="27"/>
      <c r="E280" s="28" t="s">
        <v>1155</v>
      </c>
      <c r="F280" s="30" t="s">
        <v>1156</v>
      </c>
      <c r="G280" s="13"/>
      <c r="H280" s="10"/>
      <c r="I280" s="30" t="s">
        <v>39</v>
      </c>
      <c r="J280" s="7"/>
      <c r="K280" s="7"/>
      <c r="L280" s="7"/>
      <c r="M280" s="7"/>
      <c r="N280" s="7">
        <f t="shared" si="2"/>
        <v>1</v>
      </c>
      <c r="O280" s="7"/>
    </row>
    <row r="281">
      <c r="A281" s="26" t="s">
        <v>1157</v>
      </c>
      <c r="B281" s="26" t="s">
        <v>1158</v>
      </c>
      <c r="C281" s="26" t="s">
        <v>584</v>
      </c>
      <c r="D281" s="27"/>
      <c r="E281" s="28" t="s">
        <v>1159</v>
      </c>
      <c r="F281" s="29"/>
      <c r="G281" s="13"/>
      <c r="H281" s="10"/>
      <c r="I281" s="29"/>
      <c r="J281" s="7"/>
      <c r="K281" s="7"/>
      <c r="L281" s="7"/>
      <c r="M281" s="7"/>
      <c r="N281" s="7">
        <f t="shared" si="2"/>
        <v>0</v>
      </c>
      <c r="O281" s="7"/>
    </row>
    <row r="282">
      <c r="A282" s="26" t="s">
        <v>1160</v>
      </c>
      <c r="B282" s="26" t="s">
        <v>1161</v>
      </c>
      <c r="C282" s="26" t="s">
        <v>1162</v>
      </c>
      <c r="D282" s="27"/>
      <c r="E282" s="28" t="s">
        <v>1163</v>
      </c>
      <c r="F282" s="29"/>
      <c r="G282" s="13"/>
      <c r="H282" s="10"/>
      <c r="I282" s="29"/>
      <c r="J282" s="7"/>
      <c r="K282" s="7"/>
      <c r="L282" s="7"/>
      <c r="M282" s="7"/>
      <c r="N282" s="7">
        <f t="shared" si="2"/>
        <v>0</v>
      </c>
      <c r="O282" s="7"/>
    </row>
    <row r="283">
      <c r="A283" s="26" t="s">
        <v>1164</v>
      </c>
      <c r="B283" s="26" t="s">
        <v>1165</v>
      </c>
      <c r="C283" s="26" t="s">
        <v>589</v>
      </c>
      <c r="D283" s="27"/>
      <c r="E283" s="28" t="s">
        <v>1166</v>
      </c>
      <c r="F283" s="30" t="s">
        <v>1167</v>
      </c>
      <c r="G283" s="13"/>
      <c r="H283" s="10"/>
      <c r="I283" s="29"/>
      <c r="J283" s="7"/>
      <c r="K283" s="7"/>
      <c r="L283" s="7"/>
      <c r="M283" s="7"/>
      <c r="N283" s="7">
        <f t="shared" si="2"/>
        <v>1</v>
      </c>
      <c r="O283" s="7"/>
    </row>
    <row r="284">
      <c r="A284" s="26" t="s">
        <v>1168</v>
      </c>
      <c r="B284" s="26" t="s">
        <v>1169</v>
      </c>
      <c r="C284" s="26" t="s">
        <v>1059</v>
      </c>
      <c r="D284" s="27"/>
      <c r="E284" s="28" t="s">
        <v>1170</v>
      </c>
      <c r="F284" s="30" t="s">
        <v>1171</v>
      </c>
      <c r="G284" s="13"/>
      <c r="H284" s="10"/>
      <c r="I284" s="29"/>
      <c r="J284" s="7"/>
      <c r="K284" s="7"/>
      <c r="L284" s="7"/>
      <c r="M284" s="7"/>
      <c r="N284" s="7">
        <f t="shared" si="2"/>
        <v>1</v>
      </c>
      <c r="O284" s="7"/>
    </row>
    <row r="285" ht="16.5" customHeight="1">
      <c r="A285" s="26" t="s">
        <v>1172</v>
      </c>
      <c r="B285" s="26" t="s">
        <v>1173</v>
      </c>
      <c r="C285" s="26" t="s">
        <v>589</v>
      </c>
      <c r="D285" s="28" t="s">
        <v>1174</v>
      </c>
      <c r="E285" s="33" t="s">
        <v>1869</v>
      </c>
      <c r="F285" s="30" t="s">
        <v>1176</v>
      </c>
      <c r="G285" s="13"/>
      <c r="H285" s="10"/>
      <c r="I285" s="30" t="s">
        <v>122</v>
      </c>
      <c r="J285" s="7"/>
      <c r="K285" s="7"/>
      <c r="L285" s="7"/>
      <c r="M285" s="7"/>
      <c r="N285" s="7">
        <f t="shared" si="2"/>
        <v>1</v>
      </c>
      <c r="O285" s="7"/>
    </row>
    <row r="286" ht="15.75" customHeight="1">
      <c r="A286" s="26" t="s">
        <v>1177</v>
      </c>
      <c r="B286" s="26" t="s">
        <v>1178</v>
      </c>
      <c r="C286" s="26" t="s">
        <v>589</v>
      </c>
      <c r="D286" s="28" t="s">
        <v>1174</v>
      </c>
      <c r="E286" s="28" t="s">
        <v>1179</v>
      </c>
      <c r="F286" s="30" t="s">
        <v>1180</v>
      </c>
      <c r="G286" s="13"/>
      <c r="H286" s="10"/>
      <c r="I286" s="30" t="s">
        <v>122</v>
      </c>
      <c r="J286" s="7"/>
      <c r="K286" s="7"/>
      <c r="L286" s="7"/>
      <c r="M286" s="7"/>
      <c r="N286" s="7">
        <f t="shared" si="2"/>
        <v>1</v>
      </c>
      <c r="O286" s="7"/>
    </row>
    <row r="287">
      <c r="A287" s="26" t="s">
        <v>1181</v>
      </c>
      <c r="B287" s="31" t="s">
        <v>1182</v>
      </c>
      <c r="C287" s="26" t="s">
        <v>589</v>
      </c>
      <c r="D287" s="26"/>
      <c r="E287" s="28" t="s">
        <v>1871</v>
      </c>
      <c r="F287" s="29"/>
      <c r="G287" s="13"/>
      <c r="H287" s="10"/>
      <c r="I287" s="30" t="s">
        <v>403</v>
      </c>
      <c r="J287" s="7"/>
      <c r="K287" s="7"/>
      <c r="L287" s="7"/>
      <c r="M287" s="7"/>
      <c r="N287" s="7">
        <f t="shared" si="2"/>
        <v>0</v>
      </c>
      <c r="O287" s="7"/>
    </row>
    <row r="288">
      <c r="A288" s="26" t="s">
        <v>1184</v>
      </c>
      <c r="B288" s="26" t="s">
        <v>1185</v>
      </c>
      <c r="C288" s="26" t="s">
        <v>835</v>
      </c>
      <c r="D288" s="26" t="s">
        <v>635</v>
      </c>
      <c r="E288" s="28" t="s">
        <v>1186</v>
      </c>
      <c r="F288" s="29"/>
      <c r="G288" s="13"/>
      <c r="H288" s="10"/>
      <c r="I288" s="29"/>
      <c r="J288" s="7"/>
      <c r="K288" s="7"/>
      <c r="L288" s="7"/>
      <c r="M288" s="7"/>
      <c r="N288" s="7">
        <f t="shared" si="2"/>
        <v>0</v>
      </c>
      <c r="O288" s="7"/>
    </row>
    <row r="289">
      <c r="A289" s="26" t="s">
        <v>1187</v>
      </c>
      <c r="B289" s="26" t="s">
        <v>1188</v>
      </c>
      <c r="C289" s="26" t="s">
        <v>589</v>
      </c>
      <c r="D289" s="27"/>
      <c r="E289" s="28" t="s">
        <v>1189</v>
      </c>
      <c r="F289" s="30" t="s">
        <v>1190</v>
      </c>
      <c r="G289" s="13"/>
      <c r="H289" s="10"/>
      <c r="I289" s="30" t="s">
        <v>52</v>
      </c>
      <c r="J289" s="7"/>
      <c r="K289" s="7"/>
      <c r="L289" s="7"/>
      <c r="M289" s="7"/>
      <c r="N289" s="7">
        <f t="shared" si="2"/>
        <v>1</v>
      </c>
      <c r="O289" s="7"/>
    </row>
    <row r="290">
      <c r="A290" s="26" t="s">
        <v>1191</v>
      </c>
      <c r="B290" s="26" t="s">
        <v>1192</v>
      </c>
      <c r="C290" s="26" t="s">
        <v>589</v>
      </c>
      <c r="D290" s="27"/>
      <c r="E290" s="28" t="s">
        <v>1193</v>
      </c>
      <c r="F290" s="30" t="s">
        <v>1194</v>
      </c>
      <c r="G290" s="13"/>
      <c r="H290" s="10"/>
      <c r="I290" s="29"/>
      <c r="J290" s="7"/>
      <c r="K290" s="7"/>
      <c r="L290" s="7"/>
      <c r="M290" s="7"/>
      <c r="N290" s="7">
        <f t="shared" si="2"/>
        <v>1</v>
      </c>
      <c r="O290" s="7"/>
    </row>
    <row r="291">
      <c r="A291" s="26" t="s">
        <v>1195</v>
      </c>
      <c r="B291" s="26" t="s">
        <v>1196</v>
      </c>
      <c r="C291" s="26" t="s">
        <v>648</v>
      </c>
      <c r="D291" s="27"/>
      <c r="E291" s="28" t="s">
        <v>1197</v>
      </c>
      <c r="F291" s="29"/>
      <c r="G291" s="13"/>
      <c r="H291" s="10"/>
      <c r="I291" s="29"/>
      <c r="J291" s="7"/>
      <c r="K291" s="7"/>
      <c r="L291" s="7"/>
      <c r="M291" s="7"/>
      <c r="N291" s="7">
        <f t="shared" si="2"/>
        <v>0</v>
      </c>
      <c r="O291" s="7"/>
    </row>
    <row r="292">
      <c r="A292" s="26" t="s">
        <v>1198</v>
      </c>
      <c r="B292" s="26" t="s">
        <v>1199</v>
      </c>
      <c r="C292" s="26" t="s">
        <v>589</v>
      </c>
      <c r="D292" s="27"/>
      <c r="E292" s="32" t="s">
        <v>1200</v>
      </c>
      <c r="F292" s="30" t="s">
        <v>1201</v>
      </c>
      <c r="G292" s="13"/>
      <c r="H292" s="10"/>
      <c r="I292" s="29"/>
      <c r="J292" s="7"/>
      <c r="K292" s="7"/>
      <c r="L292" s="7"/>
      <c r="M292" s="7"/>
      <c r="N292" s="7">
        <f t="shared" si="2"/>
        <v>1</v>
      </c>
      <c r="O292" s="7"/>
    </row>
    <row r="293">
      <c r="A293" s="26" t="s">
        <v>1202</v>
      </c>
      <c r="B293" s="26" t="s">
        <v>1203</v>
      </c>
      <c r="C293" s="26" t="s">
        <v>1204</v>
      </c>
      <c r="D293" s="27"/>
      <c r="E293" s="28" t="s">
        <v>1205</v>
      </c>
      <c r="F293" s="30" t="s">
        <v>1206</v>
      </c>
      <c r="G293" s="13"/>
      <c r="H293" s="10"/>
      <c r="I293" s="29"/>
      <c r="J293" s="7"/>
      <c r="K293" s="7"/>
      <c r="L293" s="7"/>
      <c r="M293" s="7"/>
      <c r="N293" s="7">
        <f t="shared" si="2"/>
        <v>1</v>
      </c>
      <c r="O293" s="7"/>
    </row>
    <row r="294">
      <c r="A294" s="26" t="s">
        <v>1207</v>
      </c>
      <c r="B294" s="26" t="s">
        <v>1208</v>
      </c>
      <c r="C294" s="26" t="s">
        <v>589</v>
      </c>
      <c r="D294" s="27"/>
      <c r="E294" s="28" t="s">
        <v>1209</v>
      </c>
      <c r="F294" s="30" t="s">
        <v>1210</v>
      </c>
      <c r="G294" s="13"/>
      <c r="H294" s="10"/>
      <c r="I294" s="29"/>
      <c r="J294" s="7"/>
      <c r="K294" s="7"/>
      <c r="L294" s="7"/>
      <c r="M294" s="7"/>
      <c r="N294" s="7">
        <f t="shared" si="2"/>
        <v>1</v>
      </c>
      <c r="O294" s="7"/>
    </row>
    <row r="295">
      <c r="A295" s="31" t="s">
        <v>1212</v>
      </c>
      <c r="B295" s="26" t="s">
        <v>1213</v>
      </c>
      <c r="C295" s="26" t="s">
        <v>589</v>
      </c>
      <c r="D295" s="26" t="s">
        <v>598</v>
      </c>
      <c r="E295" s="28" t="s">
        <v>1214</v>
      </c>
      <c r="F295" s="30" t="s">
        <v>1215</v>
      </c>
      <c r="G295" s="13"/>
      <c r="H295" s="10"/>
      <c r="I295" s="29"/>
      <c r="J295" s="7"/>
      <c r="K295" s="7"/>
      <c r="L295" s="7"/>
      <c r="M295" s="7"/>
      <c r="N295" s="7">
        <f t="shared" si="2"/>
        <v>1</v>
      </c>
      <c r="O295" s="7"/>
    </row>
    <row r="296">
      <c r="A296" s="26" t="s">
        <v>1216</v>
      </c>
      <c r="B296" s="26" t="s">
        <v>1217</v>
      </c>
      <c r="C296" s="26" t="s">
        <v>584</v>
      </c>
      <c r="D296" s="26" t="s">
        <v>635</v>
      </c>
      <c r="E296" s="28" t="s">
        <v>1218</v>
      </c>
      <c r="F296" s="29"/>
      <c r="G296" s="13"/>
      <c r="H296" s="10"/>
      <c r="I296" s="29"/>
      <c r="J296" s="7"/>
      <c r="K296" s="7"/>
      <c r="L296" s="7"/>
      <c r="M296" s="7"/>
      <c r="N296" s="7">
        <f t="shared" si="2"/>
        <v>0</v>
      </c>
      <c r="O296" s="7"/>
    </row>
    <row r="297">
      <c r="A297" s="26" t="s">
        <v>1219</v>
      </c>
      <c r="B297" s="26" t="s">
        <v>1220</v>
      </c>
      <c r="C297" s="26" t="s">
        <v>584</v>
      </c>
      <c r="D297" s="27"/>
      <c r="E297" s="28" t="s">
        <v>1221</v>
      </c>
      <c r="F297" s="29"/>
      <c r="G297" s="13"/>
      <c r="H297" s="10"/>
      <c r="I297" s="29"/>
      <c r="J297" s="7"/>
      <c r="K297" s="7"/>
      <c r="L297" s="7"/>
      <c r="M297" s="7"/>
      <c r="N297" s="7">
        <f t="shared" si="2"/>
        <v>0</v>
      </c>
      <c r="O297" s="7"/>
    </row>
    <row r="298">
      <c r="A298" s="26" t="s">
        <v>1223</v>
      </c>
      <c r="B298" s="31" t="s">
        <v>1224</v>
      </c>
      <c r="C298" s="26" t="s">
        <v>589</v>
      </c>
      <c r="D298" s="26" t="s">
        <v>635</v>
      </c>
      <c r="E298" s="28" t="s">
        <v>1225</v>
      </c>
      <c r="F298" s="30" t="s">
        <v>1226</v>
      </c>
      <c r="G298" s="13"/>
      <c r="H298" s="10"/>
      <c r="I298" s="29"/>
      <c r="J298" s="7"/>
      <c r="K298" s="7"/>
      <c r="L298" s="7"/>
      <c r="M298" s="7"/>
      <c r="N298" s="7">
        <f t="shared" si="2"/>
        <v>1</v>
      </c>
      <c r="O298" s="7"/>
    </row>
    <row r="299">
      <c r="A299" s="26" t="s">
        <v>1227</v>
      </c>
      <c r="B299" s="26" t="s">
        <v>1228</v>
      </c>
      <c r="C299" s="26" t="s">
        <v>589</v>
      </c>
      <c r="D299" s="27"/>
      <c r="E299" s="28" t="s">
        <v>1229</v>
      </c>
      <c r="F299" s="29"/>
      <c r="G299" s="13"/>
      <c r="H299" s="10"/>
      <c r="I299" s="29"/>
      <c r="J299" s="7"/>
      <c r="K299" s="7"/>
      <c r="L299" s="7"/>
      <c r="M299" s="7"/>
      <c r="N299" s="7">
        <f t="shared" si="2"/>
        <v>0</v>
      </c>
      <c r="O299" s="7"/>
    </row>
    <row r="300">
      <c r="A300" s="26" t="s">
        <v>1230</v>
      </c>
      <c r="B300" s="26" t="s">
        <v>1231</v>
      </c>
      <c r="C300" s="26" t="s">
        <v>589</v>
      </c>
      <c r="D300" s="26" t="s">
        <v>598</v>
      </c>
      <c r="E300" s="28" t="s">
        <v>1232</v>
      </c>
      <c r="F300" s="30" t="s">
        <v>1233</v>
      </c>
      <c r="G300" s="13"/>
      <c r="H300" s="10"/>
      <c r="I300" s="29"/>
      <c r="J300" s="7"/>
      <c r="K300" s="7"/>
      <c r="L300" s="7"/>
      <c r="M300" s="7"/>
      <c r="N300" s="7">
        <f t="shared" si="2"/>
        <v>1</v>
      </c>
      <c r="O300" s="7"/>
    </row>
    <row r="301">
      <c r="A301" s="26" t="s">
        <v>1234</v>
      </c>
      <c r="B301" s="26" t="s">
        <v>1235</v>
      </c>
      <c r="C301" s="26" t="s">
        <v>589</v>
      </c>
      <c r="D301" s="27"/>
      <c r="E301" s="28" t="s">
        <v>1236</v>
      </c>
      <c r="F301" s="30" t="s">
        <v>1237</v>
      </c>
      <c r="G301" s="13"/>
      <c r="H301" s="10"/>
      <c r="I301" s="29"/>
      <c r="J301" s="7"/>
      <c r="K301" s="7"/>
      <c r="L301" s="7"/>
      <c r="M301" s="7"/>
      <c r="N301" s="7">
        <f t="shared" si="2"/>
        <v>1</v>
      </c>
      <c r="O301" s="7"/>
    </row>
    <row r="302">
      <c r="A302" s="31" t="s">
        <v>1238</v>
      </c>
      <c r="B302" s="26" t="s">
        <v>1239</v>
      </c>
      <c r="C302" s="31" t="s">
        <v>589</v>
      </c>
      <c r="D302" s="26"/>
      <c r="E302" s="31" t="s">
        <v>1240</v>
      </c>
      <c r="F302" s="29"/>
      <c r="G302" s="13"/>
      <c r="H302" s="10"/>
      <c r="I302" s="30" t="s">
        <v>391</v>
      </c>
      <c r="J302" s="7"/>
      <c r="K302" s="7"/>
      <c r="L302" s="7"/>
      <c r="M302" s="7"/>
      <c r="N302" s="7">
        <f t="shared" si="2"/>
        <v>0</v>
      </c>
      <c r="O302" s="7"/>
    </row>
    <row r="303">
      <c r="A303" s="26" t="s">
        <v>1241</v>
      </c>
      <c r="B303" s="26" t="s">
        <v>1242</v>
      </c>
      <c r="C303" s="26" t="s">
        <v>589</v>
      </c>
      <c r="D303" s="26" t="s">
        <v>598</v>
      </c>
      <c r="E303" s="28" t="s">
        <v>1243</v>
      </c>
      <c r="F303" s="29"/>
      <c r="G303" s="13"/>
      <c r="H303" s="10"/>
      <c r="I303" s="29"/>
      <c r="J303" s="7"/>
      <c r="K303" s="7"/>
      <c r="L303" s="7"/>
      <c r="M303" s="7"/>
      <c r="N303" s="7">
        <f t="shared" si="2"/>
        <v>0</v>
      </c>
      <c r="O303" s="7"/>
    </row>
    <row r="304">
      <c r="A304" s="26" t="s">
        <v>1244</v>
      </c>
      <c r="B304" s="26" t="s">
        <v>1245</v>
      </c>
      <c r="C304" s="26" t="s">
        <v>584</v>
      </c>
      <c r="D304" s="26" t="s">
        <v>635</v>
      </c>
      <c r="E304" s="28" t="s">
        <v>1246</v>
      </c>
      <c r="F304" s="29"/>
      <c r="G304" s="13"/>
      <c r="H304" s="10"/>
      <c r="I304" s="29"/>
      <c r="J304" s="7"/>
      <c r="K304" s="7"/>
      <c r="L304" s="7"/>
      <c r="M304" s="7"/>
      <c r="N304" s="7">
        <f t="shared" si="2"/>
        <v>0</v>
      </c>
      <c r="O304" s="7"/>
    </row>
    <row r="305">
      <c r="A305" s="26" t="s">
        <v>1247</v>
      </c>
      <c r="B305" s="26" t="s">
        <v>1248</v>
      </c>
      <c r="C305" s="26" t="s">
        <v>589</v>
      </c>
      <c r="D305" s="27"/>
      <c r="E305" s="28" t="s">
        <v>1249</v>
      </c>
      <c r="F305" s="35" t="s">
        <v>188</v>
      </c>
      <c r="I305" s="29"/>
      <c r="J305" s="7"/>
      <c r="K305" s="7"/>
      <c r="L305" s="7"/>
      <c r="M305" s="7"/>
      <c r="N305" s="7">
        <f t="shared" si="2"/>
        <v>1</v>
      </c>
      <c r="O305" s="7"/>
    </row>
    <row r="306">
      <c r="A306" s="26" t="s">
        <v>1250</v>
      </c>
      <c r="B306" s="26" t="s">
        <v>1251</v>
      </c>
      <c r="C306" s="26" t="s">
        <v>589</v>
      </c>
      <c r="D306" s="27"/>
      <c r="E306" s="28" t="s">
        <v>1252</v>
      </c>
      <c r="F306" s="29"/>
      <c r="G306" s="13"/>
      <c r="H306" s="10"/>
      <c r="I306" s="29"/>
      <c r="J306" s="7"/>
      <c r="K306" s="7"/>
      <c r="L306" s="7"/>
      <c r="M306" s="7"/>
      <c r="N306" s="7">
        <f t="shared" si="2"/>
        <v>0</v>
      </c>
      <c r="O306" s="7"/>
    </row>
    <row r="307">
      <c r="A307" s="26" t="s">
        <v>1253</v>
      </c>
      <c r="B307" s="31" t="s">
        <v>1254</v>
      </c>
      <c r="C307" s="26" t="s">
        <v>589</v>
      </c>
      <c r="D307" s="26" t="s">
        <v>635</v>
      </c>
      <c r="E307" s="28" t="s">
        <v>1255</v>
      </c>
      <c r="F307" s="29"/>
      <c r="G307" s="13"/>
      <c r="H307" s="10"/>
      <c r="I307" s="29"/>
      <c r="J307" s="7"/>
      <c r="K307" s="7"/>
      <c r="L307" s="7"/>
      <c r="M307" s="7"/>
      <c r="N307" s="7">
        <f t="shared" si="2"/>
        <v>0</v>
      </c>
      <c r="O307" s="7"/>
    </row>
    <row r="308">
      <c r="A308" s="26" t="s">
        <v>1256</v>
      </c>
      <c r="B308" s="26" t="s">
        <v>1257</v>
      </c>
      <c r="C308" s="26" t="s">
        <v>589</v>
      </c>
      <c r="D308" s="26" t="s">
        <v>635</v>
      </c>
      <c r="E308" s="28" t="s">
        <v>1258</v>
      </c>
      <c r="F308" s="30" t="s">
        <v>1259</v>
      </c>
      <c r="G308" s="13"/>
      <c r="H308" s="10"/>
      <c r="I308" s="29"/>
      <c r="J308" s="7"/>
      <c r="K308" s="7"/>
      <c r="L308" s="7"/>
      <c r="M308" s="7"/>
      <c r="N308" s="7">
        <f t="shared" si="2"/>
        <v>1</v>
      </c>
      <c r="O308" s="7"/>
    </row>
    <row r="309">
      <c r="A309" s="26" t="s">
        <v>1260</v>
      </c>
      <c r="B309" s="26" t="s">
        <v>1261</v>
      </c>
      <c r="C309" s="26" t="s">
        <v>589</v>
      </c>
      <c r="D309" s="27"/>
      <c r="E309" s="28" t="s">
        <v>1262</v>
      </c>
      <c r="F309" s="29"/>
      <c r="G309" s="13"/>
      <c r="H309" s="10"/>
      <c r="I309" s="29"/>
      <c r="J309" s="7"/>
      <c r="K309" s="7"/>
      <c r="L309" s="7"/>
      <c r="M309" s="7"/>
      <c r="N309" s="7">
        <f t="shared" si="2"/>
        <v>0</v>
      </c>
      <c r="O309" s="7"/>
    </row>
    <row r="310">
      <c r="A310" s="26" t="s">
        <v>1264</v>
      </c>
      <c r="B310" s="26" t="s">
        <v>1265</v>
      </c>
      <c r="C310" s="26" t="s">
        <v>589</v>
      </c>
      <c r="D310" s="27"/>
      <c r="E310" s="28" t="s">
        <v>1266</v>
      </c>
      <c r="F310" s="30" t="s">
        <v>1267</v>
      </c>
      <c r="G310" s="13"/>
      <c r="H310" s="10"/>
      <c r="I310" s="29"/>
      <c r="J310" s="7"/>
      <c r="K310" s="7"/>
      <c r="L310" s="7"/>
      <c r="M310" s="7"/>
      <c r="N310" s="7">
        <f t="shared" si="2"/>
        <v>1</v>
      </c>
      <c r="O310" s="7"/>
    </row>
    <row r="311">
      <c r="A311" s="26" t="s">
        <v>1268</v>
      </c>
      <c r="B311" s="26" t="s">
        <v>1269</v>
      </c>
      <c r="C311" s="26" t="s">
        <v>589</v>
      </c>
      <c r="D311" s="26" t="s">
        <v>635</v>
      </c>
      <c r="E311" s="33" t="s">
        <v>1880</v>
      </c>
      <c r="F311" s="30" t="s">
        <v>1271</v>
      </c>
      <c r="G311" s="13"/>
      <c r="H311" s="10"/>
      <c r="I311" s="30" t="s">
        <v>356</v>
      </c>
      <c r="J311" s="7"/>
      <c r="K311" s="7"/>
      <c r="L311" s="7"/>
      <c r="M311" s="7"/>
      <c r="N311" s="7">
        <f t="shared" si="2"/>
        <v>1</v>
      </c>
      <c r="O311" s="7"/>
    </row>
    <row r="312">
      <c r="A312" s="26" t="s">
        <v>1272</v>
      </c>
      <c r="B312" s="31" t="s">
        <v>1273</v>
      </c>
      <c r="C312" s="26" t="s">
        <v>589</v>
      </c>
      <c r="D312" s="27"/>
      <c r="E312" s="28" t="s">
        <v>1274</v>
      </c>
      <c r="F312" s="29"/>
      <c r="G312" s="13"/>
      <c r="H312" s="10"/>
      <c r="I312" s="29"/>
      <c r="J312" s="7"/>
      <c r="K312" s="7"/>
      <c r="L312" s="7"/>
      <c r="M312" s="7"/>
      <c r="N312" s="7">
        <f t="shared" si="2"/>
        <v>0</v>
      </c>
      <c r="O312" s="7"/>
    </row>
    <row r="313">
      <c r="A313" s="26" t="s">
        <v>1275</v>
      </c>
      <c r="B313" s="26" t="s">
        <v>1276</v>
      </c>
      <c r="C313" s="26" t="s">
        <v>589</v>
      </c>
      <c r="D313" s="27"/>
      <c r="E313" s="28" t="s">
        <v>1277</v>
      </c>
      <c r="F313" s="30" t="s">
        <v>1279</v>
      </c>
      <c r="G313" s="13"/>
      <c r="H313" s="10"/>
      <c r="I313" s="29"/>
      <c r="J313" s="7"/>
      <c r="K313" s="7"/>
      <c r="L313" s="7"/>
      <c r="M313" s="7"/>
      <c r="N313" s="7">
        <f t="shared" si="2"/>
        <v>1</v>
      </c>
      <c r="O313" s="7"/>
    </row>
    <row r="314">
      <c r="A314" s="26" t="s">
        <v>1280</v>
      </c>
      <c r="B314" s="26" t="s">
        <v>1281</v>
      </c>
      <c r="C314" s="26" t="s">
        <v>584</v>
      </c>
      <c r="D314" s="26" t="s">
        <v>635</v>
      </c>
      <c r="E314" s="28" t="s">
        <v>1282</v>
      </c>
      <c r="F314" s="29"/>
      <c r="G314" s="13"/>
      <c r="H314" s="10"/>
      <c r="I314" s="29"/>
      <c r="J314" s="7"/>
      <c r="K314" s="7"/>
      <c r="L314" s="7"/>
      <c r="M314" s="7"/>
      <c r="N314" s="7">
        <f t="shared" si="2"/>
        <v>0</v>
      </c>
      <c r="O314" s="7"/>
    </row>
    <row r="315">
      <c r="A315" s="26" t="s">
        <v>1283</v>
      </c>
      <c r="B315" s="26" t="s">
        <v>1284</v>
      </c>
      <c r="C315" s="26" t="s">
        <v>589</v>
      </c>
      <c r="D315" s="27"/>
      <c r="E315" s="28" t="s">
        <v>1285</v>
      </c>
      <c r="F315" s="29"/>
      <c r="G315" s="13"/>
      <c r="H315" s="10"/>
      <c r="I315" s="29"/>
      <c r="J315" s="7"/>
      <c r="K315" s="7"/>
      <c r="L315" s="7"/>
      <c r="M315" s="7"/>
      <c r="N315" s="7">
        <f t="shared" si="2"/>
        <v>0</v>
      </c>
      <c r="O315" s="7"/>
    </row>
    <row r="316">
      <c r="A316" s="26" t="s">
        <v>1286</v>
      </c>
      <c r="B316" s="26" t="s">
        <v>1287</v>
      </c>
      <c r="C316" s="26" t="s">
        <v>584</v>
      </c>
      <c r="D316" s="27"/>
      <c r="E316" s="33" t="s">
        <v>1882</v>
      </c>
      <c r="F316" s="29"/>
      <c r="G316" s="13"/>
      <c r="H316" s="10"/>
      <c r="I316" s="29"/>
      <c r="J316" s="7"/>
      <c r="K316" s="7"/>
      <c r="L316" s="7"/>
      <c r="M316" s="7"/>
      <c r="N316" s="7">
        <f t="shared" si="2"/>
        <v>0</v>
      </c>
      <c r="O316" s="7"/>
    </row>
    <row r="317">
      <c r="A317" s="26" t="s">
        <v>1289</v>
      </c>
      <c r="B317" s="26" t="s">
        <v>1290</v>
      </c>
      <c r="C317" s="26" t="s">
        <v>589</v>
      </c>
      <c r="D317" s="26" t="s">
        <v>1026</v>
      </c>
      <c r="E317" s="27"/>
      <c r="F317" s="30" t="s">
        <v>1291</v>
      </c>
      <c r="G317" s="13"/>
      <c r="H317" s="10"/>
      <c r="I317" s="29"/>
      <c r="J317" s="7"/>
      <c r="K317" s="7"/>
      <c r="L317" s="7"/>
      <c r="M317" s="7"/>
      <c r="N317" s="7">
        <f t="shared" si="2"/>
        <v>1</v>
      </c>
      <c r="O317" s="7"/>
    </row>
    <row r="318">
      <c r="A318" s="26" t="s">
        <v>1292</v>
      </c>
      <c r="B318" s="26" t="s">
        <v>1293</v>
      </c>
      <c r="C318" s="26" t="s">
        <v>589</v>
      </c>
      <c r="D318" s="27"/>
      <c r="E318" s="28" t="s">
        <v>1294</v>
      </c>
      <c r="F318" s="29"/>
      <c r="G318" s="13"/>
      <c r="H318" s="10"/>
      <c r="I318" s="29"/>
      <c r="J318" s="7"/>
      <c r="K318" s="7"/>
      <c r="L318" s="7"/>
      <c r="M318" s="7"/>
      <c r="N318" s="7">
        <f t="shared" si="2"/>
        <v>0</v>
      </c>
      <c r="O318" s="7"/>
    </row>
    <row r="319">
      <c r="A319" s="26" t="s">
        <v>1295</v>
      </c>
      <c r="B319" s="26" t="s">
        <v>1296</v>
      </c>
      <c r="C319" s="26" t="s">
        <v>589</v>
      </c>
      <c r="D319" s="27"/>
      <c r="E319" s="28" t="s">
        <v>1297</v>
      </c>
      <c r="F319" s="30" t="s">
        <v>1298</v>
      </c>
      <c r="G319" s="13"/>
      <c r="H319" s="10"/>
      <c r="I319" s="29"/>
      <c r="J319" s="7"/>
      <c r="K319" s="7"/>
      <c r="L319" s="7"/>
      <c r="M319" s="7"/>
      <c r="N319" s="7">
        <f t="shared" si="2"/>
        <v>1</v>
      </c>
      <c r="O319" s="7"/>
    </row>
    <row r="320">
      <c r="A320" s="26" t="s">
        <v>1299</v>
      </c>
      <c r="B320" s="26" t="s">
        <v>1300</v>
      </c>
      <c r="C320" s="26" t="s">
        <v>589</v>
      </c>
      <c r="D320" s="27"/>
      <c r="E320" s="28" t="s">
        <v>1301</v>
      </c>
      <c r="F320" s="29"/>
      <c r="G320" s="13"/>
      <c r="H320" s="10"/>
      <c r="I320" s="29"/>
      <c r="J320" s="7"/>
      <c r="K320" s="7"/>
      <c r="L320" s="7"/>
      <c r="M320" s="7"/>
      <c r="N320" s="7">
        <f t="shared" si="2"/>
        <v>0</v>
      </c>
      <c r="O320" s="7"/>
    </row>
    <row r="321">
      <c r="A321" s="26" t="s">
        <v>1302</v>
      </c>
      <c r="B321" s="26" t="s">
        <v>1303</v>
      </c>
      <c r="C321" s="26" t="s">
        <v>584</v>
      </c>
      <c r="D321" s="27"/>
      <c r="E321" s="28" t="s">
        <v>1304</v>
      </c>
      <c r="F321" s="29"/>
      <c r="G321" s="13"/>
      <c r="H321" s="10"/>
      <c r="I321" s="29"/>
      <c r="J321" s="7"/>
      <c r="K321" s="7"/>
      <c r="L321" s="7"/>
      <c r="M321" s="7"/>
      <c r="N321" s="7">
        <f t="shared" si="2"/>
        <v>0</v>
      </c>
      <c r="O321" s="7"/>
    </row>
    <row r="322">
      <c r="A322" s="31" t="s">
        <v>1305</v>
      </c>
      <c r="B322" s="26" t="s">
        <v>1058</v>
      </c>
      <c r="C322" s="26" t="s">
        <v>589</v>
      </c>
      <c r="D322" s="27"/>
      <c r="E322" s="28" t="s">
        <v>1306</v>
      </c>
      <c r="F322" s="30" t="s">
        <v>1307</v>
      </c>
      <c r="G322" s="13"/>
      <c r="H322" s="10"/>
      <c r="I322" s="29"/>
      <c r="J322" s="7"/>
      <c r="K322" s="7"/>
      <c r="L322" s="7"/>
      <c r="M322" s="7"/>
      <c r="N322" s="7">
        <f t="shared" si="2"/>
        <v>1</v>
      </c>
      <c r="O322" s="7"/>
    </row>
    <row r="323">
      <c r="A323" s="31" t="s">
        <v>1308</v>
      </c>
      <c r="B323" s="26" t="s">
        <v>1309</v>
      </c>
      <c r="C323" s="26" t="s">
        <v>589</v>
      </c>
      <c r="D323" s="27"/>
      <c r="E323" s="28" t="s">
        <v>1310</v>
      </c>
      <c r="F323" s="29"/>
      <c r="G323" s="13"/>
      <c r="H323" s="10"/>
      <c r="I323" s="29"/>
      <c r="J323" s="7"/>
      <c r="K323" s="7"/>
      <c r="L323" s="7"/>
      <c r="M323" s="7"/>
      <c r="N323" s="7">
        <f t="shared" si="2"/>
        <v>0</v>
      </c>
      <c r="O323" s="7"/>
    </row>
    <row r="324">
      <c r="A324" s="31" t="s">
        <v>1311</v>
      </c>
      <c r="B324" s="26" t="s">
        <v>1312</v>
      </c>
      <c r="C324" s="26" t="s">
        <v>589</v>
      </c>
      <c r="D324" s="26" t="s">
        <v>598</v>
      </c>
      <c r="E324" s="28" t="s">
        <v>1313</v>
      </c>
      <c r="F324" s="30" t="s">
        <v>1314</v>
      </c>
      <c r="G324" s="13"/>
      <c r="H324" s="10"/>
      <c r="I324" s="29"/>
      <c r="J324" s="7"/>
      <c r="K324" s="7"/>
      <c r="L324" s="7"/>
      <c r="M324" s="7"/>
      <c r="N324" s="7">
        <f t="shared" si="2"/>
        <v>1</v>
      </c>
      <c r="O324" s="7"/>
    </row>
    <row r="325">
      <c r="A325" s="26" t="s">
        <v>1315</v>
      </c>
      <c r="B325" s="26" t="s">
        <v>1316</v>
      </c>
      <c r="C325" s="26" t="s">
        <v>589</v>
      </c>
      <c r="D325" s="26" t="s">
        <v>598</v>
      </c>
      <c r="E325" s="28" t="s">
        <v>1317</v>
      </c>
      <c r="F325" s="29"/>
      <c r="G325" s="13"/>
      <c r="H325" s="10"/>
      <c r="I325" s="29"/>
      <c r="J325" s="7"/>
      <c r="K325" s="7"/>
      <c r="L325" s="7"/>
      <c r="M325" s="7"/>
      <c r="N325" s="7">
        <f t="shared" si="2"/>
        <v>0</v>
      </c>
      <c r="O325" s="7"/>
    </row>
    <row r="326">
      <c r="A326" s="26" t="s">
        <v>1319</v>
      </c>
      <c r="B326" s="26" t="s">
        <v>1320</v>
      </c>
      <c r="C326" s="26" t="s">
        <v>589</v>
      </c>
      <c r="D326" s="27"/>
      <c r="E326" s="34" t="s">
        <v>1321</v>
      </c>
      <c r="F326" s="30" t="s">
        <v>1322</v>
      </c>
      <c r="G326" s="13"/>
      <c r="H326" s="10"/>
      <c r="I326" s="29"/>
      <c r="J326" s="7"/>
      <c r="K326" s="7"/>
      <c r="L326" s="7"/>
      <c r="M326" s="7"/>
      <c r="N326" s="7">
        <f t="shared" si="2"/>
        <v>1</v>
      </c>
      <c r="O326" s="7"/>
    </row>
    <row r="327">
      <c r="A327" s="26" t="s">
        <v>1323</v>
      </c>
      <c r="B327" s="26" t="s">
        <v>1324</v>
      </c>
      <c r="C327" s="26" t="s">
        <v>589</v>
      </c>
      <c r="D327" s="26" t="s">
        <v>598</v>
      </c>
      <c r="E327" s="28" t="s">
        <v>1325</v>
      </c>
      <c r="F327" s="29"/>
      <c r="G327" s="13"/>
      <c r="H327" s="10"/>
      <c r="I327" s="29"/>
      <c r="J327" s="7"/>
      <c r="K327" s="7"/>
      <c r="L327" s="7"/>
      <c r="M327" s="7"/>
      <c r="N327" s="7">
        <f t="shared" si="2"/>
        <v>0</v>
      </c>
      <c r="O327" s="7"/>
    </row>
    <row r="328">
      <c r="A328" s="26" t="s">
        <v>1326</v>
      </c>
      <c r="B328" s="26" t="s">
        <v>1327</v>
      </c>
      <c r="C328" s="26" t="s">
        <v>589</v>
      </c>
      <c r="D328" s="27"/>
      <c r="E328" s="28" t="s">
        <v>1328</v>
      </c>
      <c r="F328" s="30" t="s">
        <v>1329</v>
      </c>
      <c r="G328" s="13"/>
      <c r="H328" s="10"/>
      <c r="I328" s="29"/>
      <c r="J328" s="7"/>
      <c r="K328" s="7"/>
      <c r="L328" s="7"/>
      <c r="M328" s="7"/>
      <c r="N328" s="7">
        <f t="shared" si="2"/>
        <v>1</v>
      </c>
      <c r="O328" s="7"/>
    </row>
    <row r="329">
      <c r="A329" s="26" t="s">
        <v>1330</v>
      </c>
      <c r="B329" s="26" t="s">
        <v>1331</v>
      </c>
      <c r="C329" s="26" t="s">
        <v>589</v>
      </c>
      <c r="D329" s="27"/>
      <c r="E329" s="32" t="s">
        <v>1332</v>
      </c>
      <c r="F329" s="30" t="s">
        <v>1333</v>
      </c>
      <c r="G329" s="13"/>
      <c r="H329" s="10"/>
      <c r="I329" s="30" t="s">
        <v>260</v>
      </c>
      <c r="J329" s="7"/>
      <c r="K329" s="7"/>
      <c r="L329" s="7"/>
      <c r="M329" s="7"/>
      <c r="N329" s="7">
        <f t="shared" si="2"/>
        <v>1</v>
      </c>
      <c r="O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f>SUM(N135:N329)</f>
        <v>115</v>
      </c>
      <c r="P331" s="7"/>
      <c r="Q331" s="7"/>
      <c r="R331" s="7"/>
      <c r="S331" s="7"/>
      <c r="T331" s="7"/>
      <c r="U331" s="7"/>
      <c r="V331" s="7"/>
      <c r="W331" s="7"/>
      <c r="X331" s="7"/>
      <c r="Y331" s="7"/>
      <c r="Z331" s="7"/>
    </row>
    <row r="332">
      <c r="A332" s="25" t="s">
        <v>1338</v>
      </c>
      <c r="B332" s="25" t="s">
        <v>577</v>
      </c>
      <c r="C332" s="25" t="s">
        <v>578</v>
      </c>
      <c r="D332" s="25" t="s">
        <v>1339</v>
      </c>
      <c r="E332" s="36" t="s">
        <v>1340</v>
      </c>
      <c r="F332" s="25" t="s">
        <v>1341</v>
      </c>
      <c r="G332" s="25" t="s">
        <v>581</v>
      </c>
      <c r="H332" s="25"/>
      <c r="I332" s="36" t="s">
        <v>4</v>
      </c>
      <c r="J332" s="7"/>
      <c r="K332" s="7"/>
      <c r="L332" s="7"/>
      <c r="M332" s="7"/>
      <c r="N332" s="7"/>
      <c r="O332" s="7"/>
    </row>
    <row r="333">
      <c r="A333" s="26" t="s">
        <v>1342</v>
      </c>
      <c r="B333" s="26" t="s">
        <v>1343</v>
      </c>
      <c r="C333" s="26" t="s">
        <v>584</v>
      </c>
      <c r="D333" s="33" t="s">
        <v>1887</v>
      </c>
      <c r="E333" s="37" t="s">
        <v>584</v>
      </c>
      <c r="F333" s="37">
        <v>1.0</v>
      </c>
      <c r="G333" s="30" t="s">
        <v>1345</v>
      </c>
      <c r="H333" s="10"/>
      <c r="I333" s="17" t="s">
        <v>445</v>
      </c>
      <c r="J333" s="7"/>
      <c r="K333" s="7"/>
      <c r="L333" s="7"/>
      <c r="M333" s="7"/>
      <c r="N333" s="7">
        <f t="shared" ref="N333:N349" si="3"> IF(ISBLANK(G333), 0, 1)</f>
        <v>1</v>
      </c>
      <c r="O333" s="7"/>
    </row>
    <row r="334">
      <c r="A334" s="26" t="s">
        <v>1346</v>
      </c>
      <c r="B334" s="26" t="s">
        <v>1347</v>
      </c>
      <c r="C334" s="26" t="s">
        <v>584</v>
      </c>
      <c r="D334" s="33" t="s">
        <v>1888</v>
      </c>
      <c r="E334" s="37" t="s">
        <v>584</v>
      </c>
      <c r="F334" s="37">
        <v>1.0</v>
      </c>
      <c r="G334" s="30" t="s">
        <v>1350</v>
      </c>
      <c r="H334" s="10"/>
      <c r="I334" s="37"/>
      <c r="J334" s="7"/>
      <c r="K334" s="7"/>
      <c r="L334" s="7"/>
      <c r="M334" s="7"/>
      <c r="N334" s="7">
        <f t="shared" si="3"/>
        <v>1</v>
      </c>
      <c r="O334" s="7"/>
    </row>
    <row r="335">
      <c r="A335" s="26" t="s">
        <v>1351</v>
      </c>
      <c r="B335" s="26" t="s">
        <v>1352</v>
      </c>
      <c r="C335" s="26" t="s">
        <v>584</v>
      </c>
      <c r="D335" s="33" t="s">
        <v>1889</v>
      </c>
      <c r="E335" s="37" t="s">
        <v>584</v>
      </c>
      <c r="F335" s="37">
        <v>1.0</v>
      </c>
      <c r="G335" s="30" t="s">
        <v>1354</v>
      </c>
      <c r="H335" s="10"/>
      <c r="I335" s="37"/>
      <c r="J335" s="7"/>
      <c r="K335" s="7"/>
      <c r="L335" s="7"/>
      <c r="M335" s="7"/>
      <c r="N335" s="7">
        <f t="shared" si="3"/>
        <v>1</v>
      </c>
      <c r="O335" s="7"/>
    </row>
    <row r="336">
      <c r="A336" s="26" t="s">
        <v>1355</v>
      </c>
      <c r="B336" s="26" t="s">
        <v>1356</v>
      </c>
      <c r="C336" s="26" t="s">
        <v>584</v>
      </c>
      <c r="D336" s="28" t="s">
        <v>1357</v>
      </c>
      <c r="E336" s="37" t="s">
        <v>584</v>
      </c>
      <c r="F336" s="37">
        <v>1.0</v>
      </c>
      <c r="G336" s="30" t="s">
        <v>1359</v>
      </c>
      <c r="H336" s="10"/>
      <c r="I336" s="37"/>
      <c r="J336" s="7"/>
      <c r="K336" s="7"/>
      <c r="L336" s="7"/>
      <c r="M336" s="7"/>
      <c r="N336" s="7">
        <f t="shared" si="3"/>
        <v>1</v>
      </c>
      <c r="O336" s="7"/>
    </row>
    <row r="337">
      <c r="A337" s="26" t="s">
        <v>1360</v>
      </c>
      <c r="B337" s="26" t="s">
        <v>1361</v>
      </c>
      <c r="C337" s="26" t="s">
        <v>584</v>
      </c>
      <c r="D337" s="33" t="s">
        <v>1890</v>
      </c>
      <c r="E337" s="37" t="s">
        <v>589</v>
      </c>
      <c r="F337" s="37">
        <v>2.0</v>
      </c>
      <c r="G337" s="30" t="s">
        <v>1363</v>
      </c>
      <c r="H337" s="10"/>
      <c r="I337" s="37" t="s">
        <v>344</v>
      </c>
      <c r="J337" s="7"/>
      <c r="K337" s="7"/>
      <c r="L337" s="7"/>
      <c r="M337" s="7"/>
      <c r="N337" s="7">
        <f t="shared" si="3"/>
        <v>1</v>
      </c>
      <c r="O337" s="7"/>
    </row>
    <row r="338">
      <c r="A338" s="26" t="s">
        <v>1364</v>
      </c>
      <c r="B338" s="26" t="s">
        <v>1365</v>
      </c>
      <c r="C338" s="26" t="s">
        <v>589</v>
      </c>
      <c r="D338" s="28" t="s">
        <v>1366</v>
      </c>
      <c r="E338" s="37" t="s">
        <v>589</v>
      </c>
      <c r="F338" s="37">
        <v>3.0</v>
      </c>
      <c r="G338" s="30" t="s">
        <v>1367</v>
      </c>
      <c r="H338" s="10"/>
      <c r="I338" s="37" t="s">
        <v>403</v>
      </c>
      <c r="J338" s="7"/>
      <c r="K338" s="7"/>
      <c r="L338" s="7"/>
      <c r="M338" s="7"/>
      <c r="N338" s="7">
        <f t="shared" si="3"/>
        <v>1</v>
      </c>
      <c r="O338" s="7"/>
    </row>
    <row r="339">
      <c r="A339" s="31" t="s">
        <v>1368</v>
      </c>
      <c r="B339" s="26" t="s">
        <v>1369</v>
      </c>
      <c r="C339" s="31" t="s">
        <v>589</v>
      </c>
      <c r="D339" s="31" t="s">
        <v>595</v>
      </c>
      <c r="E339" s="37" t="s">
        <v>589</v>
      </c>
      <c r="F339" s="37">
        <v>3.0</v>
      </c>
      <c r="G339" s="30" t="s">
        <v>1370</v>
      </c>
      <c r="H339" s="10"/>
      <c r="I339" s="37" t="s">
        <v>247</v>
      </c>
      <c r="J339" s="7"/>
      <c r="K339" s="7"/>
      <c r="L339" s="7"/>
      <c r="M339" s="7"/>
      <c r="N339" s="7">
        <f t="shared" si="3"/>
        <v>1</v>
      </c>
      <c r="O339" s="7"/>
    </row>
    <row r="340">
      <c r="A340" s="26" t="s">
        <v>1371</v>
      </c>
      <c r="B340" s="26" t="s">
        <v>1372</v>
      </c>
      <c r="C340" s="26" t="s">
        <v>589</v>
      </c>
      <c r="D340" s="28" t="s">
        <v>1373</v>
      </c>
      <c r="E340" s="37" t="s">
        <v>589</v>
      </c>
      <c r="F340" s="37">
        <v>2.0</v>
      </c>
      <c r="G340" s="30" t="s">
        <v>1374</v>
      </c>
      <c r="H340" s="10"/>
      <c r="I340" s="37" t="s">
        <v>461</v>
      </c>
      <c r="J340" s="7"/>
      <c r="K340" s="7"/>
      <c r="L340" s="7"/>
      <c r="M340" s="7"/>
      <c r="N340" s="7">
        <f t="shared" si="3"/>
        <v>1</v>
      </c>
      <c r="O340" s="7"/>
    </row>
    <row r="341">
      <c r="A341" s="26" t="s">
        <v>1375</v>
      </c>
      <c r="B341" s="26" t="s">
        <v>1376</v>
      </c>
      <c r="C341" s="26" t="s">
        <v>584</v>
      </c>
      <c r="D341" s="33" t="s">
        <v>1892</v>
      </c>
      <c r="E341" s="37" t="s">
        <v>589</v>
      </c>
      <c r="F341" s="37">
        <v>3.0</v>
      </c>
      <c r="G341" s="30" t="s">
        <v>1379</v>
      </c>
      <c r="H341" s="10"/>
      <c r="I341" s="37" t="s">
        <v>520</v>
      </c>
      <c r="J341" s="7"/>
      <c r="K341" s="7"/>
      <c r="L341" s="7"/>
      <c r="M341" s="7"/>
      <c r="N341" s="7">
        <f t="shared" si="3"/>
        <v>1</v>
      </c>
      <c r="O341" s="7"/>
    </row>
    <row r="342">
      <c r="A342" s="26" t="s">
        <v>1380</v>
      </c>
      <c r="B342" s="26" t="s">
        <v>1381</v>
      </c>
      <c r="C342" s="26" t="s">
        <v>584</v>
      </c>
      <c r="D342" s="28" t="s">
        <v>1382</v>
      </c>
      <c r="E342" s="37" t="s">
        <v>589</v>
      </c>
      <c r="F342" s="37">
        <v>3.0</v>
      </c>
      <c r="G342" s="30" t="s">
        <v>1383</v>
      </c>
      <c r="H342" s="10"/>
      <c r="I342" s="37" t="s">
        <v>290</v>
      </c>
      <c r="J342" s="7"/>
      <c r="K342" s="7"/>
      <c r="L342" s="7"/>
      <c r="M342" s="7"/>
      <c r="N342" s="7">
        <f t="shared" si="3"/>
        <v>1</v>
      </c>
      <c r="O342" s="7"/>
    </row>
    <row r="343">
      <c r="A343" s="26" t="s">
        <v>1384</v>
      </c>
      <c r="B343" s="26" t="s">
        <v>1385</v>
      </c>
      <c r="C343" s="26" t="s">
        <v>584</v>
      </c>
      <c r="D343" s="28" t="s">
        <v>1386</v>
      </c>
      <c r="E343" s="37" t="s">
        <v>589</v>
      </c>
      <c r="F343" s="37">
        <v>2.0</v>
      </c>
      <c r="G343" s="30" t="s">
        <v>1387</v>
      </c>
      <c r="H343" s="10"/>
      <c r="I343" s="37"/>
      <c r="J343" s="7"/>
      <c r="K343" s="7"/>
      <c r="L343" s="7"/>
      <c r="M343" s="7"/>
      <c r="N343" s="7">
        <f t="shared" si="3"/>
        <v>1</v>
      </c>
      <c r="O343" s="7"/>
    </row>
    <row r="344">
      <c r="A344" s="26" t="s">
        <v>1388</v>
      </c>
      <c r="B344" s="26" t="s">
        <v>1389</v>
      </c>
      <c r="C344" s="26" t="s">
        <v>584</v>
      </c>
      <c r="D344" s="33" t="s">
        <v>1896</v>
      </c>
      <c r="E344" s="37" t="s">
        <v>589</v>
      </c>
      <c r="F344" s="37">
        <v>2.0</v>
      </c>
      <c r="G344" s="30" t="s">
        <v>1391</v>
      </c>
      <c r="H344" s="10"/>
      <c r="I344" s="37" t="s">
        <v>374</v>
      </c>
      <c r="J344" s="7"/>
      <c r="K344" s="7"/>
      <c r="L344" s="7"/>
      <c r="M344" s="7"/>
      <c r="N344" s="7">
        <f t="shared" si="3"/>
        <v>1</v>
      </c>
      <c r="O344" s="7"/>
    </row>
    <row r="345">
      <c r="A345" s="26" t="s">
        <v>1392</v>
      </c>
      <c r="B345" s="26" t="s">
        <v>1393</v>
      </c>
      <c r="C345" s="26" t="s">
        <v>584</v>
      </c>
      <c r="D345" s="33" t="s">
        <v>1897</v>
      </c>
      <c r="E345" s="37" t="s">
        <v>589</v>
      </c>
      <c r="F345" s="37">
        <v>2.0</v>
      </c>
      <c r="G345" s="30" t="s">
        <v>1395</v>
      </c>
      <c r="H345" s="10"/>
      <c r="I345" s="37"/>
      <c r="J345" s="7"/>
      <c r="K345" s="7"/>
      <c r="L345" s="7"/>
      <c r="M345" s="7"/>
      <c r="N345" s="7">
        <f t="shared" si="3"/>
        <v>1</v>
      </c>
      <c r="O345" s="7"/>
    </row>
    <row r="346">
      <c r="A346" s="26" t="s">
        <v>1396</v>
      </c>
      <c r="B346" s="26" t="s">
        <v>1397</v>
      </c>
      <c r="C346" s="26" t="s">
        <v>589</v>
      </c>
      <c r="D346" s="28" t="s">
        <v>1088</v>
      </c>
      <c r="E346" s="37" t="s">
        <v>589</v>
      </c>
      <c r="F346" s="37">
        <v>3.0</v>
      </c>
      <c r="G346" s="30" t="s">
        <v>1398</v>
      </c>
      <c r="H346" s="10"/>
      <c r="I346" s="37"/>
      <c r="J346" s="7"/>
      <c r="K346" s="7"/>
      <c r="L346" s="7"/>
      <c r="M346" s="7"/>
      <c r="N346" s="7">
        <f t="shared" si="3"/>
        <v>1</v>
      </c>
      <c r="O346" s="7"/>
    </row>
    <row r="347">
      <c r="A347" s="26" t="s">
        <v>1399</v>
      </c>
      <c r="B347" s="26" t="s">
        <v>1397</v>
      </c>
      <c r="C347" s="26" t="s">
        <v>589</v>
      </c>
      <c r="D347" s="28" t="s">
        <v>1088</v>
      </c>
      <c r="E347" s="37" t="s">
        <v>589</v>
      </c>
      <c r="F347" s="37">
        <v>3.0</v>
      </c>
      <c r="G347" s="30" t="s">
        <v>1400</v>
      </c>
      <c r="H347" s="10"/>
      <c r="I347" s="37" t="s">
        <v>391</v>
      </c>
      <c r="J347" s="7"/>
      <c r="K347" s="7"/>
      <c r="L347" s="7"/>
      <c r="M347" s="7"/>
      <c r="N347" s="7">
        <f t="shared" si="3"/>
        <v>1</v>
      </c>
      <c r="O347" s="7"/>
    </row>
    <row r="348">
      <c r="A348" s="37" t="s">
        <v>1401</v>
      </c>
      <c r="B348" s="37" t="s">
        <v>1402</v>
      </c>
      <c r="C348" s="37" t="s">
        <v>584</v>
      </c>
      <c r="D348" s="37" t="s">
        <v>595</v>
      </c>
      <c r="E348" s="37" t="s">
        <v>589</v>
      </c>
      <c r="F348" s="37">
        <v>4.0</v>
      </c>
      <c r="G348" s="30" t="s">
        <v>1403</v>
      </c>
      <c r="H348" s="10"/>
      <c r="I348" s="37" t="s">
        <v>1404</v>
      </c>
      <c r="J348" s="7"/>
      <c r="K348" s="7"/>
      <c r="L348" s="7"/>
      <c r="M348" s="7"/>
      <c r="N348" s="7">
        <f t="shared" si="3"/>
        <v>1</v>
      </c>
      <c r="O348" s="7"/>
    </row>
    <row r="349">
      <c r="A349" s="37" t="s">
        <v>1405</v>
      </c>
      <c r="B349" s="37" t="s">
        <v>1406</v>
      </c>
      <c r="C349" s="37" t="s">
        <v>589</v>
      </c>
      <c r="D349" s="37" t="s">
        <v>1407</v>
      </c>
      <c r="E349" s="37" t="s">
        <v>589</v>
      </c>
      <c r="F349" s="37">
        <v>3.0</v>
      </c>
      <c r="G349" s="30" t="s">
        <v>1408</v>
      </c>
      <c r="H349" s="10"/>
      <c r="I349" s="37" t="s">
        <v>280</v>
      </c>
      <c r="J349" s="7"/>
      <c r="K349" s="7"/>
      <c r="L349" s="7"/>
      <c r="M349" s="7"/>
      <c r="N349" s="7">
        <f t="shared" si="3"/>
        <v>1</v>
      </c>
      <c r="O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22"/>
      <c r="B351" s="7"/>
      <c r="C351" s="7"/>
      <c r="D351" s="7"/>
      <c r="E351" s="7"/>
      <c r="F351" s="7"/>
      <c r="G351" s="7"/>
      <c r="H351" s="7"/>
      <c r="I351" s="7"/>
      <c r="J351" s="7"/>
      <c r="K351" s="7"/>
      <c r="L351" s="7"/>
      <c r="M351" s="7"/>
      <c r="N351" s="7"/>
      <c r="O351" s="7">
        <f>SUM(N333:N350)</f>
        <v>17</v>
      </c>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f>SUM(O351,O331,O133)</f>
        <v>233</v>
      </c>
      <c r="O354" s="7"/>
      <c r="P354" s="7"/>
      <c r="Q354" s="7"/>
      <c r="R354" s="7"/>
      <c r="S354" s="7"/>
      <c r="T354" s="7"/>
      <c r="U354" s="7"/>
      <c r="V354" s="7"/>
      <c r="W354" s="7"/>
      <c r="X354" s="7"/>
      <c r="Y354" s="7"/>
      <c r="Z354" s="7"/>
    </row>
    <row r="355">
      <c r="A355" s="39" t="s">
        <v>1440</v>
      </c>
      <c r="B355" s="40"/>
      <c r="C355" s="41" t="s">
        <v>1441</v>
      </c>
      <c r="D355" s="42"/>
      <c r="E355" s="43" t="s">
        <v>1442</v>
      </c>
      <c r="F355" s="43" t="s">
        <v>1443</v>
      </c>
      <c r="G355" s="44" t="s">
        <v>1444</v>
      </c>
      <c r="H355" s="45"/>
      <c r="I355" s="46"/>
      <c r="J355" s="47" t="s">
        <v>1445</v>
      </c>
      <c r="K355" s="7"/>
      <c r="L355" s="7"/>
      <c r="M355" s="7"/>
      <c r="N355" s="7">
        <f>COUNT(N2:N349)</f>
        <v>343</v>
      </c>
      <c r="O355" s="22"/>
    </row>
    <row r="356">
      <c r="A356" s="48" t="s">
        <v>1446</v>
      </c>
      <c r="B356" s="10"/>
      <c r="C356" s="49" t="s">
        <v>1447</v>
      </c>
      <c r="D356" s="50"/>
      <c r="E356" s="51" t="s">
        <v>1448</v>
      </c>
      <c r="F356" s="51">
        <v>0.3</v>
      </c>
      <c r="G356" s="52" t="s">
        <v>1449</v>
      </c>
      <c r="H356" s="13"/>
      <c r="I356" s="10"/>
      <c r="J356" s="6" t="s">
        <v>1450</v>
      </c>
      <c r="K356" s="7"/>
      <c r="L356" s="7"/>
      <c r="M356" s="7"/>
      <c r="N356" s="7">
        <f>N354/N355</f>
        <v>0.6793002915</v>
      </c>
      <c r="O356" s="7"/>
    </row>
    <row r="357">
      <c r="A357" s="53" t="s">
        <v>1452</v>
      </c>
      <c r="B357" s="54"/>
      <c r="C357" s="55" t="s">
        <v>1447</v>
      </c>
      <c r="D357" s="50"/>
      <c r="E357" s="56" t="s">
        <v>1448</v>
      </c>
      <c r="F357" s="56">
        <v>2.0</v>
      </c>
      <c r="G357" s="57"/>
      <c r="H357" s="58"/>
      <c r="I357" s="54"/>
      <c r="J357" s="6" t="s">
        <v>589</v>
      </c>
      <c r="K357" s="7"/>
      <c r="L357" s="7"/>
      <c r="M357" s="7"/>
      <c r="N357" s="7"/>
      <c r="O357" s="7"/>
    </row>
    <row r="358">
      <c r="A358" s="48" t="s">
        <v>1453</v>
      </c>
      <c r="B358" s="10"/>
      <c r="C358" s="49" t="s">
        <v>1454</v>
      </c>
      <c r="D358" s="50"/>
      <c r="E358" s="51" t="s">
        <v>1448</v>
      </c>
      <c r="F358" s="51">
        <v>10.0</v>
      </c>
      <c r="G358" s="52"/>
      <c r="H358" s="13"/>
      <c r="I358" s="10"/>
      <c r="J358" s="6" t="s">
        <v>584</v>
      </c>
      <c r="K358" s="7"/>
      <c r="L358" s="7"/>
      <c r="M358" s="7"/>
      <c r="N358" s="7"/>
      <c r="O358" s="7"/>
    </row>
    <row r="359">
      <c r="A359" s="48" t="s">
        <v>1455</v>
      </c>
      <c r="B359" s="10"/>
      <c r="C359" s="49" t="s">
        <v>1456</v>
      </c>
      <c r="D359" s="50"/>
      <c r="E359" s="51" t="s">
        <v>1448</v>
      </c>
      <c r="F359" s="51">
        <v>20.0</v>
      </c>
      <c r="G359" s="52"/>
      <c r="H359" s="13"/>
      <c r="I359" s="10"/>
      <c r="J359" s="6" t="s">
        <v>584</v>
      </c>
      <c r="K359" s="7"/>
      <c r="L359" s="7"/>
      <c r="M359" s="7"/>
      <c r="N359" s="7"/>
      <c r="O359" s="7"/>
    </row>
    <row r="360">
      <c r="A360" s="48" t="s">
        <v>1457</v>
      </c>
      <c r="B360" s="10"/>
      <c r="C360" s="49" t="s">
        <v>1456</v>
      </c>
      <c r="D360" s="50"/>
      <c r="E360" s="51" t="s">
        <v>1448</v>
      </c>
      <c r="F360" s="51">
        <v>30.0</v>
      </c>
      <c r="G360" s="52"/>
      <c r="H360" s="13"/>
      <c r="I360" s="10"/>
      <c r="J360" s="6" t="s">
        <v>584</v>
      </c>
      <c r="K360" s="7"/>
      <c r="L360" s="7"/>
      <c r="M360" s="7"/>
      <c r="N360" s="7"/>
      <c r="O360" s="7"/>
    </row>
    <row r="361">
      <c r="A361" s="48" t="s">
        <v>1458</v>
      </c>
      <c r="B361" s="10"/>
      <c r="C361" s="49" t="s">
        <v>1447</v>
      </c>
      <c r="D361" s="50"/>
      <c r="E361" s="51" t="s">
        <v>1448</v>
      </c>
      <c r="F361" s="51">
        <v>1.0</v>
      </c>
      <c r="G361" s="52"/>
      <c r="H361" s="13"/>
      <c r="I361" s="10"/>
      <c r="J361" s="6" t="s">
        <v>589</v>
      </c>
      <c r="K361" s="7"/>
      <c r="L361" s="7"/>
      <c r="M361" s="7"/>
      <c r="N361" s="7"/>
      <c r="O361" s="7"/>
    </row>
    <row r="362">
      <c r="A362" s="48" t="s">
        <v>1459</v>
      </c>
      <c r="B362" s="10"/>
      <c r="C362" s="49" t="s">
        <v>1447</v>
      </c>
      <c r="D362" s="50"/>
      <c r="E362" s="51" t="s">
        <v>1448</v>
      </c>
      <c r="F362" s="51">
        <v>4.0</v>
      </c>
      <c r="G362" s="52"/>
      <c r="H362" s="13"/>
      <c r="I362" s="10"/>
      <c r="J362" s="6" t="s">
        <v>589</v>
      </c>
      <c r="K362" s="7"/>
      <c r="L362" s="7"/>
      <c r="M362" s="7"/>
      <c r="N362" s="7"/>
      <c r="O362" s="7"/>
    </row>
    <row r="363">
      <c r="A363" s="48" t="s">
        <v>1460</v>
      </c>
      <c r="B363" s="10"/>
      <c r="C363" s="49" t="s">
        <v>1463</v>
      </c>
      <c r="D363" s="50"/>
      <c r="E363" s="51" t="s">
        <v>1448</v>
      </c>
      <c r="F363" s="51">
        <v>50.0</v>
      </c>
      <c r="G363" s="52"/>
      <c r="H363" s="13"/>
      <c r="I363" s="10"/>
      <c r="J363" s="6" t="s">
        <v>584</v>
      </c>
      <c r="K363" s="7"/>
      <c r="L363" s="7"/>
      <c r="M363" s="7"/>
      <c r="N363" s="7"/>
      <c r="O363" s="7"/>
    </row>
    <row r="364">
      <c r="A364" s="48" t="s">
        <v>1464</v>
      </c>
      <c r="B364" s="10"/>
      <c r="C364" s="49" t="s">
        <v>1447</v>
      </c>
      <c r="D364" s="50"/>
      <c r="E364" s="51" t="s">
        <v>1448</v>
      </c>
      <c r="F364" s="51">
        <v>2.0</v>
      </c>
      <c r="G364" s="52"/>
      <c r="H364" s="13"/>
      <c r="I364" s="10"/>
      <c r="J364" s="6" t="s">
        <v>589</v>
      </c>
      <c r="K364" s="7"/>
      <c r="L364" s="7"/>
      <c r="M364" s="7"/>
      <c r="N364" s="7"/>
      <c r="O364" s="7"/>
    </row>
    <row r="365">
      <c r="A365" s="48" t="s">
        <v>1180</v>
      </c>
      <c r="B365" s="10"/>
      <c r="C365" s="49"/>
      <c r="D365" s="50"/>
      <c r="E365" s="51" t="s">
        <v>1448</v>
      </c>
      <c r="F365" s="51">
        <v>50.0</v>
      </c>
      <c r="G365" s="52" t="s">
        <v>1465</v>
      </c>
      <c r="H365" s="13"/>
      <c r="I365" s="10"/>
      <c r="J365" s="6" t="s">
        <v>584</v>
      </c>
      <c r="K365" s="7"/>
      <c r="L365" s="7"/>
      <c r="M365" s="7"/>
      <c r="N365" s="7"/>
      <c r="O365" s="7"/>
    </row>
    <row r="366">
      <c r="A366" s="48" t="s">
        <v>1466</v>
      </c>
      <c r="B366" s="10"/>
      <c r="C366" s="49" t="s">
        <v>1463</v>
      </c>
      <c r="D366" s="50"/>
      <c r="E366" s="51" t="s">
        <v>1448</v>
      </c>
      <c r="F366" s="51">
        <v>30.0</v>
      </c>
      <c r="G366" s="52"/>
      <c r="H366" s="13"/>
      <c r="I366" s="10"/>
      <c r="J366" s="6" t="s">
        <v>584</v>
      </c>
      <c r="K366" s="7"/>
      <c r="L366" s="7"/>
      <c r="M366" s="7"/>
      <c r="N366" s="7"/>
      <c r="O366" s="7"/>
    </row>
    <row r="367">
      <c r="A367" s="48" t="s">
        <v>1467</v>
      </c>
      <c r="B367" s="10"/>
      <c r="C367" s="49" t="s">
        <v>1447</v>
      </c>
      <c r="D367" s="50"/>
      <c r="E367" s="51" t="s">
        <v>1448</v>
      </c>
      <c r="F367" s="51">
        <v>3.0</v>
      </c>
      <c r="G367" s="52"/>
      <c r="H367" s="13"/>
      <c r="I367" s="10"/>
      <c r="J367" s="6" t="s">
        <v>584</v>
      </c>
      <c r="K367" s="7"/>
      <c r="L367" s="7"/>
      <c r="M367" s="7"/>
      <c r="N367" s="7"/>
      <c r="O367" s="7"/>
    </row>
    <row r="368">
      <c r="A368" s="48" t="s">
        <v>1468</v>
      </c>
      <c r="B368" s="10"/>
      <c r="C368" s="59"/>
      <c r="D368" s="50"/>
      <c r="E368" s="51" t="s">
        <v>1469</v>
      </c>
      <c r="F368" s="51" t="s">
        <v>1470</v>
      </c>
      <c r="G368" s="52" t="s">
        <v>1471</v>
      </c>
      <c r="H368" s="13"/>
      <c r="I368" s="10"/>
      <c r="J368" s="6" t="s">
        <v>589</v>
      </c>
      <c r="K368" s="7"/>
      <c r="L368" s="7"/>
      <c r="M368" s="7"/>
      <c r="N368" s="7"/>
      <c r="O368" s="7"/>
    </row>
    <row r="369">
      <c r="A369" s="48" t="s">
        <v>1472</v>
      </c>
      <c r="B369" s="10"/>
      <c r="C369" s="59"/>
      <c r="D369" s="50"/>
      <c r="E369" s="51" t="s">
        <v>1473</v>
      </c>
      <c r="F369" s="51" t="s">
        <v>1474</v>
      </c>
      <c r="G369" s="52" t="s">
        <v>1475</v>
      </c>
      <c r="H369" s="13"/>
      <c r="I369" s="10"/>
      <c r="J369" s="6" t="s">
        <v>1450</v>
      </c>
      <c r="K369" s="7"/>
      <c r="L369" s="7"/>
      <c r="M369" s="7"/>
      <c r="N369" s="7"/>
      <c r="O369" s="7"/>
    </row>
    <row r="370">
      <c r="A370" s="48" t="s">
        <v>1476</v>
      </c>
      <c r="B370" s="10"/>
      <c r="C370" s="59"/>
      <c r="D370" s="50"/>
      <c r="E370" s="51" t="s">
        <v>1477</v>
      </c>
      <c r="F370" s="51" t="s">
        <v>710</v>
      </c>
      <c r="G370" s="52" t="s">
        <v>1478</v>
      </c>
      <c r="H370" s="13"/>
      <c r="I370" s="10"/>
      <c r="J370" s="6" t="s">
        <v>584</v>
      </c>
      <c r="K370" s="7"/>
      <c r="L370" s="7"/>
      <c r="M370" s="7"/>
      <c r="N370" s="7"/>
      <c r="O370" s="7"/>
    </row>
    <row r="371">
      <c r="A371" s="48" t="s">
        <v>1479</v>
      </c>
      <c r="B371" s="10"/>
      <c r="C371" s="49" t="s">
        <v>1480</v>
      </c>
      <c r="D371" s="50"/>
      <c r="E371" s="51" t="s">
        <v>1482</v>
      </c>
      <c r="F371" s="51">
        <v>0.03</v>
      </c>
      <c r="G371" s="52" t="s">
        <v>1483</v>
      </c>
      <c r="H371" s="13"/>
      <c r="I371" s="10"/>
      <c r="J371" s="6" t="s">
        <v>589</v>
      </c>
      <c r="K371" s="7"/>
      <c r="L371" s="7"/>
      <c r="M371" s="7"/>
      <c r="N371" s="7"/>
      <c r="O371" s="7"/>
    </row>
    <row r="372">
      <c r="A372" s="48" t="s">
        <v>1484</v>
      </c>
      <c r="B372" s="10"/>
      <c r="C372" s="49" t="s">
        <v>1485</v>
      </c>
      <c r="D372" s="60"/>
      <c r="E372" s="51" t="s">
        <v>1486</v>
      </c>
      <c r="F372" s="51">
        <v>20.0</v>
      </c>
      <c r="G372" s="52" t="s">
        <v>1487</v>
      </c>
      <c r="H372" s="13"/>
      <c r="I372" s="10"/>
      <c r="J372" s="6" t="s">
        <v>584</v>
      </c>
      <c r="K372" s="7"/>
      <c r="L372" s="7"/>
      <c r="M372" s="7"/>
      <c r="N372" s="7"/>
      <c r="O372" s="7"/>
    </row>
    <row r="373">
      <c r="A373" s="48" t="s">
        <v>1488</v>
      </c>
      <c r="B373" s="10"/>
      <c r="C373" s="49" t="s">
        <v>1447</v>
      </c>
      <c r="D373" s="60"/>
      <c r="E373" s="51" t="s">
        <v>1489</v>
      </c>
      <c r="F373" s="51">
        <v>20.0</v>
      </c>
      <c r="G373" s="52" t="s">
        <v>1490</v>
      </c>
      <c r="H373" s="13"/>
      <c r="I373" s="10"/>
      <c r="J373" s="6" t="s">
        <v>1450</v>
      </c>
      <c r="K373" s="7"/>
      <c r="L373" s="7"/>
      <c r="M373" s="7"/>
      <c r="N373" s="7"/>
      <c r="O373" s="7"/>
    </row>
    <row r="374">
      <c r="A374" s="48" t="s">
        <v>1491</v>
      </c>
      <c r="B374" s="10"/>
      <c r="C374" s="49" t="s">
        <v>1447</v>
      </c>
      <c r="D374" s="60"/>
      <c r="E374" s="51" t="s">
        <v>1492</v>
      </c>
      <c r="F374" s="51">
        <v>30.0</v>
      </c>
      <c r="G374" s="52" t="s">
        <v>1493</v>
      </c>
      <c r="H374" s="13"/>
      <c r="I374" s="10"/>
      <c r="J374" s="6" t="s">
        <v>1450</v>
      </c>
      <c r="K374" s="7"/>
      <c r="L374" s="7"/>
      <c r="M374" s="7"/>
      <c r="N374" s="7"/>
      <c r="O374" s="7"/>
    </row>
    <row r="375">
      <c r="A375" s="48" t="s">
        <v>1494</v>
      </c>
      <c r="B375" s="10"/>
      <c r="C375" s="59"/>
      <c r="D375" s="60"/>
      <c r="E375" s="51" t="s">
        <v>1495</v>
      </c>
      <c r="F375" s="51" t="s">
        <v>1496</v>
      </c>
      <c r="G375" s="52" t="s">
        <v>1497</v>
      </c>
      <c r="H375" s="13"/>
      <c r="I375" s="10"/>
      <c r="J375" s="6" t="s">
        <v>1450</v>
      </c>
      <c r="K375" s="7"/>
      <c r="L375" s="7"/>
      <c r="M375" s="7"/>
      <c r="N375" s="7"/>
      <c r="O375" s="7"/>
    </row>
    <row r="376">
      <c r="A376" s="48" t="s">
        <v>188</v>
      </c>
      <c r="B376" s="10"/>
      <c r="C376" s="49" t="s">
        <v>1463</v>
      </c>
      <c r="D376" s="60"/>
      <c r="E376" s="51" t="s">
        <v>1498</v>
      </c>
      <c r="F376" s="51" t="s">
        <v>1470</v>
      </c>
      <c r="G376" s="52" t="s">
        <v>1499</v>
      </c>
      <c r="H376" s="13"/>
      <c r="I376" s="10"/>
      <c r="J376" s="6" t="s">
        <v>1450</v>
      </c>
      <c r="K376" s="7"/>
      <c r="L376" s="7"/>
      <c r="M376" s="7"/>
      <c r="N376" s="7"/>
      <c r="O376" s="7"/>
    </row>
    <row r="377">
      <c r="A377" s="48" t="s">
        <v>1500</v>
      </c>
      <c r="B377" s="10"/>
      <c r="C377" s="59"/>
      <c r="D377" s="60"/>
      <c r="E377" s="51" t="s">
        <v>1501</v>
      </c>
      <c r="F377" s="51" t="s">
        <v>1470</v>
      </c>
      <c r="G377" s="52" t="s">
        <v>1502</v>
      </c>
      <c r="H377" s="13"/>
      <c r="I377" s="10"/>
      <c r="J377" s="6" t="s">
        <v>589</v>
      </c>
      <c r="K377" s="7"/>
      <c r="L377" s="7"/>
      <c r="M377" s="7"/>
      <c r="N377" s="7"/>
      <c r="O377" s="7"/>
    </row>
    <row r="378">
      <c r="A378" s="48" t="s">
        <v>1144</v>
      </c>
      <c r="B378" s="10"/>
      <c r="C378" s="59"/>
      <c r="D378" s="60"/>
      <c r="E378" s="51" t="s">
        <v>1501</v>
      </c>
      <c r="F378" s="51" t="s">
        <v>1503</v>
      </c>
      <c r="G378" s="61"/>
      <c r="H378" s="58"/>
      <c r="I378" s="54"/>
      <c r="J378" s="6" t="s">
        <v>589</v>
      </c>
      <c r="K378" s="7"/>
      <c r="L378" s="7"/>
      <c r="M378" s="7"/>
      <c r="N378" s="7"/>
      <c r="O378" s="7"/>
    </row>
    <row r="379">
      <c r="A379" s="48" t="s">
        <v>1504</v>
      </c>
      <c r="B379" s="10"/>
      <c r="C379" s="49" t="s">
        <v>1505</v>
      </c>
      <c r="D379" s="60"/>
      <c r="E379" s="51" t="s">
        <v>1506</v>
      </c>
      <c r="F379" s="51">
        <v>1.2</v>
      </c>
      <c r="G379" s="52" t="s">
        <v>1507</v>
      </c>
      <c r="H379" s="13"/>
      <c r="I379" s="10"/>
      <c r="J379" s="6" t="s">
        <v>589</v>
      </c>
      <c r="K379" s="7"/>
      <c r="L379" s="7"/>
      <c r="M379" s="7"/>
      <c r="N379" s="7"/>
      <c r="O379" s="7"/>
    </row>
    <row r="380">
      <c r="A380" s="48" t="s">
        <v>1419</v>
      </c>
      <c r="B380" s="10"/>
      <c r="C380" s="59"/>
      <c r="D380" s="60"/>
      <c r="E380" s="51" t="s">
        <v>1501</v>
      </c>
      <c r="F380" s="51" t="s">
        <v>1496</v>
      </c>
      <c r="G380" s="52" t="s">
        <v>1508</v>
      </c>
      <c r="H380" s="13"/>
      <c r="I380" s="10"/>
      <c r="J380" s="6" t="s">
        <v>584</v>
      </c>
      <c r="K380" s="7"/>
      <c r="L380" s="7"/>
      <c r="M380" s="7"/>
      <c r="N380" s="7"/>
      <c r="O380" s="7"/>
    </row>
    <row r="381">
      <c r="A381" s="48" t="s">
        <v>1509</v>
      </c>
      <c r="B381" s="10"/>
      <c r="C381" s="49"/>
      <c r="D381" s="60"/>
      <c r="E381" s="51" t="s">
        <v>1501</v>
      </c>
      <c r="F381" s="51"/>
      <c r="G381" s="52" t="s">
        <v>1510</v>
      </c>
      <c r="H381" s="13"/>
      <c r="I381" s="10"/>
      <c r="J381" s="6" t="s">
        <v>1450</v>
      </c>
      <c r="K381" s="7"/>
      <c r="L381" s="7"/>
      <c r="M381" s="7"/>
      <c r="N381" s="7"/>
      <c r="O381" s="7"/>
    </row>
    <row r="382">
      <c r="A382" s="48" t="s">
        <v>1511</v>
      </c>
      <c r="B382" s="10"/>
      <c r="C382" s="49" t="s">
        <v>1512</v>
      </c>
      <c r="D382" s="60"/>
      <c r="E382" s="51" t="s">
        <v>1513</v>
      </c>
      <c r="F382" s="51">
        <v>10.0</v>
      </c>
      <c r="G382" s="52" t="s">
        <v>1514</v>
      </c>
      <c r="H382" s="13"/>
      <c r="I382" s="10"/>
      <c r="J382" s="6" t="s">
        <v>584</v>
      </c>
      <c r="K382" s="7"/>
      <c r="L382" s="7"/>
      <c r="M382" s="7"/>
      <c r="N382" s="7"/>
      <c r="O382" s="7"/>
    </row>
    <row r="383">
      <c r="A383" s="48" t="s">
        <v>1515</v>
      </c>
      <c r="B383" s="10"/>
      <c r="C383" s="49" t="s">
        <v>1516</v>
      </c>
      <c r="D383" s="50" t="s">
        <v>1517</v>
      </c>
      <c r="E383" s="51" t="s">
        <v>1482</v>
      </c>
      <c r="F383" s="51" t="s">
        <v>1519</v>
      </c>
      <c r="G383" s="52" t="s">
        <v>1520</v>
      </c>
      <c r="H383" s="13"/>
      <c r="I383" s="10"/>
      <c r="J383" s="6" t="s">
        <v>589</v>
      </c>
      <c r="K383" s="7"/>
      <c r="L383" s="7"/>
      <c r="M383" s="7"/>
      <c r="N383" s="7"/>
      <c r="O383" s="7"/>
    </row>
    <row r="384">
      <c r="A384" s="48" t="s">
        <v>1521</v>
      </c>
      <c r="B384" s="10"/>
      <c r="C384" s="49" t="s">
        <v>1522</v>
      </c>
      <c r="D384" s="62" t="s">
        <v>1523</v>
      </c>
      <c r="E384" s="51" t="s">
        <v>1501</v>
      </c>
      <c r="F384" s="51" t="s">
        <v>1524</v>
      </c>
      <c r="G384" s="52"/>
      <c r="H384" s="13"/>
      <c r="I384" s="10"/>
      <c r="J384" s="6" t="s">
        <v>584</v>
      </c>
      <c r="K384" s="7"/>
      <c r="L384" s="7"/>
      <c r="M384" s="7"/>
      <c r="N384" s="7"/>
      <c r="O384" s="7"/>
    </row>
    <row r="385">
      <c r="A385" s="48" t="s">
        <v>1525</v>
      </c>
      <c r="B385" s="10"/>
      <c r="C385" s="49" t="s">
        <v>1526</v>
      </c>
      <c r="D385" s="60"/>
      <c r="E385" s="51" t="s">
        <v>1527</v>
      </c>
      <c r="F385" s="51" t="s">
        <v>1528</v>
      </c>
      <c r="G385" s="52" t="s">
        <v>1529</v>
      </c>
      <c r="H385" s="13"/>
      <c r="I385" s="10"/>
      <c r="J385" s="6" t="s">
        <v>1450</v>
      </c>
      <c r="K385" s="7"/>
      <c r="L385" s="7"/>
      <c r="M385" s="7"/>
      <c r="N385" s="7"/>
      <c r="O385" s="7"/>
    </row>
    <row r="386">
      <c r="A386" s="48" t="s">
        <v>1530</v>
      </c>
      <c r="B386" s="10"/>
      <c r="C386" s="49" t="s">
        <v>1526</v>
      </c>
      <c r="D386" s="60"/>
      <c r="E386" s="51" t="s">
        <v>1527</v>
      </c>
      <c r="F386" s="51" t="s">
        <v>1531</v>
      </c>
      <c r="G386" s="52" t="s">
        <v>1532</v>
      </c>
      <c r="H386" s="13"/>
      <c r="I386" s="10"/>
      <c r="J386" s="6" t="s">
        <v>1450</v>
      </c>
      <c r="K386" s="7"/>
      <c r="L386" s="7"/>
      <c r="M386" s="7"/>
      <c r="N386" s="7"/>
      <c r="O386" s="7"/>
    </row>
    <row r="387">
      <c r="A387" s="48" t="s">
        <v>1533</v>
      </c>
      <c r="B387" s="10"/>
      <c r="C387" s="49" t="s">
        <v>1534</v>
      </c>
      <c r="D387" s="60"/>
      <c r="E387" s="51" t="s">
        <v>1535</v>
      </c>
      <c r="F387" s="51">
        <v>3.0</v>
      </c>
      <c r="G387" s="52" t="s">
        <v>1536</v>
      </c>
      <c r="H387" s="13"/>
      <c r="I387" s="10"/>
      <c r="J387" s="6" t="s">
        <v>584</v>
      </c>
      <c r="K387" s="7"/>
      <c r="L387" s="7"/>
      <c r="M387" s="7"/>
      <c r="N387" s="7"/>
      <c r="O387" s="7"/>
    </row>
    <row r="388">
      <c r="A388" s="48" t="s">
        <v>1537</v>
      </c>
      <c r="B388" s="10"/>
      <c r="C388" s="49" t="s">
        <v>1538</v>
      </c>
      <c r="D388" s="60"/>
      <c r="E388" s="51" t="s">
        <v>1539</v>
      </c>
      <c r="F388" s="51">
        <v>8.0</v>
      </c>
      <c r="G388" s="52" t="s">
        <v>1540</v>
      </c>
      <c r="H388" s="13"/>
      <c r="I388" s="10"/>
      <c r="J388" s="6" t="s">
        <v>584</v>
      </c>
      <c r="K388" s="7"/>
      <c r="L388" s="7"/>
      <c r="M388" s="7"/>
      <c r="N388" s="7"/>
      <c r="O388" s="7"/>
    </row>
    <row r="389">
      <c r="A389" s="48" t="s">
        <v>1541</v>
      </c>
      <c r="B389" s="10"/>
      <c r="C389" s="49" t="s">
        <v>1542</v>
      </c>
      <c r="D389" s="60"/>
      <c r="E389" s="51" t="s">
        <v>1543</v>
      </c>
      <c r="F389" s="51">
        <v>2.0</v>
      </c>
      <c r="G389" s="52" t="s">
        <v>1544</v>
      </c>
      <c r="H389" s="13"/>
      <c r="I389" s="10"/>
      <c r="J389" s="6" t="s">
        <v>584</v>
      </c>
      <c r="K389" s="7"/>
      <c r="L389" s="7"/>
      <c r="M389" s="7"/>
      <c r="N389" s="7"/>
      <c r="O389" s="7"/>
    </row>
    <row r="390">
      <c r="A390" s="48" t="s">
        <v>1545</v>
      </c>
      <c r="B390" s="10"/>
      <c r="C390" s="49" t="s">
        <v>1546</v>
      </c>
      <c r="D390" s="60"/>
      <c r="E390" s="51" t="s">
        <v>1547</v>
      </c>
      <c r="F390" s="51">
        <v>5.0</v>
      </c>
      <c r="G390" s="52" t="s">
        <v>1548</v>
      </c>
      <c r="H390" s="13"/>
      <c r="I390" s="10"/>
      <c r="J390" s="6" t="s">
        <v>584</v>
      </c>
      <c r="K390" s="7"/>
      <c r="L390" s="7"/>
      <c r="M390" s="7"/>
      <c r="N390" s="7"/>
      <c r="O390" s="7"/>
    </row>
    <row r="391">
      <c r="A391" s="48" t="s">
        <v>1549</v>
      </c>
      <c r="B391" s="10"/>
      <c r="C391" s="49" t="s">
        <v>1550</v>
      </c>
      <c r="D391" s="60"/>
      <c r="E391" s="51" t="s">
        <v>1551</v>
      </c>
      <c r="F391" s="51">
        <v>14.0</v>
      </c>
      <c r="G391" s="52" t="s">
        <v>1552</v>
      </c>
      <c r="H391" s="13"/>
      <c r="I391" s="10"/>
      <c r="J391" s="6" t="s">
        <v>584</v>
      </c>
      <c r="K391" s="7"/>
      <c r="L391" s="7"/>
      <c r="M391" s="7"/>
      <c r="N391" s="7"/>
      <c r="O391" s="7"/>
    </row>
    <row r="392">
      <c r="A392" s="48" t="s">
        <v>1140</v>
      </c>
      <c r="B392" s="10"/>
      <c r="C392" s="59"/>
      <c r="D392" s="50" t="s">
        <v>166</v>
      </c>
      <c r="E392" s="51" t="s">
        <v>1553</v>
      </c>
      <c r="F392" s="51" t="s">
        <v>1554</v>
      </c>
      <c r="G392" s="52" t="s">
        <v>1555</v>
      </c>
      <c r="H392" s="13"/>
      <c r="I392" s="10"/>
      <c r="J392" s="6" t="s">
        <v>584</v>
      </c>
      <c r="K392" s="7"/>
      <c r="L392" s="7"/>
      <c r="M392" s="7"/>
      <c r="N392" s="7"/>
      <c r="O392" s="7"/>
    </row>
    <row r="393">
      <c r="A393" s="48" t="s">
        <v>1556</v>
      </c>
      <c r="B393" s="10"/>
      <c r="C393" s="49" t="s">
        <v>1485</v>
      </c>
      <c r="D393" s="60"/>
      <c r="E393" s="51" t="s">
        <v>1557</v>
      </c>
      <c r="F393" s="51">
        <v>5.0</v>
      </c>
      <c r="G393" s="52" t="s">
        <v>1558</v>
      </c>
      <c r="H393" s="13"/>
      <c r="I393" s="10"/>
      <c r="J393" s="6" t="s">
        <v>584</v>
      </c>
      <c r="K393" s="7"/>
      <c r="L393" s="7"/>
      <c r="M393" s="7"/>
      <c r="N393" s="7"/>
      <c r="O393" s="7"/>
    </row>
    <row r="394">
      <c r="A394" s="48" t="s">
        <v>912</v>
      </c>
      <c r="B394" s="10"/>
      <c r="C394" s="59"/>
      <c r="D394" s="60"/>
      <c r="E394" s="51" t="s">
        <v>1559</v>
      </c>
      <c r="F394" s="51" t="s">
        <v>1554</v>
      </c>
      <c r="G394" s="52" t="s">
        <v>1560</v>
      </c>
      <c r="H394" s="13"/>
      <c r="I394" s="10"/>
      <c r="J394" s="6" t="s">
        <v>584</v>
      </c>
      <c r="K394" s="7"/>
      <c r="L394" s="7"/>
      <c r="M394" s="7"/>
      <c r="N394" s="7"/>
      <c r="O394" s="7"/>
    </row>
    <row r="395">
      <c r="A395" s="48" t="s">
        <v>154</v>
      </c>
      <c r="B395" s="10"/>
      <c r="C395" s="59"/>
      <c r="D395" s="60"/>
      <c r="E395" s="51" t="s">
        <v>1561</v>
      </c>
      <c r="F395" s="51" t="s">
        <v>710</v>
      </c>
      <c r="G395" s="52" t="s">
        <v>1562</v>
      </c>
      <c r="H395" s="13"/>
      <c r="I395" s="10"/>
      <c r="J395" s="6" t="s">
        <v>584</v>
      </c>
      <c r="K395" s="7"/>
      <c r="L395" s="7"/>
      <c r="M395" s="7"/>
      <c r="N395" s="7"/>
      <c r="O395" s="7"/>
    </row>
    <row r="396">
      <c r="A396" s="48" t="s">
        <v>1563</v>
      </c>
      <c r="B396" s="10"/>
      <c r="C396" s="59"/>
      <c r="D396" s="60"/>
      <c r="E396" s="51" t="s">
        <v>1561</v>
      </c>
      <c r="F396" s="51" t="s">
        <v>710</v>
      </c>
      <c r="G396" s="52" t="s">
        <v>1564</v>
      </c>
      <c r="H396" s="13"/>
      <c r="I396" s="10"/>
      <c r="J396" s="6" t="s">
        <v>584</v>
      </c>
      <c r="K396" s="7"/>
      <c r="L396" s="7"/>
      <c r="M396" s="7"/>
      <c r="N396" s="7"/>
      <c r="O396" s="7"/>
    </row>
    <row r="397">
      <c r="A397" s="48" t="s">
        <v>1565</v>
      </c>
      <c r="B397" s="10"/>
      <c r="C397" s="59"/>
      <c r="D397" s="60"/>
      <c r="E397" s="51" t="s">
        <v>1561</v>
      </c>
      <c r="F397" s="51" t="s">
        <v>710</v>
      </c>
      <c r="G397" s="52" t="s">
        <v>1566</v>
      </c>
      <c r="H397" s="13"/>
      <c r="I397" s="10"/>
      <c r="J397" s="6" t="s">
        <v>584</v>
      </c>
      <c r="K397" s="7"/>
      <c r="L397" s="7"/>
      <c r="M397" s="7"/>
      <c r="N397" s="7"/>
      <c r="O397" s="7"/>
    </row>
    <row r="398">
      <c r="A398" s="48" t="s">
        <v>1567</v>
      </c>
      <c r="B398" s="10"/>
      <c r="C398" s="59"/>
      <c r="D398" s="60"/>
      <c r="E398" s="51" t="s">
        <v>1568</v>
      </c>
      <c r="F398" s="51" t="s">
        <v>1554</v>
      </c>
      <c r="G398" s="52" t="s">
        <v>1569</v>
      </c>
      <c r="H398" s="13"/>
      <c r="I398" s="10"/>
      <c r="J398" s="6" t="s">
        <v>584</v>
      </c>
      <c r="K398" s="7"/>
      <c r="L398" s="7"/>
      <c r="M398" s="7"/>
      <c r="N398" s="7"/>
      <c r="O398" s="7"/>
    </row>
    <row r="399">
      <c r="A399" s="48" t="s">
        <v>31</v>
      </c>
      <c r="B399" s="10"/>
      <c r="C399" s="59"/>
      <c r="D399" s="60"/>
      <c r="E399" s="51" t="s">
        <v>1570</v>
      </c>
      <c r="F399" s="51"/>
      <c r="G399" s="52" t="s">
        <v>1571</v>
      </c>
      <c r="H399" s="13"/>
      <c r="I399" s="10"/>
      <c r="J399" s="6" t="s">
        <v>584</v>
      </c>
      <c r="K399" s="7"/>
      <c r="L399" s="7"/>
      <c r="M399" s="7"/>
      <c r="N399" s="7"/>
      <c r="O399" s="7"/>
    </row>
    <row r="400">
      <c r="A400" s="48" t="s">
        <v>722</v>
      </c>
      <c r="B400" s="10"/>
      <c r="C400" s="59"/>
      <c r="D400" s="60"/>
      <c r="E400" s="51" t="s">
        <v>1572</v>
      </c>
      <c r="F400" s="51" t="s">
        <v>1573</v>
      </c>
      <c r="G400" s="52" t="s">
        <v>1574</v>
      </c>
      <c r="H400" s="13"/>
      <c r="I400" s="10"/>
      <c r="J400" s="6" t="s">
        <v>584</v>
      </c>
      <c r="K400" s="7"/>
      <c r="L400" s="7"/>
      <c r="M400" s="7"/>
      <c r="N400" s="7"/>
      <c r="O400" s="7"/>
    </row>
    <row r="401">
      <c r="A401" s="48" t="s">
        <v>1575</v>
      </c>
      <c r="B401" s="10"/>
      <c r="C401" s="49" t="s">
        <v>1576</v>
      </c>
      <c r="D401" s="60"/>
      <c r="E401" s="51" t="s">
        <v>1501</v>
      </c>
      <c r="F401" s="51"/>
      <c r="G401" s="52" t="s">
        <v>1577</v>
      </c>
      <c r="H401" s="13"/>
      <c r="I401" s="10"/>
      <c r="J401" s="6" t="s">
        <v>1450</v>
      </c>
      <c r="K401" s="7"/>
      <c r="L401" s="7"/>
      <c r="M401" s="7"/>
      <c r="N401" s="7"/>
      <c r="O401" s="7"/>
    </row>
    <row r="402">
      <c r="A402" s="63" t="s">
        <v>1578</v>
      </c>
      <c r="B402" s="10"/>
      <c r="C402" s="49" t="s">
        <v>1580</v>
      </c>
      <c r="D402" s="60"/>
      <c r="E402" s="51" t="s">
        <v>1581</v>
      </c>
      <c r="F402" s="51"/>
      <c r="G402" s="52" t="s">
        <v>1582</v>
      </c>
      <c r="H402" s="13"/>
      <c r="I402" s="10"/>
      <c r="J402" s="6" t="s">
        <v>584</v>
      </c>
      <c r="K402" s="7"/>
      <c r="L402" s="7"/>
      <c r="M402" s="7"/>
      <c r="N402" s="7"/>
      <c r="O402" s="7"/>
    </row>
    <row r="403">
      <c r="A403" s="63" t="s">
        <v>1583</v>
      </c>
      <c r="B403" s="10"/>
      <c r="C403" s="49"/>
      <c r="D403" s="60"/>
      <c r="E403" s="51" t="s">
        <v>1501</v>
      </c>
      <c r="F403" s="51"/>
      <c r="G403" s="52" t="s">
        <v>1584</v>
      </c>
      <c r="H403" s="13"/>
      <c r="I403" s="10"/>
      <c r="J403" s="6" t="s">
        <v>584</v>
      </c>
      <c r="K403" s="7"/>
      <c r="L403" s="7"/>
      <c r="M403" s="7"/>
      <c r="N403" s="7"/>
      <c r="O403" s="7"/>
    </row>
    <row r="404">
      <c r="A404" s="63" t="s">
        <v>1585</v>
      </c>
      <c r="B404" s="10"/>
      <c r="C404" s="49"/>
      <c r="D404" s="60"/>
      <c r="E404" s="51" t="s">
        <v>1501</v>
      </c>
      <c r="F404" s="51"/>
      <c r="G404" s="52" t="s">
        <v>1586</v>
      </c>
      <c r="H404" s="13"/>
      <c r="I404" s="10"/>
      <c r="J404" s="6" t="s">
        <v>584</v>
      </c>
      <c r="K404" s="7"/>
      <c r="L404" s="7"/>
      <c r="M404" s="7"/>
      <c r="N404" s="7"/>
      <c r="O404" s="7"/>
    </row>
    <row r="405">
      <c r="A405" s="63" t="s">
        <v>111</v>
      </c>
      <c r="B405" s="10"/>
      <c r="C405" s="49"/>
      <c r="D405" s="60"/>
      <c r="E405" s="51" t="s">
        <v>1501</v>
      </c>
      <c r="F405" s="51"/>
      <c r="G405" s="52" t="s">
        <v>1587</v>
      </c>
      <c r="H405" s="13"/>
      <c r="I405" s="10"/>
      <c r="J405" s="6" t="s">
        <v>584</v>
      </c>
      <c r="K405" s="7"/>
      <c r="L405" s="7"/>
      <c r="M405" s="7"/>
      <c r="N405" s="7"/>
      <c r="O405" s="7"/>
    </row>
    <row r="406">
      <c r="A406" s="63" t="s">
        <v>1588</v>
      </c>
      <c r="B406" s="10"/>
      <c r="C406" s="49"/>
      <c r="D406" s="60"/>
      <c r="E406" s="51" t="s">
        <v>1501</v>
      </c>
      <c r="F406" s="51"/>
      <c r="G406" s="52" t="s">
        <v>1590</v>
      </c>
      <c r="H406" s="13"/>
      <c r="I406" s="10"/>
      <c r="J406" s="6" t="s">
        <v>584</v>
      </c>
      <c r="K406" s="7"/>
      <c r="L406" s="7"/>
      <c r="M406" s="7"/>
      <c r="N406" s="7"/>
      <c r="O406" s="7"/>
    </row>
    <row r="407">
      <c r="A407" s="63" t="s">
        <v>1591</v>
      </c>
      <c r="B407" s="10"/>
      <c r="C407" s="49"/>
      <c r="D407" s="60"/>
      <c r="E407" s="51" t="s">
        <v>1501</v>
      </c>
      <c r="F407" s="51"/>
      <c r="G407" s="52" t="s">
        <v>1592</v>
      </c>
      <c r="H407" s="13"/>
      <c r="I407" s="10"/>
      <c r="J407" s="6" t="s">
        <v>584</v>
      </c>
      <c r="K407" s="7"/>
      <c r="L407" s="7"/>
      <c r="M407" s="7"/>
      <c r="N407" s="7"/>
      <c r="O407" s="7"/>
    </row>
    <row r="408">
      <c r="A408" s="63" t="s">
        <v>1594</v>
      </c>
      <c r="B408" s="10"/>
      <c r="C408" s="49"/>
      <c r="D408" s="60"/>
      <c r="E408" s="51" t="s">
        <v>1501</v>
      </c>
      <c r="F408" s="51"/>
      <c r="G408" s="52" t="s">
        <v>1595</v>
      </c>
      <c r="H408" s="13"/>
      <c r="I408" s="10"/>
      <c r="J408" s="6" t="s">
        <v>584</v>
      </c>
      <c r="K408" s="7"/>
      <c r="L408" s="7"/>
      <c r="M408" s="7"/>
      <c r="N408" s="7"/>
      <c r="O408" s="7"/>
    </row>
    <row r="409">
      <c r="A409" s="63" t="s">
        <v>1597</v>
      </c>
      <c r="B409" s="10"/>
      <c r="C409" s="49"/>
      <c r="D409" s="60"/>
      <c r="E409" s="51" t="s">
        <v>1501</v>
      </c>
      <c r="F409" s="51"/>
      <c r="G409" s="52" t="s">
        <v>1598</v>
      </c>
      <c r="H409" s="13"/>
      <c r="I409" s="10"/>
      <c r="J409" s="6" t="s">
        <v>584</v>
      </c>
      <c r="K409" s="7"/>
      <c r="L409" s="7"/>
      <c r="M409" s="7"/>
      <c r="N409" s="7"/>
      <c r="O409" s="7"/>
    </row>
    <row r="410">
      <c r="A410" s="63" t="s">
        <v>1600</v>
      </c>
      <c r="B410" s="10"/>
      <c r="C410" s="49"/>
      <c r="D410" s="60"/>
      <c r="E410" s="51" t="s">
        <v>1501</v>
      </c>
      <c r="F410" s="51"/>
      <c r="G410" s="52" t="s">
        <v>1601</v>
      </c>
      <c r="H410" s="13"/>
      <c r="I410" s="10"/>
      <c r="J410" s="6" t="s">
        <v>584</v>
      </c>
      <c r="K410" s="7"/>
      <c r="L410" s="7"/>
      <c r="M410" s="7"/>
      <c r="N410" s="7"/>
      <c r="O410" s="7"/>
    </row>
    <row r="411">
      <c r="A411" s="63" t="s">
        <v>1603</v>
      </c>
      <c r="B411" s="10"/>
      <c r="C411" s="49" t="s">
        <v>1604</v>
      </c>
      <c r="D411" s="60"/>
      <c r="E411" s="51" t="s">
        <v>1605</v>
      </c>
      <c r="F411" s="51"/>
      <c r="G411" s="52" t="s">
        <v>1606</v>
      </c>
      <c r="H411" s="13"/>
      <c r="I411" s="10"/>
      <c r="J411" s="6" t="s">
        <v>584</v>
      </c>
      <c r="K411" s="7"/>
      <c r="L411" s="7"/>
      <c r="M411" s="7"/>
      <c r="N411" s="7"/>
      <c r="O411" s="7"/>
    </row>
    <row r="412">
      <c r="A412" s="63" t="s">
        <v>1608</v>
      </c>
      <c r="B412" s="10"/>
      <c r="C412" s="49" t="s">
        <v>1609</v>
      </c>
      <c r="D412" s="60"/>
      <c r="E412" s="51" t="s">
        <v>1501</v>
      </c>
      <c r="F412" s="51"/>
      <c r="G412" s="52" t="s">
        <v>1610</v>
      </c>
      <c r="H412" s="13"/>
      <c r="I412" s="10"/>
      <c r="J412" s="6" t="s">
        <v>584</v>
      </c>
      <c r="K412" s="7"/>
      <c r="L412" s="7"/>
      <c r="M412" s="7"/>
      <c r="N412" s="7"/>
      <c r="O412" s="7"/>
    </row>
    <row r="413">
      <c r="A413" s="63" t="s">
        <v>1612</v>
      </c>
      <c r="B413" s="10"/>
      <c r="C413" s="49"/>
      <c r="D413" s="60"/>
      <c r="E413" s="51" t="s">
        <v>1501</v>
      </c>
      <c r="F413" s="51"/>
      <c r="G413" s="52" t="s">
        <v>1613</v>
      </c>
      <c r="H413" s="13"/>
      <c r="I413" s="10"/>
      <c r="J413" s="6" t="s">
        <v>584</v>
      </c>
      <c r="K413" s="7"/>
      <c r="L413" s="7"/>
      <c r="M413" s="7"/>
      <c r="N413" s="7"/>
      <c r="O413" s="7"/>
    </row>
    <row r="414">
      <c r="A414" s="68" t="s">
        <v>1619</v>
      </c>
      <c r="B414" s="10"/>
      <c r="C414" s="69"/>
      <c r="D414" s="70"/>
      <c r="E414" s="47" t="s">
        <v>1620</v>
      </c>
      <c r="F414" s="47"/>
      <c r="G414" s="71"/>
      <c r="H414" s="13"/>
      <c r="I414" s="10"/>
      <c r="J414" s="72"/>
      <c r="K414" s="7"/>
      <c r="L414" s="7"/>
      <c r="M414" s="7"/>
      <c r="N414" s="7"/>
      <c r="O414" s="7"/>
    </row>
    <row r="415">
      <c r="A415" s="48" t="s">
        <v>1621</v>
      </c>
      <c r="B415" s="10"/>
      <c r="C415" s="59"/>
      <c r="D415" s="60"/>
      <c r="E415" s="51"/>
      <c r="F415" s="51"/>
      <c r="G415" s="52" t="s">
        <v>1622</v>
      </c>
      <c r="H415" s="13"/>
      <c r="I415" s="10"/>
      <c r="J415" s="6" t="s">
        <v>584</v>
      </c>
      <c r="K415" s="7"/>
      <c r="L415" s="7"/>
      <c r="M415" s="7"/>
      <c r="N415" s="7"/>
      <c r="O415" s="7"/>
    </row>
    <row r="416">
      <c r="A416" s="48" t="s">
        <v>1623</v>
      </c>
      <c r="B416" s="10"/>
      <c r="C416" s="59"/>
      <c r="D416" s="60"/>
      <c r="E416" s="51"/>
      <c r="F416" s="51"/>
      <c r="G416" s="52" t="s">
        <v>1624</v>
      </c>
      <c r="H416" s="13"/>
      <c r="I416" s="10"/>
      <c r="J416" s="6" t="s">
        <v>1450</v>
      </c>
      <c r="K416" s="7"/>
      <c r="L416" s="7"/>
      <c r="M416" s="7"/>
      <c r="N416" s="7"/>
      <c r="O416" s="7"/>
    </row>
    <row r="417">
      <c r="A417" s="48" t="s">
        <v>1625</v>
      </c>
      <c r="B417" s="10"/>
      <c r="C417" s="59"/>
      <c r="D417" s="60"/>
      <c r="E417" s="51"/>
      <c r="F417" s="51"/>
      <c r="G417" s="52" t="s">
        <v>1626</v>
      </c>
      <c r="H417" s="13"/>
      <c r="I417" s="10"/>
      <c r="J417" s="6" t="s">
        <v>1450</v>
      </c>
      <c r="K417" s="7"/>
      <c r="L417" s="7"/>
      <c r="M417" s="7"/>
      <c r="N417" s="7"/>
      <c r="O417" s="7"/>
    </row>
    <row r="418">
      <c r="A418" s="48" t="s">
        <v>1627</v>
      </c>
      <c r="B418" s="10"/>
      <c r="C418" s="59"/>
      <c r="D418" s="60"/>
      <c r="E418" s="51"/>
      <c r="F418" s="51"/>
      <c r="G418" s="52" t="s">
        <v>1628</v>
      </c>
      <c r="H418" s="13"/>
      <c r="I418" s="10"/>
      <c r="J418" s="6" t="s">
        <v>584</v>
      </c>
      <c r="K418" s="7"/>
      <c r="L418" s="7"/>
      <c r="M418" s="7"/>
      <c r="N418" s="7"/>
      <c r="O418" s="7"/>
    </row>
    <row r="419">
      <c r="A419" s="48" t="s">
        <v>1629</v>
      </c>
      <c r="B419" s="10"/>
      <c r="C419" s="59"/>
      <c r="D419" s="60"/>
      <c r="E419" s="51"/>
      <c r="F419" s="51"/>
      <c r="G419" s="52" t="s">
        <v>1630</v>
      </c>
      <c r="H419" s="13"/>
      <c r="I419" s="10"/>
      <c r="J419" s="6" t="s">
        <v>584</v>
      </c>
      <c r="K419" s="7"/>
      <c r="L419" s="7"/>
      <c r="M419" s="7"/>
      <c r="N419" s="7"/>
      <c r="O419" s="7"/>
    </row>
    <row r="420">
      <c r="A420" s="48" t="s">
        <v>1631</v>
      </c>
      <c r="B420" s="10"/>
      <c r="C420" s="59"/>
      <c r="D420" s="60"/>
      <c r="E420" s="51"/>
      <c r="F420" s="51"/>
      <c r="G420" s="52" t="s">
        <v>1632</v>
      </c>
      <c r="H420" s="13"/>
      <c r="I420" s="10"/>
      <c r="J420" s="6" t="s">
        <v>584</v>
      </c>
      <c r="K420" s="7"/>
      <c r="L420" s="7"/>
      <c r="M420" s="7"/>
      <c r="N420" s="7"/>
      <c r="O420" s="7"/>
    </row>
    <row r="421">
      <c r="A421" s="48" t="s">
        <v>1633</v>
      </c>
      <c r="B421" s="10"/>
      <c r="C421" s="59"/>
      <c r="D421" s="60"/>
      <c r="E421" s="51"/>
      <c r="F421" s="51"/>
      <c r="G421" s="52" t="s">
        <v>1634</v>
      </c>
      <c r="H421" s="13"/>
      <c r="I421" s="10"/>
      <c r="J421" s="6" t="s">
        <v>584</v>
      </c>
      <c r="K421" s="7"/>
      <c r="L421" s="7"/>
      <c r="M421" s="7"/>
      <c r="N421" s="7"/>
      <c r="O421" s="7"/>
    </row>
    <row r="422">
      <c r="A422" s="73"/>
      <c r="B422" s="74"/>
      <c r="C422" s="74"/>
      <c r="D422" s="73"/>
      <c r="E422" s="22"/>
      <c r="F422" s="22"/>
      <c r="G422" s="22"/>
      <c r="H422" s="7"/>
      <c r="I422" s="7"/>
      <c r="J422" s="7">
        <f>COUNTIFS(J356:J421,"Yes")</f>
        <v>43</v>
      </c>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f>COUNTIF(J356:J421,"Changes")</f>
        <v>12</v>
      </c>
      <c r="K423" s="7"/>
      <c r="L423" s="7"/>
      <c r="M423" s="7"/>
      <c r="N423" s="7"/>
      <c r="O423" s="7"/>
      <c r="P423" s="7"/>
      <c r="Q423" s="7"/>
      <c r="R423" s="7"/>
      <c r="S423" s="7"/>
      <c r="T423" s="7"/>
      <c r="U423" s="7"/>
      <c r="V423" s="7"/>
      <c r="W423" s="7"/>
      <c r="X423" s="7"/>
      <c r="Y423" s="7"/>
      <c r="Z423" s="7"/>
    </row>
    <row r="424">
      <c r="A424" s="36" t="s">
        <v>1635</v>
      </c>
      <c r="B424" s="75" t="s">
        <v>1636</v>
      </c>
      <c r="C424" s="5"/>
      <c r="D424" s="5"/>
      <c r="E424" s="5"/>
      <c r="F424" s="5"/>
      <c r="G424" s="5"/>
      <c r="H424" s="5"/>
      <c r="I424" s="3"/>
      <c r="J424" s="7">
        <f>COUNTIF(J356:J421, "No")</f>
        <v>10</v>
      </c>
      <c r="K424" s="7"/>
      <c r="L424" s="7"/>
      <c r="M424" s="7"/>
      <c r="N424" s="7"/>
      <c r="O424" s="7"/>
    </row>
    <row r="425">
      <c r="A425" s="76" t="s">
        <v>1637</v>
      </c>
      <c r="B425" s="13"/>
      <c r="C425" s="13"/>
      <c r="D425" s="13"/>
      <c r="E425" s="13"/>
      <c r="F425" s="13"/>
      <c r="G425" s="13"/>
      <c r="H425" s="13"/>
      <c r="I425" s="10"/>
      <c r="J425" s="7">
        <f>J422+J423+J424</f>
        <v>65</v>
      </c>
      <c r="K425" s="7"/>
      <c r="L425" s="7"/>
      <c r="M425" s="7"/>
      <c r="N425" s="7"/>
      <c r="O425" s="7"/>
    </row>
    <row r="426">
      <c r="A426" s="36" t="s">
        <v>1639</v>
      </c>
      <c r="B426" s="36" t="s">
        <v>1640</v>
      </c>
      <c r="C426" s="36" t="s">
        <v>1641</v>
      </c>
      <c r="D426" s="36" t="s">
        <v>1642</v>
      </c>
      <c r="E426" s="36" t="s">
        <v>581</v>
      </c>
      <c r="F426" s="36"/>
      <c r="G426" s="36"/>
      <c r="H426" s="36"/>
      <c r="I426" s="36" t="s">
        <v>1643</v>
      </c>
      <c r="J426" s="7"/>
      <c r="K426" s="7"/>
      <c r="L426" s="7"/>
      <c r="M426" s="7"/>
      <c r="N426" s="7"/>
      <c r="O426" s="7"/>
    </row>
    <row r="427">
      <c r="A427" s="31" t="s">
        <v>20</v>
      </c>
      <c r="B427" s="31" t="s">
        <v>17</v>
      </c>
      <c r="C427" s="77" t="s">
        <v>960</v>
      </c>
      <c r="D427" s="37" t="s">
        <v>595</v>
      </c>
      <c r="E427" s="30" t="s">
        <v>1644</v>
      </c>
      <c r="F427" s="13"/>
      <c r="G427" s="13"/>
      <c r="H427" s="10"/>
      <c r="I427" s="37"/>
      <c r="J427" s="7"/>
      <c r="K427" s="7"/>
      <c r="L427" s="7"/>
      <c r="M427" s="7"/>
      <c r="N427" s="7">
        <f t="shared" ref="N427:N450" si="4"> IF(ISBLANK(E427), 0, 1)</f>
        <v>1</v>
      </c>
      <c r="O427" s="7"/>
    </row>
    <row r="428">
      <c r="A428" s="31" t="s">
        <v>403</v>
      </c>
      <c r="B428" s="31" t="s">
        <v>400</v>
      </c>
      <c r="C428" s="31" t="s">
        <v>1645</v>
      </c>
      <c r="D428" s="37" t="s">
        <v>1364</v>
      </c>
      <c r="E428" s="30" t="s">
        <v>1646</v>
      </c>
      <c r="F428" s="13"/>
      <c r="G428" s="13"/>
      <c r="H428" s="10"/>
      <c r="I428" s="37"/>
      <c r="J428" s="7"/>
      <c r="K428" s="7"/>
      <c r="L428" s="7"/>
      <c r="M428" s="7"/>
      <c r="N428" s="7">
        <f t="shared" si="4"/>
        <v>1</v>
      </c>
      <c r="O428" s="7"/>
    </row>
    <row r="429">
      <c r="A429" s="31" t="s">
        <v>290</v>
      </c>
      <c r="B429" s="31" t="s">
        <v>285</v>
      </c>
      <c r="C429" s="77" t="s">
        <v>945</v>
      </c>
      <c r="D429" s="37" t="s">
        <v>1380</v>
      </c>
      <c r="E429" s="30" t="s">
        <v>1647</v>
      </c>
      <c r="F429" s="13"/>
      <c r="G429" s="13"/>
      <c r="H429" s="10"/>
      <c r="I429" s="37"/>
      <c r="J429" s="7"/>
      <c r="K429" s="7"/>
      <c r="L429" s="7"/>
      <c r="M429" s="7"/>
      <c r="N429" s="7">
        <f t="shared" si="4"/>
        <v>1</v>
      </c>
      <c r="O429" s="7"/>
    </row>
    <row r="430">
      <c r="A430" s="31" t="s">
        <v>324</v>
      </c>
      <c r="B430" s="31" t="s">
        <v>319</v>
      </c>
      <c r="C430" s="31" t="s">
        <v>1127</v>
      </c>
      <c r="D430" s="37" t="s">
        <v>595</v>
      </c>
      <c r="E430" s="30" t="s">
        <v>1740</v>
      </c>
      <c r="F430" s="13"/>
      <c r="G430" s="13"/>
      <c r="H430" s="10"/>
      <c r="I430" s="37"/>
      <c r="J430" s="7"/>
      <c r="K430" s="7"/>
      <c r="L430" s="7"/>
      <c r="M430" s="7"/>
      <c r="N430" s="7">
        <f t="shared" si="4"/>
        <v>1</v>
      </c>
      <c r="O430" s="7"/>
    </row>
    <row r="431">
      <c r="A431" s="31" t="s">
        <v>122</v>
      </c>
      <c r="B431" s="31" t="s">
        <v>115</v>
      </c>
      <c r="C431" s="31" t="s">
        <v>1649</v>
      </c>
      <c r="D431" s="37" t="s">
        <v>595</v>
      </c>
      <c r="E431" s="30" t="s">
        <v>1650</v>
      </c>
      <c r="F431" s="13"/>
      <c r="G431" s="13"/>
      <c r="H431" s="10"/>
      <c r="I431" s="37"/>
      <c r="J431" s="7"/>
      <c r="K431" s="7"/>
      <c r="L431" s="7"/>
      <c r="M431" s="7"/>
      <c r="N431" s="7">
        <f t="shared" si="4"/>
        <v>1</v>
      </c>
      <c r="O431" s="7"/>
    </row>
    <row r="432">
      <c r="A432" s="31" t="s">
        <v>391</v>
      </c>
      <c r="B432" s="31" t="s">
        <v>1651</v>
      </c>
      <c r="C432" s="31" t="s">
        <v>387</v>
      </c>
      <c r="D432" s="37" t="s">
        <v>1399</v>
      </c>
      <c r="E432" s="30" t="s">
        <v>1652</v>
      </c>
      <c r="F432" s="13"/>
      <c r="G432" s="13"/>
      <c r="H432" s="10"/>
      <c r="I432" s="37"/>
      <c r="J432" s="7"/>
      <c r="K432" s="7"/>
      <c r="L432" s="7"/>
      <c r="M432" s="7"/>
      <c r="N432" s="7">
        <f t="shared" si="4"/>
        <v>1</v>
      </c>
      <c r="O432" s="7"/>
    </row>
    <row r="433">
      <c r="A433" s="31" t="s">
        <v>82</v>
      </c>
      <c r="B433" s="31" t="s">
        <v>78</v>
      </c>
      <c r="C433" s="77" t="s">
        <v>1653</v>
      </c>
      <c r="D433" s="37" t="s">
        <v>595</v>
      </c>
      <c r="E433" s="30" t="s">
        <v>1654</v>
      </c>
      <c r="F433" s="13"/>
      <c r="G433" s="13"/>
      <c r="H433" s="10"/>
      <c r="I433" s="37"/>
      <c r="J433" s="7"/>
      <c r="K433" s="7"/>
      <c r="L433" s="7"/>
      <c r="M433" s="7"/>
      <c r="N433" s="7">
        <f t="shared" si="4"/>
        <v>1</v>
      </c>
      <c r="O433" s="7"/>
    </row>
    <row r="434">
      <c r="A434" s="31" t="s">
        <v>356</v>
      </c>
      <c r="B434" s="31" t="s">
        <v>352</v>
      </c>
      <c r="C434" s="31" t="s">
        <v>1268</v>
      </c>
      <c r="D434" s="37" t="s">
        <v>595</v>
      </c>
      <c r="E434" s="30" t="s">
        <v>1655</v>
      </c>
      <c r="F434" s="13"/>
      <c r="G434" s="13"/>
      <c r="H434" s="10"/>
      <c r="I434" s="37"/>
      <c r="J434" s="7"/>
      <c r="K434" s="7"/>
      <c r="L434" s="7"/>
      <c r="M434" s="7"/>
      <c r="N434" s="7">
        <f t="shared" si="4"/>
        <v>1</v>
      </c>
      <c r="O434" s="7"/>
    </row>
    <row r="435">
      <c r="A435" s="31" t="s">
        <v>1404</v>
      </c>
      <c r="B435" s="31" t="s">
        <v>423</v>
      </c>
      <c r="C435" s="31" t="s">
        <v>1019</v>
      </c>
      <c r="D435" s="37" t="s">
        <v>1656</v>
      </c>
      <c r="E435" s="30" t="s">
        <v>1657</v>
      </c>
      <c r="F435" s="13"/>
      <c r="G435" s="13"/>
      <c r="H435" s="10"/>
      <c r="I435" s="37"/>
      <c r="J435" s="7"/>
      <c r="K435" s="7"/>
      <c r="L435" s="7"/>
      <c r="M435" s="7"/>
      <c r="N435" s="7">
        <f t="shared" si="4"/>
        <v>1</v>
      </c>
      <c r="O435" s="7"/>
    </row>
    <row r="436">
      <c r="A436" s="31" t="s">
        <v>351</v>
      </c>
      <c r="B436" s="31" t="s">
        <v>345</v>
      </c>
      <c r="C436" s="77" t="s">
        <v>1120</v>
      </c>
      <c r="D436" s="37" t="s">
        <v>595</v>
      </c>
      <c r="E436" s="30" t="s">
        <v>1658</v>
      </c>
      <c r="F436" s="13"/>
      <c r="G436" s="13"/>
      <c r="H436" s="10"/>
      <c r="I436" s="37"/>
      <c r="J436" s="7"/>
      <c r="K436" s="7"/>
      <c r="L436" s="7"/>
      <c r="M436" s="7"/>
      <c r="N436" s="7">
        <f t="shared" si="4"/>
        <v>1</v>
      </c>
      <c r="O436" s="7"/>
    </row>
    <row r="437">
      <c r="A437" s="31" t="s">
        <v>260</v>
      </c>
      <c r="B437" s="31" t="s">
        <v>1659</v>
      </c>
      <c r="C437" s="77" t="s">
        <v>1123</v>
      </c>
      <c r="D437" s="37" t="s">
        <v>595</v>
      </c>
      <c r="E437" s="30" t="s">
        <v>1660</v>
      </c>
      <c r="F437" s="13"/>
      <c r="G437" s="13"/>
      <c r="H437" s="10"/>
      <c r="I437" s="37"/>
      <c r="J437" s="7"/>
      <c r="K437" s="7"/>
      <c r="L437" s="7"/>
      <c r="M437" s="7"/>
      <c r="N437" s="7">
        <f t="shared" si="4"/>
        <v>1</v>
      </c>
      <c r="O437" s="7"/>
    </row>
    <row r="438">
      <c r="A438" s="31" t="s">
        <v>420</v>
      </c>
      <c r="B438" s="31" t="s">
        <v>415</v>
      </c>
      <c r="C438" s="31" t="s">
        <v>775</v>
      </c>
      <c r="D438" s="37" t="s">
        <v>595</v>
      </c>
      <c r="E438" s="30" t="s">
        <v>1661</v>
      </c>
      <c r="F438" s="13"/>
      <c r="G438" s="13"/>
      <c r="H438" s="10"/>
      <c r="I438" s="37"/>
      <c r="J438" s="7"/>
      <c r="K438" s="7"/>
      <c r="L438" s="7"/>
      <c r="M438" s="7"/>
      <c r="N438" s="7">
        <f t="shared" si="4"/>
        <v>1</v>
      </c>
      <c r="O438" s="7"/>
      <c r="P438" s="7"/>
      <c r="Q438" s="7"/>
      <c r="R438" s="7"/>
      <c r="S438" s="7"/>
      <c r="T438" s="7"/>
      <c r="U438" s="7"/>
      <c r="V438" s="7"/>
      <c r="W438" s="7"/>
      <c r="X438" s="7"/>
      <c r="Y438" s="7"/>
      <c r="Z438" s="7"/>
    </row>
    <row r="439">
      <c r="A439" s="31" t="s">
        <v>127</v>
      </c>
      <c r="B439" s="31" t="s">
        <v>123</v>
      </c>
      <c r="C439" s="31" t="s">
        <v>937</v>
      </c>
      <c r="D439" s="37" t="s">
        <v>595</v>
      </c>
      <c r="E439" s="30" t="s">
        <v>1662</v>
      </c>
      <c r="F439" s="13"/>
      <c r="G439" s="13"/>
      <c r="H439" s="10"/>
      <c r="I439" s="37"/>
      <c r="J439" s="7"/>
      <c r="K439" s="7"/>
      <c r="L439" s="7"/>
      <c r="M439" s="7"/>
      <c r="N439" s="7">
        <f t="shared" si="4"/>
        <v>1</v>
      </c>
      <c r="O439" s="7"/>
      <c r="P439" s="7"/>
      <c r="Q439" s="7"/>
      <c r="R439" s="7"/>
      <c r="S439" s="7"/>
      <c r="T439" s="7"/>
      <c r="U439" s="7"/>
      <c r="V439" s="7"/>
      <c r="W439" s="7"/>
      <c r="X439" s="7"/>
      <c r="Y439" s="7"/>
      <c r="Z439" s="7"/>
    </row>
    <row r="440">
      <c r="A440" s="37" t="s">
        <v>374</v>
      </c>
      <c r="B440" s="37" t="s">
        <v>371</v>
      </c>
      <c r="C440" s="37" t="s">
        <v>813</v>
      </c>
      <c r="D440" s="37" t="s">
        <v>1388</v>
      </c>
      <c r="E440" s="30" t="s">
        <v>1663</v>
      </c>
      <c r="F440" s="13"/>
      <c r="G440" s="13"/>
      <c r="H440" s="10"/>
      <c r="I440" s="37"/>
      <c r="J440" s="7"/>
      <c r="K440" s="7"/>
      <c r="L440" s="7"/>
      <c r="M440" s="7"/>
      <c r="N440" s="7">
        <f t="shared" si="4"/>
        <v>1</v>
      </c>
      <c r="O440" s="7"/>
      <c r="P440" s="7"/>
      <c r="Q440" s="7"/>
      <c r="R440" s="7"/>
      <c r="S440" s="7"/>
      <c r="T440" s="7"/>
      <c r="U440" s="7"/>
      <c r="V440" s="7"/>
      <c r="W440" s="7"/>
      <c r="X440" s="7"/>
      <c r="Y440" s="7"/>
      <c r="Z440" s="7"/>
    </row>
    <row r="441">
      <c r="A441" s="37" t="s">
        <v>39</v>
      </c>
      <c r="B441" s="37" t="s">
        <v>35</v>
      </c>
      <c r="C441" s="37" t="s">
        <v>1153</v>
      </c>
      <c r="D441" s="37" t="s">
        <v>595</v>
      </c>
      <c r="E441" s="30" t="s">
        <v>1665</v>
      </c>
      <c r="F441" s="13"/>
      <c r="G441" s="13"/>
      <c r="H441" s="10"/>
      <c r="I441" s="37"/>
      <c r="J441" s="7"/>
      <c r="K441" s="7"/>
      <c r="L441" s="7"/>
      <c r="M441" s="7"/>
      <c r="N441" s="7">
        <f t="shared" si="4"/>
        <v>1</v>
      </c>
      <c r="O441" s="7"/>
      <c r="P441" s="7"/>
      <c r="Q441" s="7"/>
      <c r="R441" s="7"/>
      <c r="S441" s="7"/>
      <c r="T441" s="7"/>
      <c r="U441" s="7"/>
      <c r="V441" s="7"/>
      <c r="W441" s="7"/>
      <c r="X441" s="7"/>
      <c r="Y441" s="7"/>
      <c r="Z441" s="7"/>
    </row>
    <row r="442">
      <c r="A442" s="37" t="s">
        <v>466</v>
      </c>
      <c r="B442" s="37" t="s">
        <v>1667</v>
      </c>
      <c r="C442" s="37" t="s">
        <v>1668</v>
      </c>
      <c r="D442" s="37" t="s">
        <v>595</v>
      </c>
      <c r="E442" s="30" t="s">
        <v>1669</v>
      </c>
      <c r="F442" s="13"/>
      <c r="G442" s="13"/>
      <c r="H442" s="10"/>
      <c r="I442" s="37"/>
      <c r="J442" s="7"/>
      <c r="K442" s="7"/>
      <c r="L442" s="7"/>
      <c r="M442" s="7"/>
      <c r="N442" s="7">
        <f t="shared" si="4"/>
        <v>1</v>
      </c>
      <c r="O442" s="7"/>
      <c r="P442" s="7"/>
      <c r="Q442" s="7"/>
      <c r="R442" s="7"/>
      <c r="S442" s="7"/>
      <c r="T442" s="7"/>
      <c r="U442" s="7"/>
      <c r="V442" s="7"/>
      <c r="W442" s="7"/>
      <c r="X442" s="7"/>
      <c r="Y442" s="7"/>
      <c r="Z442" s="7"/>
    </row>
    <row r="443">
      <c r="A443" s="37" t="s">
        <v>254</v>
      </c>
      <c r="B443" s="37" t="s">
        <v>248</v>
      </c>
      <c r="C443" s="37" t="s">
        <v>880</v>
      </c>
      <c r="D443" s="37" t="s">
        <v>595</v>
      </c>
      <c r="E443" s="30" t="s">
        <v>1670</v>
      </c>
      <c r="F443" s="13"/>
      <c r="G443" s="13"/>
      <c r="H443" s="10"/>
      <c r="I443" s="37"/>
      <c r="J443" s="7"/>
      <c r="K443" s="7"/>
      <c r="L443" s="7"/>
      <c r="M443" s="7"/>
      <c r="N443" s="7">
        <f t="shared" si="4"/>
        <v>1</v>
      </c>
      <c r="O443" s="7"/>
      <c r="P443" s="7"/>
      <c r="Q443" s="7"/>
      <c r="R443" s="7"/>
      <c r="S443" s="7"/>
      <c r="T443" s="7"/>
      <c r="U443" s="7"/>
      <c r="V443" s="7"/>
      <c r="W443" s="7"/>
      <c r="X443" s="7"/>
      <c r="Y443" s="7"/>
      <c r="Z443" s="7"/>
    </row>
    <row r="444">
      <c r="A444" s="37" t="s">
        <v>445</v>
      </c>
      <c r="B444" s="37" t="s">
        <v>440</v>
      </c>
      <c r="C444" s="37" t="s">
        <v>734</v>
      </c>
      <c r="D444" s="37" t="s">
        <v>1342</v>
      </c>
      <c r="E444" s="30" t="s">
        <v>1671</v>
      </c>
      <c r="F444" s="13"/>
      <c r="G444" s="13"/>
      <c r="H444" s="10"/>
      <c r="I444" s="37"/>
      <c r="J444" s="7"/>
      <c r="K444" s="7"/>
      <c r="L444" s="7"/>
      <c r="M444" s="7"/>
      <c r="N444" s="7">
        <f t="shared" si="4"/>
        <v>1</v>
      </c>
      <c r="O444" s="7"/>
      <c r="P444" s="7"/>
      <c r="Q444" s="7"/>
      <c r="R444" s="7"/>
      <c r="S444" s="7"/>
      <c r="T444" s="7"/>
      <c r="U444" s="7"/>
      <c r="V444" s="7"/>
      <c r="W444" s="7"/>
      <c r="X444" s="7"/>
      <c r="Y444" s="7"/>
      <c r="Z444" s="7"/>
    </row>
    <row r="445">
      <c r="A445" s="37" t="s">
        <v>520</v>
      </c>
      <c r="B445" s="37" t="s">
        <v>516</v>
      </c>
      <c r="C445" s="37" t="s">
        <v>602</v>
      </c>
      <c r="D445" s="37" t="s">
        <v>1375</v>
      </c>
      <c r="E445" s="30" t="s">
        <v>1673</v>
      </c>
      <c r="F445" s="13"/>
      <c r="G445" s="13"/>
      <c r="H445" s="10"/>
      <c r="I445" s="37"/>
      <c r="J445" s="7"/>
      <c r="K445" s="7"/>
      <c r="L445" s="7"/>
      <c r="M445" s="7"/>
      <c r="N445" s="7">
        <f t="shared" si="4"/>
        <v>1</v>
      </c>
      <c r="O445" s="7"/>
      <c r="P445" s="7"/>
      <c r="Q445" s="7"/>
      <c r="R445" s="7"/>
      <c r="S445" s="7"/>
      <c r="T445" s="7"/>
      <c r="U445" s="7"/>
      <c r="V445" s="7"/>
      <c r="W445" s="7"/>
      <c r="X445" s="7"/>
      <c r="Y445" s="7"/>
      <c r="Z445" s="7"/>
    </row>
    <row r="446">
      <c r="A446" s="37" t="s">
        <v>344</v>
      </c>
      <c r="B446" s="37" t="s">
        <v>1675</v>
      </c>
      <c r="C446" s="37" t="s">
        <v>1676</v>
      </c>
      <c r="D446" s="37" t="s">
        <v>1360</v>
      </c>
      <c r="E446" s="30" t="s">
        <v>1677</v>
      </c>
      <c r="F446" s="13"/>
      <c r="G446" s="13"/>
      <c r="H446" s="10"/>
      <c r="I446" s="37"/>
      <c r="J446" s="7"/>
      <c r="K446" s="7"/>
      <c r="L446" s="7"/>
      <c r="M446" s="7"/>
      <c r="N446" s="7">
        <f t="shared" si="4"/>
        <v>1</v>
      </c>
      <c r="O446" s="7"/>
      <c r="P446" s="7"/>
      <c r="Q446" s="7"/>
      <c r="R446" s="7"/>
      <c r="S446" s="7"/>
      <c r="T446" s="7"/>
      <c r="U446" s="7"/>
      <c r="V446" s="7"/>
      <c r="W446" s="7"/>
      <c r="X446" s="7"/>
      <c r="Y446" s="7"/>
      <c r="Z446" s="7"/>
    </row>
    <row r="447">
      <c r="A447" s="37" t="s">
        <v>280</v>
      </c>
      <c r="B447" s="37" t="s">
        <v>276</v>
      </c>
      <c r="C447" s="37" t="s">
        <v>958</v>
      </c>
      <c r="D447" s="37" t="s">
        <v>1405</v>
      </c>
      <c r="E447" s="30" t="s">
        <v>1679</v>
      </c>
      <c r="F447" s="13"/>
      <c r="G447" s="13"/>
      <c r="H447" s="10"/>
      <c r="I447" s="37"/>
      <c r="J447" s="7"/>
      <c r="K447" s="7"/>
      <c r="L447" s="7"/>
      <c r="M447" s="7"/>
      <c r="N447" s="7">
        <f t="shared" si="4"/>
        <v>1</v>
      </c>
      <c r="O447" s="7"/>
      <c r="P447" s="7"/>
      <c r="Q447" s="7"/>
      <c r="R447" s="7"/>
      <c r="S447" s="7"/>
      <c r="T447" s="7"/>
      <c r="U447" s="7"/>
      <c r="V447" s="7"/>
      <c r="W447" s="7"/>
      <c r="X447" s="7"/>
      <c r="Y447" s="7"/>
      <c r="Z447" s="7"/>
    </row>
    <row r="448">
      <c r="A448" s="37" t="s">
        <v>52</v>
      </c>
      <c r="B448" s="37" t="s">
        <v>48</v>
      </c>
      <c r="C448" s="37" t="s">
        <v>1187</v>
      </c>
      <c r="D448" s="37" t="s">
        <v>595</v>
      </c>
      <c r="E448" s="30" t="s">
        <v>1680</v>
      </c>
      <c r="F448" s="13"/>
      <c r="G448" s="13"/>
      <c r="H448" s="10"/>
      <c r="I448" s="37"/>
      <c r="J448" s="7"/>
      <c r="K448" s="7"/>
      <c r="L448" s="7"/>
      <c r="M448" s="7"/>
      <c r="N448" s="7">
        <f t="shared" si="4"/>
        <v>1</v>
      </c>
      <c r="O448" s="7"/>
      <c r="P448" s="7"/>
      <c r="Q448" s="7"/>
      <c r="R448" s="7"/>
      <c r="S448" s="7"/>
      <c r="T448" s="7"/>
      <c r="U448" s="7"/>
      <c r="V448" s="7"/>
      <c r="W448" s="7"/>
      <c r="X448" s="7"/>
      <c r="Y448" s="7"/>
      <c r="Z448" s="7"/>
    </row>
    <row r="449">
      <c r="A449" s="37" t="s">
        <v>1682</v>
      </c>
      <c r="B449" s="37" t="s">
        <v>242</v>
      </c>
      <c r="C449" s="37" t="s">
        <v>1683</v>
      </c>
      <c r="D449" s="37" t="s">
        <v>1368</v>
      </c>
      <c r="E449" s="30" t="s">
        <v>1684</v>
      </c>
      <c r="F449" s="13"/>
      <c r="G449" s="13"/>
      <c r="H449" s="10"/>
      <c r="I449" s="37"/>
      <c r="J449" s="7"/>
      <c r="K449" s="7"/>
      <c r="L449" s="7"/>
      <c r="M449" s="7"/>
      <c r="N449" s="7">
        <f t="shared" si="4"/>
        <v>1</v>
      </c>
      <c r="O449" s="7"/>
      <c r="P449" s="7"/>
      <c r="Q449" s="7"/>
      <c r="R449" s="7"/>
      <c r="S449" s="7"/>
      <c r="T449" s="7"/>
      <c r="U449" s="7"/>
      <c r="V449" s="7"/>
      <c r="W449" s="7"/>
      <c r="X449" s="7"/>
      <c r="Y449" s="7"/>
      <c r="Z449" s="7"/>
    </row>
    <row r="450">
      <c r="A450" s="37" t="s">
        <v>461</v>
      </c>
      <c r="B450" s="37" t="s">
        <v>457</v>
      </c>
      <c r="C450" s="37" t="s">
        <v>824</v>
      </c>
      <c r="D450" s="37" t="s">
        <v>1371</v>
      </c>
      <c r="E450" s="30" t="s">
        <v>1689</v>
      </c>
      <c r="F450" s="13"/>
      <c r="G450" s="13"/>
      <c r="H450" s="10"/>
      <c r="I450" s="37"/>
      <c r="J450" s="7"/>
      <c r="K450" s="7"/>
      <c r="L450" s="7"/>
      <c r="M450" s="7"/>
      <c r="N450" s="7">
        <f t="shared" si="4"/>
        <v>1</v>
      </c>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f>SUM(N427:N450)</f>
        <v>24</v>
      </c>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8" t="s">
        <v>1692</v>
      </c>
      <c r="B461" s="79"/>
      <c r="C461" s="79"/>
      <c r="D461" s="79"/>
      <c r="E461" s="79"/>
      <c r="F461" s="79"/>
      <c r="G461" s="79"/>
      <c r="H461" s="80"/>
      <c r="I461" s="7"/>
      <c r="J461" s="7"/>
      <c r="K461" s="7"/>
      <c r="L461" s="7"/>
      <c r="M461" s="7"/>
      <c r="N461" s="7"/>
      <c r="O461" s="7"/>
      <c r="P461" s="7"/>
      <c r="Q461" s="7"/>
      <c r="R461" s="7"/>
      <c r="S461" s="7"/>
      <c r="T461" s="7"/>
      <c r="U461" s="7"/>
      <c r="V461" s="7"/>
      <c r="W461" s="7"/>
      <c r="X461" s="7"/>
      <c r="Y461" s="7"/>
      <c r="Z461" s="7"/>
    </row>
    <row r="462">
      <c r="A462" s="81" t="s">
        <v>1693</v>
      </c>
      <c r="B462" s="82" t="s">
        <v>1694</v>
      </c>
      <c r="C462" s="82" t="s">
        <v>1695</v>
      </c>
      <c r="D462" s="83"/>
      <c r="E462" s="83"/>
      <c r="F462" s="83"/>
      <c r="G462" s="83"/>
      <c r="H462" s="83"/>
      <c r="I462" s="7"/>
      <c r="J462" s="7"/>
      <c r="K462" s="7"/>
      <c r="L462" s="7"/>
      <c r="M462" s="7"/>
      <c r="N462" s="7"/>
      <c r="O462" s="7"/>
      <c r="P462" s="7"/>
      <c r="Q462" s="7"/>
      <c r="R462" s="7"/>
      <c r="S462" s="7"/>
      <c r="T462" s="7"/>
      <c r="U462" s="7"/>
      <c r="V462" s="7"/>
      <c r="W462" s="7"/>
      <c r="X462" s="7"/>
      <c r="Y462" s="7"/>
      <c r="Z462" s="7"/>
    </row>
    <row r="463">
      <c r="A463" s="81" t="s">
        <v>1696</v>
      </c>
      <c r="B463" s="84" t="s">
        <v>1697</v>
      </c>
      <c r="C463" s="79"/>
      <c r="D463" s="79"/>
      <c r="E463" s="79"/>
      <c r="F463" s="79"/>
      <c r="G463" s="79"/>
      <c r="H463" s="80"/>
      <c r="I463" s="7"/>
      <c r="J463" s="7"/>
      <c r="K463" s="7"/>
      <c r="L463" s="7"/>
      <c r="M463" s="7"/>
      <c r="N463" s="7"/>
      <c r="O463" s="7"/>
      <c r="P463" s="7"/>
      <c r="Q463" s="7"/>
      <c r="R463" s="7"/>
      <c r="S463" s="7"/>
      <c r="T463" s="7"/>
      <c r="U463" s="7"/>
      <c r="V463" s="7"/>
      <c r="W463" s="7"/>
      <c r="X463" s="7"/>
      <c r="Y463" s="7"/>
      <c r="Z463" s="7"/>
    </row>
    <row r="464">
      <c r="A464" s="81" t="s">
        <v>1698</v>
      </c>
      <c r="B464" s="84" t="s">
        <v>1699</v>
      </c>
      <c r="C464" s="79"/>
      <c r="D464" s="79"/>
      <c r="E464" s="79"/>
      <c r="F464" s="79"/>
      <c r="G464" s="79"/>
      <c r="H464" s="80"/>
      <c r="I464" s="7"/>
      <c r="J464" s="7"/>
      <c r="K464" s="7"/>
      <c r="L464" s="7"/>
      <c r="M464" s="7"/>
      <c r="N464" s="7"/>
      <c r="O464" s="7"/>
      <c r="P464" s="7"/>
      <c r="Q464" s="7"/>
      <c r="R464" s="7"/>
      <c r="S464" s="7"/>
      <c r="T464" s="7"/>
      <c r="U464" s="7"/>
      <c r="V464" s="7"/>
      <c r="W464" s="7"/>
      <c r="X464" s="7"/>
      <c r="Y464" s="7"/>
      <c r="Z464" s="7"/>
    </row>
    <row r="465">
      <c r="A465" s="81" t="s">
        <v>1700</v>
      </c>
      <c r="B465" s="84" t="s">
        <v>1702</v>
      </c>
      <c r="C465" s="79"/>
      <c r="D465" s="79"/>
      <c r="E465" s="79"/>
      <c r="F465" s="79"/>
      <c r="G465" s="79"/>
      <c r="H465" s="80"/>
      <c r="I465" s="7"/>
      <c r="J465" s="7"/>
      <c r="K465" s="7"/>
      <c r="L465" s="7"/>
      <c r="M465" s="7"/>
      <c r="N465" s="7"/>
      <c r="O465" s="7"/>
      <c r="P465" s="7"/>
      <c r="Q465" s="7"/>
      <c r="R465" s="7"/>
      <c r="S465" s="7"/>
      <c r="T465" s="7"/>
      <c r="U465" s="7"/>
      <c r="V465" s="7"/>
      <c r="W465" s="7"/>
      <c r="X465" s="7"/>
      <c r="Y465" s="7"/>
      <c r="Z465" s="7"/>
    </row>
    <row r="466">
      <c r="A466" s="81" t="s">
        <v>1703</v>
      </c>
      <c r="B466" s="84" t="s">
        <v>1704</v>
      </c>
      <c r="C466" s="79"/>
      <c r="D466" s="79"/>
      <c r="E466" s="79"/>
      <c r="F466" s="79"/>
      <c r="G466" s="79"/>
      <c r="H466" s="80"/>
      <c r="I466" s="7"/>
      <c r="J466" s="7"/>
      <c r="K466" s="7"/>
      <c r="L466" s="7"/>
      <c r="M466" s="7"/>
      <c r="N466" s="7"/>
      <c r="O466" s="7"/>
      <c r="P466" s="7"/>
      <c r="Q466" s="7"/>
      <c r="R466" s="7"/>
      <c r="S466" s="7"/>
      <c r="T466" s="7"/>
      <c r="U466" s="7"/>
      <c r="V466" s="7"/>
      <c r="W466" s="7"/>
      <c r="X466" s="7"/>
      <c r="Y466" s="7"/>
      <c r="Z466" s="7"/>
    </row>
    <row r="467">
      <c r="A467" s="81" t="s">
        <v>1705</v>
      </c>
      <c r="B467" s="84" t="s">
        <v>1706</v>
      </c>
      <c r="C467" s="79"/>
      <c r="D467" s="79"/>
      <c r="E467" s="79"/>
      <c r="F467" s="79"/>
      <c r="G467" s="79"/>
      <c r="H467" s="80"/>
      <c r="I467" s="7"/>
      <c r="J467" s="7"/>
      <c r="K467" s="7"/>
      <c r="L467" s="7"/>
      <c r="M467" s="7"/>
      <c r="N467" s="7"/>
      <c r="O467" s="7"/>
      <c r="P467" s="7"/>
      <c r="Q467" s="7"/>
      <c r="R467" s="7"/>
      <c r="S467" s="7"/>
      <c r="T467" s="7"/>
      <c r="U467" s="7"/>
      <c r="V467" s="7"/>
      <c r="W467" s="7"/>
      <c r="X467" s="7"/>
      <c r="Y467" s="7"/>
      <c r="Z467" s="7"/>
    </row>
    <row r="468">
      <c r="A468" s="81" t="s">
        <v>1707</v>
      </c>
      <c r="B468" s="84" t="s">
        <v>1708</v>
      </c>
      <c r="C468" s="79"/>
      <c r="D468" s="79"/>
      <c r="E468" s="79"/>
      <c r="F468" s="79"/>
      <c r="G468" s="79"/>
      <c r="H468" s="80"/>
      <c r="I468" s="7"/>
      <c r="J468" s="7"/>
      <c r="K468" s="7"/>
      <c r="L468" s="7"/>
      <c r="M468" s="7"/>
      <c r="N468" s="7"/>
      <c r="O468" s="7"/>
      <c r="P468" s="7"/>
      <c r="Q468" s="7"/>
      <c r="R468" s="7"/>
      <c r="S468" s="7"/>
      <c r="T468" s="7"/>
      <c r="U468" s="7"/>
      <c r="V468" s="7"/>
      <c r="W468" s="7"/>
      <c r="X468" s="7"/>
      <c r="Y468" s="7"/>
      <c r="Z468" s="7"/>
    </row>
    <row r="469">
      <c r="A469" s="81" t="s">
        <v>1709</v>
      </c>
      <c r="B469" s="84" t="s">
        <v>1710</v>
      </c>
      <c r="C469" s="79"/>
      <c r="D469" s="79"/>
      <c r="E469" s="79"/>
      <c r="F469" s="79"/>
      <c r="G469" s="79"/>
      <c r="H469" s="80"/>
      <c r="I469" s="7"/>
      <c r="J469" s="7"/>
      <c r="K469" s="7"/>
      <c r="L469" s="7"/>
      <c r="M469" s="7"/>
      <c r="N469" s="7"/>
      <c r="O469" s="7"/>
      <c r="P469" s="7"/>
      <c r="Q469" s="7"/>
      <c r="R469" s="7"/>
      <c r="S469" s="7"/>
      <c r="T469" s="7"/>
      <c r="U469" s="7"/>
      <c r="V469" s="7"/>
      <c r="W469" s="7"/>
      <c r="X469" s="7"/>
      <c r="Y469" s="7"/>
      <c r="Z469" s="7"/>
    </row>
    <row r="470">
      <c r="A470" s="81" t="s">
        <v>1711</v>
      </c>
      <c r="B470" s="84" t="s">
        <v>1712</v>
      </c>
      <c r="C470" s="79"/>
      <c r="D470" s="79"/>
      <c r="E470" s="79"/>
      <c r="F470" s="79"/>
      <c r="G470" s="79"/>
      <c r="H470" s="80"/>
      <c r="I470" s="7"/>
      <c r="J470" s="7"/>
      <c r="K470" s="7"/>
      <c r="L470" s="7"/>
      <c r="M470" s="7"/>
      <c r="N470" s="7"/>
      <c r="O470" s="7"/>
      <c r="P470" s="7"/>
      <c r="Q470" s="7"/>
      <c r="R470" s="7"/>
      <c r="S470" s="7"/>
      <c r="T470" s="7"/>
      <c r="U470" s="7"/>
      <c r="V470" s="7"/>
      <c r="W470" s="7"/>
      <c r="X470" s="7"/>
      <c r="Y470" s="7"/>
      <c r="Z470" s="7"/>
    </row>
    <row r="471">
      <c r="A471" s="81" t="s">
        <v>1713</v>
      </c>
      <c r="B471" s="84" t="s">
        <v>1714</v>
      </c>
      <c r="C471" s="79"/>
      <c r="D471" s="79"/>
      <c r="E471" s="79"/>
      <c r="F471" s="79"/>
      <c r="G471" s="79"/>
      <c r="H471" s="80"/>
      <c r="I471" s="7"/>
      <c r="J471" s="7"/>
      <c r="K471" s="7"/>
      <c r="L471" s="7"/>
      <c r="M471" s="7"/>
      <c r="N471" s="7"/>
      <c r="O471" s="7"/>
      <c r="P471" s="7"/>
      <c r="Q471" s="7"/>
      <c r="R471" s="7"/>
      <c r="S471" s="7"/>
      <c r="T471" s="7"/>
      <c r="U471" s="7"/>
      <c r="V471" s="7"/>
      <c r="W471" s="7"/>
      <c r="X471" s="7"/>
      <c r="Y471" s="7"/>
      <c r="Z471" s="7"/>
    </row>
    <row r="472">
      <c r="A472" s="78" t="s">
        <v>1715</v>
      </c>
      <c r="B472" s="79"/>
      <c r="C472" s="79"/>
      <c r="D472" s="79"/>
      <c r="E472" s="79"/>
      <c r="F472" s="79"/>
      <c r="G472" s="79"/>
      <c r="H472" s="80"/>
      <c r="I472" s="7"/>
      <c r="J472" s="7"/>
      <c r="K472" s="7"/>
      <c r="L472" s="7"/>
      <c r="M472" s="7"/>
      <c r="N472" s="7"/>
      <c r="O472" s="7"/>
      <c r="P472" s="7"/>
      <c r="Q472" s="7"/>
      <c r="R472" s="7"/>
      <c r="S472" s="7"/>
      <c r="T472" s="7"/>
      <c r="U472" s="7"/>
      <c r="V472" s="7"/>
      <c r="W472" s="7"/>
      <c r="X472" s="7"/>
      <c r="Y472" s="7"/>
      <c r="Z472" s="7"/>
    </row>
    <row r="473">
      <c r="A473" s="85" t="s">
        <v>1716</v>
      </c>
      <c r="B473" s="79"/>
      <c r="C473" s="79"/>
      <c r="D473" s="79"/>
      <c r="E473" s="79"/>
      <c r="F473" s="79"/>
      <c r="G473" s="79"/>
      <c r="H473" s="80"/>
      <c r="I473" s="7"/>
      <c r="J473" s="7"/>
      <c r="K473" s="7"/>
      <c r="L473" s="7"/>
      <c r="M473" s="7"/>
      <c r="N473" s="7"/>
      <c r="O473" s="7"/>
      <c r="P473" s="7"/>
      <c r="Q473" s="7"/>
      <c r="R473" s="7"/>
      <c r="S473" s="7"/>
      <c r="T473" s="7"/>
      <c r="U473" s="7"/>
      <c r="V473" s="7"/>
      <c r="W473" s="7"/>
      <c r="X473" s="7"/>
      <c r="Y473" s="7"/>
      <c r="Z473" s="7"/>
    </row>
    <row r="474">
      <c r="A474" s="78" t="s">
        <v>1717</v>
      </c>
      <c r="B474" s="79"/>
      <c r="C474" s="79"/>
      <c r="D474" s="79"/>
      <c r="E474" s="79"/>
      <c r="F474" s="79"/>
      <c r="G474" s="79"/>
      <c r="H474" s="80"/>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I476" s="7"/>
      <c r="J476" s="7"/>
      <c r="K476" s="7"/>
      <c r="L476" s="7"/>
      <c r="M476" s="7"/>
      <c r="N476" s="7"/>
      <c r="O476" s="7"/>
    </row>
    <row r="477">
      <c r="I477" s="7"/>
      <c r="J477" s="7"/>
      <c r="K477" s="7"/>
      <c r="L477" s="7"/>
      <c r="M477" s="7"/>
      <c r="N477" s="7"/>
      <c r="O477" s="7"/>
    </row>
    <row r="478">
      <c r="I478" s="7"/>
      <c r="J478" s="7"/>
      <c r="K478" s="7"/>
      <c r="L478" s="7"/>
      <c r="M478" s="7"/>
      <c r="N478" s="7"/>
      <c r="O478" s="7"/>
    </row>
    <row r="479">
      <c r="I479" s="7"/>
      <c r="J479" s="7"/>
      <c r="K479" s="7"/>
      <c r="L479" s="7"/>
      <c r="M479" s="7"/>
      <c r="N479" s="7"/>
      <c r="O479" s="7"/>
    </row>
    <row r="480">
      <c r="I480" s="7"/>
      <c r="J480" s="7"/>
      <c r="K480" s="7"/>
      <c r="L480" s="7"/>
      <c r="M480" s="7"/>
      <c r="N480" s="7"/>
      <c r="O480" s="7"/>
    </row>
    <row r="481">
      <c r="I481" s="7"/>
      <c r="J481" s="7"/>
      <c r="K481" s="7"/>
      <c r="L481" s="7"/>
      <c r="M481" s="7"/>
      <c r="N481" s="7"/>
      <c r="O481" s="7"/>
    </row>
    <row r="482">
      <c r="I482" s="7"/>
      <c r="J482" s="7"/>
      <c r="K482" s="7"/>
      <c r="L482" s="7"/>
      <c r="M482" s="7"/>
      <c r="N482" s="7"/>
      <c r="O482" s="7"/>
    </row>
    <row r="483">
      <c r="I483" s="7"/>
      <c r="J483" s="7"/>
      <c r="K483" s="7"/>
      <c r="L483" s="7"/>
      <c r="M483" s="7"/>
      <c r="N483" s="7"/>
      <c r="O483" s="7"/>
    </row>
    <row r="484">
      <c r="I484" s="7"/>
      <c r="J484" s="7"/>
      <c r="K484" s="7"/>
      <c r="L484" s="7"/>
      <c r="M484" s="7"/>
      <c r="N484" s="7"/>
      <c r="O484" s="7"/>
    </row>
    <row r="485">
      <c r="I485" s="7"/>
      <c r="J485" s="7"/>
      <c r="K485" s="7"/>
      <c r="L485" s="7"/>
      <c r="M485" s="7"/>
      <c r="N485" s="7"/>
      <c r="O485" s="7"/>
    </row>
    <row r="486">
      <c r="I486" s="7"/>
      <c r="J486" s="7"/>
      <c r="K486" s="7"/>
      <c r="L486" s="7"/>
      <c r="M486" s="7"/>
      <c r="N486" s="7"/>
      <c r="O486" s="7"/>
    </row>
    <row r="487">
      <c r="I487" s="7"/>
      <c r="J487" s="7"/>
      <c r="K487" s="7"/>
      <c r="L487" s="7"/>
      <c r="M487" s="7"/>
      <c r="N487" s="7"/>
      <c r="O487" s="7"/>
    </row>
    <row r="488">
      <c r="I488" s="7"/>
      <c r="J488" s="7"/>
      <c r="K488" s="7"/>
      <c r="L488" s="7"/>
      <c r="M488" s="7"/>
      <c r="N488" s="7"/>
      <c r="O488" s="7"/>
    </row>
    <row r="489">
      <c r="I489" s="7"/>
      <c r="J489" s="7"/>
      <c r="K489" s="7"/>
      <c r="L489" s="7"/>
      <c r="M489" s="7"/>
      <c r="N489" s="7"/>
      <c r="O489" s="7"/>
    </row>
    <row r="490">
      <c r="I490" s="7"/>
      <c r="J490" s="7"/>
      <c r="K490" s="7"/>
      <c r="L490" s="7"/>
      <c r="M490" s="7"/>
      <c r="N490" s="7"/>
      <c r="O490" s="7"/>
    </row>
    <row r="491">
      <c r="I491" s="7"/>
      <c r="J491" s="7"/>
      <c r="K491" s="7"/>
      <c r="L491" s="7"/>
      <c r="M491" s="7"/>
      <c r="N491" s="7"/>
      <c r="O491" s="7"/>
    </row>
    <row r="492">
      <c r="I492" s="7"/>
      <c r="J492" s="7"/>
      <c r="K492" s="7"/>
      <c r="L492" s="7"/>
      <c r="M492" s="7"/>
      <c r="N492" s="7"/>
      <c r="O492" s="7"/>
    </row>
    <row r="493">
      <c r="I493" s="7"/>
      <c r="J493" s="7"/>
      <c r="K493" s="7"/>
      <c r="L493" s="7"/>
      <c r="M493" s="7"/>
      <c r="N493" s="7"/>
      <c r="O493" s="7"/>
    </row>
    <row r="494">
      <c r="I494" s="7"/>
      <c r="J494" s="7"/>
      <c r="K494" s="7"/>
      <c r="L494" s="7"/>
      <c r="M494" s="7"/>
      <c r="N494" s="7"/>
      <c r="O494" s="7"/>
    </row>
    <row r="495">
      <c r="I495" s="7"/>
      <c r="J495" s="7"/>
      <c r="K495" s="7"/>
      <c r="L495" s="7"/>
      <c r="M495" s="7"/>
      <c r="N495" s="7"/>
      <c r="O495" s="7"/>
    </row>
    <row r="496">
      <c r="I496" s="7"/>
      <c r="J496" s="7"/>
      <c r="K496" s="7"/>
      <c r="L496" s="7"/>
      <c r="M496" s="7"/>
      <c r="N496" s="7"/>
      <c r="O496" s="7"/>
    </row>
    <row r="497">
      <c r="I497" s="7"/>
      <c r="J497" s="7"/>
      <c r="K497" s="7"/>
      <c r="L497" s="7"/>
      <c r="M497" s="7"/>
      <c r="N497" s="7"/>
      <c r="O497" s="7"/>
    </row>
    <row r="498">
      <c r="I498" s="7"/>
      <c r="J498" s="7"/>
      <c r="K498" s="7"/>
      <c r="L498" s="7"/>
      <c r="M498" s="7"/>
      <c r="N498" s="7"/>
      <c r="O498" s="7"/>
    </row>
    <row r="499">
      <c r="I499" s="7"/>
      <c r="J499" s="7"/>
      <c r="K499" s="7"/>
      <c r="L499" s="7"/>
      <c r="M499" s="7"/>
      <c r="N499" s="7"/>
      <c r="O499" s="7"/>
    </row>
    <row r="500">
      <c r="I500" s="7"/>
      <c r="J500" s="7"/>
      <c r="K500" s="7"/>
      <c r="L500" s="7"/>
      <c r="M500" s="7"/>
      <c r="N500" s="7"/>
      <c r="O500" s="7"/>
    </row>
    <row r="501">
      <c r="I501" s="7"/>
      <c r="J501" s="7"/>
      <c r="K501" s="7"/>
      <c r="L501" s="7"/>
      <c r="M501" s="7"/>
      <c r="N501" s="7"/>
      <c r="O501" s="7"/>
    </row>
    <row r="502">
      <c r="I502" s="7"/>
      <c r="J502" s="7"/>
      <c r="K502" s="7"/>
      <c r="L502" s="7"/>
      <c r="M502" s="7"/>
      <c r="N502" s="7"/>
      <c r="O502" s="7"/>
    </row>
    <row r="503">
      <c r="I503" s="7"/>
      <c r="J503" s="7"/>
      <c r="K503" s="7"/>
      <c r="L503" s="7"/>
      <c r="M503" s="7"/>
      <c r="N503" s="7"/>
      <c r="O503" s="7"/>
    </row>
    <row r="504">
      <c r="I504" s="7"/>
      <c r="J504" s="7"/>
      <c r="K504" s="7"/>
      <c r="L504" s="7"/>
      <c r="M504" s="7"/>
      <c r="N504" s="7"/>
      <c r="O504" s="7"/>
    </row>
    <row r="505">
      <c r="I505" s="7"/>
      <c r="J505" s="7"/>
      <c r="K505" s="7"/>
      <c r="L505" s="7"/>
      <c r="M505" s="7"/>
      <c r="N505" s="7"/>
      <c r="O505" s="7"/>
    </row>
    <row r="506">
      <c r="I506" s="7"/>
      <c r="J506" s="7"/>
      <c r="K506" s="7"/>
      <c r="L506" s="7"/>
      <c r="M506" s="7"/>
      <c r="N506" s="7"/>
      <c r="O506" s="7"/>
    </row>
    <row r="507">
      <c r="I507" s="7"/>
      <c r="J507" s="7"/>
      <c r="K507" s="7"/>
      <c r="L507" s="7"/>
      <c r="M507" s="7"/>
      <c r="N507" s="7"/>
      <c r="O507" s="7"/>
    </row>
    <row r="508">
      <c r="I508" s="7"/>
      <c r="J508" s="7"/>
      <c r="K508" s="7"/>
      <c r="L508" s="7"/>
      <c r="M508" s="7"/>
      <c r="N508" s="7"/>
      <c r="O508" s="7"/>
    </row>
    <row r="509">
      <c r="I509" s="7"/>
      <c r="J509" s="7"/>
      <c r="K509" s="7"/>
      <c r="L509" s="7"/>
      <c r="M509" s="7"/>
      <c r="N509" s="7"/>
      <c r="O509" s="7"/>
    </row>
    <row r="510">
      <c r="I510" s="7"/>
      <c r="J510" s="7"/>
      <c r="K510" s="7"/>
      <c r="L510" s="7"/>
      <c r="M510" s="7"/>
      <c r="N510" s="7"/>
      <c r="O510" s="7"/>
    </row>
    <row r="511">
      <c r="I511" s="7"/>
      <c r="J511" s="7"/>
      <c r="K511" s="7"/>
      <c r="L511" s="7"/>
      <c r="M511" s="7"/>
      <c r="N511" s="7"/>
      <c r="O511" s="7"/>
    </row>
    <row r="512">
      <c r="I512" s="7"/>
      <c r="J512" s="7"/>
      <c r="K512" s="7"/>
      <c r="L512" s="7"/>
      <c r="M512" s="7"/>
      <c r="N512" s="7"/>
      <c r="O512" s="7"/>
    </row>
    <row r="513">
      <c r="I513" s="7"/>
      <c r="J513" s="7"/>
      <c r="K513" s="7"/>
      <c r="L513" s="7"/>
      <c r="M513" s="7"/>
      <c r="N513" s="7"/>
      <c r="O513" s="7"/>
    </row>
    <row r="514">
      <c r="I514" s="7"/>
      <c r="J514" s="7"/>
      <c r="K514" s="7"/>
      <c r="L514" s="7"/>
      <c r="M514" s="7"/>
      <c r="N514" s="7"/>
      <c r="O514" s="7"/>
    </row>
    <row r="515">
      <c r="I515" s="7"/>
      <c r="J515" s="7"/>
      <c r="K515" s="7"/>
      <c r="L515" s="7"/>
      <c r="M515" s="7"/>
      <c r="N515" s="7"/>
      <c r="O515" s="7"/>
    </row>
    <row r="516">
      <c r="I516" s="7"/>
      <c r="J516" s="7"/>
      <c r="K516" s="7"/>
      <c r="L516" s="7"/>
      <c r="M516" s="7"/>
      <c r="N516" s="7"/>
      <c r="O516" s="7"/>
    </row>
    <row r="517">
      <c r="I517" s="7"/>
      <c r="J517" s="7"/>
      <c r="K517" s="7"/>
      <c r="L517" s="7"/>
      <c r="M517" s="7"/>
      <c r="N517" s="7"/>
      <c r="O517" s="7"/>
    </row>
    <row r="518">
      <c r="I518" s="7"/>
      <c r="J518" s="7"/>
      <c r="K518" s="7"/>
      <c r="L518" s="7"/>
      <c r="M518" s="7"/>
      <c r="N518" s="7"/>
      <c r="O518" s="7"/>
    </row>
    <row r="519">
      <c r="I519" s="7"/>
      <c r="J519" s="7"/>
      <c r="K519" s="7"/>
      <c r="L519" s="7"/>
      <c r="M519" s="7"/>
      <c r="N519" s="7"/>
      <c r="O519" s="7"/>
    </row>
    <row r="520">
      <c r="I520" s="7"/>
      <c r="J520" s="7"/>
      <c r="K520" s="7"/>
      <c r="L520" s="7"/>
      <c r="M520" s="7"/>
      <c r="N520" s="7"/>
      <c r="O520" s="7"/>
    </row>
    <row r="521">
      <c r="I521" s="7"/>
      <c r="J521" s="7"/>
      <c r="K521" s="7"/>
      <c r="L521" s="7"/>
      <c r="M521" s="7"/>
      <c r="N521" s="7"/>
      <c r="O521" s="7"/>
    </row>
    <row r="522">
      <c r="I522" s="7"/>
      <c r="J522" s="7"/>
      <c r="K522" s="7"/>
      <c r="L522" s="7"/>
      <c r="M522" s="7"/>
      <c r="N522" s="7"/>
      <c r="O522" s="7"/>
    </row>
    <row r="523">
      <c r="I523" s="7"/>
      <c r="J523" s="7"/>
      <c r="K523" s="7"/>
      <c r="L523" s="7"/>
      <c r="M523" s="7"/>
      <c r="N523" s="7"/>
      <c r="O523" s="7"/>
    </row>
    <row r="524">
      <c r="I524" s="7"/>
      <c r="J524" s="7"/>
      <c r="K524" s="7"/>
      <c r="L524" s="7"/>
      <c r="M524" s="7"/>
      <c r="N524" s="7"/>
      <c r="O524" s="7"/>
    </row>
    <row r="525">
      <c r="I525" s="7"/>
      <c r="J525" s="7"/>
      <c r="K525" s="7"/>
      <c r="L525" s="7"/>
      <c r="M525" s="7"/>
      <c r="N525" s="7"/>
      <c r="O525" s="7"/>
    </row>
    <row r="526">
      <c r="I526" s="7"/>
      <c r="J526" s="7"/>
      <c r="K526" s="7"/>
      <c r="L526" s="7"/>
      <c r="M526" s="7"/>
      <c r="N526" s="7"/>
      <c r="O526" s="7"/>
    </row>
    <row r="527">
      <c r="I527" s="7"/>
      <c r="J527" s="7"/>
      <c r="K527" s="7"/>
      <c r="L527" s="7"/>
      <c r="M527" s="7"/>
      <c r="N527" s="7"/>
      <c r="O527" s="7"/>
    </row>
    <row r="528">
      <c r="I528" s="7"/>
      <c r="J528" s="7"/>
      <c r="K528" s="7"/>
      <c r="L528" s="7"/>
      <c r="M528" s="7"/>
      <c r="N528" s="7"/>
      <c r="O528" s="7"/>
    </row>
    <row r="529">
      <c r="I529" s="7"/>
      <c r="J529" s="7"/>
      <c r="K529" s="7"/>
      <c r="L529" s="7"/>
      <c r="M529" s="7"/>
      <c r="N529" s="7"/>
      <c r="O529" s="7"/>
    </row>
    <row r="530">
      <c r="I530" s="7"/>
      <c r="J530" s="7"/>
      <c r="K530" s="7"/>
      <c r="L530" s="7"/>
      <c r="M530" s="7"/>
      <c r="N530" s="7"/>
      <c r="O530" s="7"/>
    </row>
    <row r="531">
      <c r="I531" s="7"/>
      <c r="J531" s="7"/>
      <c r="K531" s="7"/>
      <c r="L531" s="7"/>
      <c r="M531" s="7"/>
      <c r="N531" s="7"/>
      <c r="O531" s="7"/>
    </row>
    <row r="532">
      <c r="I532" s="7"/>
      <c r="J532" s="7"/>
      <c r="K532" s="7"/>
      <c r="L532" s="7"/>
      <c r="M532" s="7"/>
      <c r="N532" s="7"/>
      <c r="O532" s="7"/>
    </row>
    <row r="533">
      <c r="I533" s="7"/>
      <c r="J533" s="7"/>
      <c r="K533" s="7"/>
      <c r="L533" s="7"/>
      <c r="M533" s="7"/>
      <c r="N533" s="7"/>
      <c r="O533" s="7"/>
    </row>
    <row r="534">
      <c r="I534" s="7"/>
      <c r="J534" s="7"/>
      <c r="K534" s="7"/>
      <c r="L534" s="7"/>
      <c r="M534" s="7"/>
      <c r="N534" s="7"/>
      <c r="O534" s="7"/>
    </row>
    <row r="535">
      <c r="I535" s="7"/>
      <c r="J535" s="7"/>
      <c r="K535" s="7"/>
      <c r="L535" s="7"/>
      <c r="M535" s="7"/>
      <c r="N535" s="7"/>
      <c r="O535" s="7"/>
    </row>
    <row r="536">
      <c r="I536" s="7"/>
      <c r="J536" s="7"/>
      <c r="K536" s="7"/>
      <c r="L536" s="7"/>
      <c r="M536" s="7"/>
      <c r="N536" s="7"/>
      <c r="O536" s="7"/>
    </row>
    <row r="537">
      <c r="I537" s="7"/>
      <c r="J537" s="7"/>
      <c r="K537" s="7"/>
      <c r="L537" s="7"/>
      <c r="M537" s="7"/>
      <c r="N537" s="7"/>
      <c r="O537" s="7"/>
    </row>
    <row r="538">
      <c r="I538" s="7"/>
      <c r="J538" s="7"/>
      <c r="K538" s="7"/>
      <c r="L538" s="7"/>
      <c r="M538" s="7"/>
      <c r="N538" s="7"/>
      <c r="O538" s="7"/>
    </row>
    <row r="539">
      <c r="I539" s="7"/>
      <c r="J539" s="7"/>
      <c r="K539" s="7"/>
      <c r="L539" s="7"/>
      <c r="M539" s="7"/>
      <c r="N539" s="7"/>
      <c r="O539" s="7"/>
    </row>
    <row r="540">
      <c r="I540" s="7"/>
      <c r="J540" s="7"/>
      <c r="K540" s="7"/>
      <c r="L540" s="7"/>
      <c r="M540" s="7"/>
      <c r="N540" s="7"/>
      <c r="O540" s="7"/>
    </row>
    <row r="541">
      <c r="I541" s="7"/>
      <c r="J541" s="7"/>
      <c r="K541" s="7"/>
      <c r="L541" s="7"/>
      <c r="M541" s="7"/>
      <c r="N541" s="7"/>
      <c r="O541" s="7"/>
    </row>
    <row r="542">
      <c r="I542" s="7"/>
      <c r="J542" s="7"/>
      <c r="K542" s="7"/>
      <c r="L542" s="7"/>
      <c r="M542" s="7"/>
      <c r="N542" s="7"/>
      <c r="O542" s="7"/>
    </row>
    <row r="543">
      <c r="I543" s="7"/>
      <c r="J543" s="7"/>
      <c r="K543" s="7"/>
      <c r="L543" s="7"/>
      <c r="M543" s="7"/>
      <c r="N543" s="7"/>
      <c r="O543" s="7"/>
    </row>
    <row r="544">
      <c r="I544" s="7"/>
      <c r="J544" s="7"/>
      <c r="K544" s="7"/>
      <c r="L544" s="7"/>
      <c r="M544" s="7"/>
      <c r="N544" s="7"/>
      <c r="O544" s="7"/>
    </row>
    <row r="545">
      <c r="I545" s="7"/>
      <c r="J545" s="7"/>
      <c r="K545" s="7"/>
      <c r="L545" s="7"/>
      <c r="M545" s="7"/>
      <c r="N545" s="7"/>
      <c r="O545" s="7"/>
    </row>
    <row r="546">
      <c r="I546" s="7"/>
      <c r="J546" s="7"/>
      <c r="K546" s="7"/>
      <c r="L546" s="7"/>
      <c r="M546" s="7"/>
      <c r="N546" s="7"/>
      <c r="O546" s="7"/>
    </row>
    <row r="547">
      <c r="I547" s="7"/>
      <c r="J547" s="7"/>
      <c r="K547" s="7"/>
      <c r="L547" s="7"/>
      <c r="M547" s="7"/>
      <c r="N547" s="7"/>
      <c r="O547" s="7"/>
    </row>
    <row r="548">
      <c r="I548" s="7"/>
      <c r="J548" s="7"/>
      <c r="K548" s="7"/>
      <c r="L548" s="7"/>
      <c r="M548" s="7"/>
      <c r="N548" s="7"/>
      <c r="O548" s="7"/>
    </row>
    <row r="549">
      <c r="I549" s="7"/>
      <c r="J549" s="7"/>
      <c r="K549" s="7"/>
      <c r="L549" s="7"/>
      <c r="M549" s="7"/>
      <c r="N549" s="7"/>
      <c r="O549" s="7"/>
    </row>
    <row r="550">
      <c r="I550" s="7"/>
      <c r="J550" s="7"/>
      <c r="K550" s="7"/>
      <c r="L550" s="7"/>
      <c r="M550" s="7"/>
      <c r="N550" s="7"/>
      <c r="O550" s="7"/>
    </row>
    <row r="551">
      <c r="I551" s="7"/>
      <c r="J551" s="7"/>
      <c r="K551" s="7"/>
      <c r="L551" s="7"/>
      <c r="M551" s="7"/>
      <c r="N551" s="7"/>
      <c r="O551" s="7"/>
    </row>
    <row r="552">
      <c r="I552" s="7"/>
      <c r="J552" s="7"/>
      <c r="K552" s="7"/>
      <c r="L552" s="7"/>
      <c r="M552" s="7"/>
      <c r="N552" s="7"/>
      <c r="O552" s="7"/>
    </row>
    <row r="553">
      <c r="I553" s="7"/>
      <c r="J553" s="7"/>
      <c r="K553" s="7"/>
      <c r="L553" s="7"/>
      <c r="M553" s="7"/>
      <c r="N553" s="7"/>
      <c r="O553" s="7"/>
    </row>
    <row r="554">
      <c r="I554" s="7"/>
      <c r="J554" s="7"/>
      <c r="K554" s="7"/>
      <c r="L554" s="7"/>
      <c r="M554" s="7"/>
      <c r="N554" s="7"/>
      <c r="O554" s="7"/>
    </row>
    <row r="555">
      <c r="I555" s="7"/>
      <c r="J555" s="7"/>
      <c r="K555" s="7"/>
      <c r="L555" s="7"/>
      <c r="M555" s="7"/>
      <c r="N555" s="7"/>
      <c r="O555" s="7"/>
    </row>
    <row r="556">
      <c r="I556" s="7"/>
      <c r="J556" s="7"/>
      <c r="K556" s="7"/>
      <c r="L556" s="7"/>
      <c r="M556" s="7"/>
      <c r="N556" s="7"/>
      <c r="O556" s="7"/>
    </row>
    <row r="557">
      <c r="I557" s="7"/>
      <c r="J557" s="7"/>
      <c r="K557" s="7"/>
      <c r="L557" s="7"/>
      <c r="M557" s="7"/>
      <c r="N557" s="7"/>
      <c r="O557" s="7"/>
    </row>
    <row r="558">
      <c r="I558" s="7"/>
      <c r="J558" s="7"/>
      <c r="K558" s="7"/>
      <c r="L558" s="7"/>
      <c r="M558" s="7"/>
      <c r="N558" s="7"/>
      <c r="O558" s="7"/>
    </row>
    <row r="559">
      <c r="I559" s="7"/>
      <c r="J559" s="7"/>
      <c r="K559" s="7"/>
      <c r="L559" s="7"/>
      <c r="M559" s="7"/>
      <c r="N559" s="7"/>
      <c r="O559" s="7"/>
    </row>
    <row r="560">
      <c r="I560" s="7"/>
      <c r="J560" s="7"/>
      <c r="K560" s="7"/>
      <c r="L560" s="7"/>
      <c r="M560" s="7"/>
      <c r="N560" s="7"/>
      <c r="O560" s="7"/>
    </row>
    <row r="561">
      <c r="I561" s="7"/>
      <c r="J561" s="7"/>
      <c r="K561" s="7"/>
      <c r="L561" s="7"/>
      <c r="M561" s="7"/>
      <c r="N561" s="7"/>
      <c r="O561" s="7"/>
    </row>
    <row r="562">
      <c r="I562" s="7"/>
      <c r="J562" s="7"/>
      <c r="K562" s="7"/>
      <c r="L562" s="7"/>
      <c r="M562" s="7"/>
      <c r="N562" s="7"/>
      <c r="O562" s="7"/>
    </row>
    <row r="563">
      <c r="I563" s="7"/>
      <c r="J563" s="7"/>
      <c r="K563" s="7"/>
      <c r="L563" s="7"/>
      <c r="M563" s="7"/>
      <c r="N563" s="7"/>
      <c r="O563" s="7"/>
    </row>
    <row r="564">
      <c r="I564" s="7"/>
      <c r="J564" s="7"/>
      <c r="K564" s="7"/>
      <c r="L564" s="7"/>
      <c r="M564" s="7"/>
      <c r="N564" s="7"/>
      <c r="O564" s="7"/>
    </row>
    <row r="565">
      <c r="I565" s="7"/>
      <c r="J565" s="7"/>
      <c r="K565" s="7"/>
      <c r="L565" s="7"/>
      <c r="M565" s="7"/>
      <c r="N565" s="7"/>
      <c r="O565" s="7"/>
    </row>
    <row r="566">
      <c r="I566" s="7"/>
      <c r="J566" s="7"/>
      <c r="K566" s="7"/>
      <c r="L566" s="7"/>
      <c r="M566" s="7"/>
      <c r="N566" s="7"/>
      <c r="O566" s="7"/>
    </row>
    <row r="567">
      <c r="I567" s="7"/>
      <c r="J567" s="7"/>
      <c r="K567" s="7"/>
      <c r="L567" s="7"/>
      <c r="M567" s="7"/>
      <c r="N567" s="7"/>
      <c r="O567" s="7"/>
    </row>
    <row r="568">
      <c r="I568" s="7"/>
      <c r="J568" s="7"/>
      <c r="K568" s="7"/>
      <c r="L568" s="7"/>
      <c r="M568" s="7"/>
      <c r="N568" s="7"/>
      <c r="O568" s="7"/>
    </row>
    <row r="569">
      <c r="I569" s="7"/>
      <c r="J569" s="7"/>
      <c r="K569" s="7"/>
      <c r="L569" s="7"/>
      <c r="M569" s="7"/>
      <c r="N569" s="7"/>
      <c r="O569" s="7"/>
    </row>
    <row r="570">
      <c r="I570" s="7"/>
      <c r="J570" s="7"/>
      <c r="K570" s="7"/>
      <c r="L570" s="7"/>
      <c r="M570" s="7"/>
      <c r="N570" s="7"/>
      <c r="O570" s="7"/>
    </row>
    <row r="571">
      <c r="I571" s="7"/>
      <c r="J571" s="7"/>
      <c r="K571" s="7"/>
      <c r="L571" s="7"/>
      <c r="M571" s="7"/>
      <c r="N571" s="7"/>
      <c r="O571" s="7"/>
    </row>
    <row r="572">
      <c r="I572" s="7"/>
      <c r="J572" s="7"/>
      <c r="K572" s="7"/>
      <c r="L572" s="7"/>
      <c r="M572" s="7"/>
      <c r="N572" s="7"/>
      <c r="O572" s="7"/>
    </row>
    <row r="573">
      <c r="I573" s="7"/>
      <c r="J573" s="7"/>
      <c r="K573" s="7"/>
      <c r="L573" s="7"/>
      <c r="M573" s="7"/>
      <c r="N573" s="7"/>
      <c r="O573" s="7"/>
    </row>
    <row r="574">
      <c r="I574" s="7"/>
      <c r="J574" s="7"/>
      <c r="K574" s="7"/>
      <c r="L574" s="7"/>
      <c r="M574" s="7"/>
      <c r="N574" s="7"/>
      <c r="O574" s="7"/>
    </row>
    <row r="575">
      <c r="I575" s="7"/>
      <c r="J575" s="7"/>
      <c r="K575" s="7"/>
      <c r="L575" s="7"/>
      <c r="M575" s="7"/>
      <c r="N575" s="7"/>
      <c r="O575" s="7"/>
    </row>
    <row r="576">
      <c r="I576" s="7"/>
      <c r="J576" s="7"/>
      <c r="K576" s="7"/>
      <c r="L576" s="7"/>
      <c r="M576" s="7"/>
      <c r="N576" s="7"/>
      <c r="O576" s="7"/>
    </row>
    <row r="577">
      <c r="I577" s="7"/>
      <c r="J577" s="7"/>
      <c r="K577" s="7"/>
      <c r="L577" s="7"/>
      <c r="M577" s="7"/>
      <c r="N577" s="7"/>
      <c r="O577" s="7"/>
    </row>
    <row r="578">
      <c r="I578" s="7"/>
      <c r="J578" s="7"/>
      <c r="K578" s="7"/>
      <c r="L578" s="7"/>
      <c r="M578" s="7"/>
      <c r="N578" s="7"/>
      <c r="O578" s="7"/>
    </row>
    <row r="579">
      <c r="I579" s="7"/>
      <c r="J579" s="7"/>
      <c r="K579" s="7"/>
      <c r="L579" s="7"/>
      <c r="M579" s="7"/>
      <c r="N579" s="7"/>
      <c r="O579" s="7"/>
    </row>
    <row r="580">
      <c r="I580" s="7"/>
      <c r="J580" s="7"/>
      <c r="K580" s="7"/>
      <c r="L580" s="7"/>
      <c r="M580" s="7"/>
      <c r="N580" s="7"/>
      <c r="O580" s="7"/>
    </row>
    <row r="581">
      <c r="I581" s="7"/>
      <c r="J581" s="7"/>
      <c r="K581" s="7"/>
      <c r="L581" s="7"/>
      <c r="M581" s="7"/>
      <c r="N581" s="7"/>
      <c r="O581" s="7"/>
    </row>
    <row r="582">
      <c r="I582" s="7"/>
      <c r="J582" s="7"/>
      <c r="K582" s="7"/>
      <c r="L582" s="7"/>
      <c r="M582" s="7"/>
      <c r="N582" s="7"/>
      <c r="O582" s="7"/>
    </row>
    <row r="583">
      <c r="I583" s="7"/>
      <c r="J583" s="7"/>
      <c r="K583" s="7"/>
      <c r="L583" s="7"/>
      <c r="M583" s="7"/>
      <c r="N583" s="7"/>
      <c r="O583" s="7"/>
    </row>
    <row r="584">
      <c r="I584" s="7"/>
      <c r="J584" s="7"/>
      <c r="K584" s="7"/>
      <c r="L584" s="7"/>
      <c r="M584" s="7"/>
      <c r="N584" s="7"/>
      <c r="O584" s="7"/>
    </row>
    <row r="585">
      <c r="I585" s="7"/>
      <c r="J585" s="7"/>
      <c r="K585" s="7"/>
      <c r="L585" s="7"/>
      <c r="M585" s="7"/>
      <c r="N585" s="7"/>
      <c r="O585" s="7"/>
    </row>
    <row r="586">
      <c r="I586" s="7"/>
      <c r="J586" s="7"/>
      <c r="K586" s="7"/>
      <c r="L586" s="7"/>
      <c r="M586" s="7"/>
      <c r="N586" s="7"/>
      <c r="O586" s="7"/>
    </row>
    <row r="587">
      <c r="I587" s="7"/>
      <c r="J587" s="7"/>
      <c r="K587" s="7"/>
      <c r="L587" s="7"/>
      <c r="M587" s="7"/>
      <c r="N587" s="7"/>
      <c r="O587" s="7"/>
    </row>
    <row r="588">
      <c r="I588" s="7"/>
      <c r="J588" s="7"/>
      <c r="K588" s="7"/>
      <c r="L588" s="7"/>
      <c r="M588" s="7"/>
      <c r="N588" s="7"/>
      <c r="O588" s="7"/>
    </row>
    <row r="589">
      <c r="I589" s="7"/>
      <c r="J589" s="7"/>
      <c r="K589" s="7"/>
      <c r="L589" s="7"/>
      <c r="M589" s="7"/>
      <c r="N589" s="7"/>
      <c r="O589" s="7"/>
    </row>
    <row r="590">
      <c r="I590" s="7"/>
      <c r="J590" s="7"/>
      <c r="K590" s="7"/>
      <c r="L590" s="7"/>
      <c r="M590" s="7"/>
      <c r="N590" s="7"/>
      <c r="O590" s="7"/>
    </row>
    <row r="591">
      <c r="I591" s="7"/>
      <c r="J591" s="7"/>
      <c r="K591" s="7"/>
      <c r="L591" s="7"/>
      <c r="M591" s="7"/>
      <c r="N591" s="7"/>
      <c r="O591" s="7"/>
    </row>
    <row r="592">
      <c r="I592" s="7"/>
      <c r="J592" s="7"/>
      <c r="K592" s="7"/>
      <c r="L592" s="7"/>
      <c r="M592" s="7"/>
      <c r="N592" s="7"/>
      <c r="O592" s="7"/>
    </row>
    <row r="593">
      <c r="I593" s="7"/>
      <c r="J593" s="7"/>
      <c r="K593" s="7"/>
      <c r="L593" s="7"/>
      <c r="M593" s="7"/>
      <c r="N593" s="7"/>
      <c r="O593" s="7"/>
    </row>
    <row r="594">
      <c r="I594" s="7"/>
      <c r="J594" s="7"/>
      <c r="K594" s="7"/>
      <c r="L594" s="7"/>
      <c r="M594" s="7"/>
      <c r="N594" s="7"/>
      <c r="O594" s="7"/>
    </row>
    <row r="595">
      <c r="I595" s="7"/>
      <c r="J595" s="7"/>
      <c r="K595" s="7"/>
      <c r="L595" s="7"/>
      <c r="M595" s="7"/>
      <c r="N595" s="7"/>
      <c r="O595" s="7"/>
    </row>
    <row r="596">
      <c r="I596" s="7"/>
      <c r="J596" s="7"/>
      <c r="K596" s="7"/>
      <c r="L596" s="7"/>
      <c r="M596" s="7"/>
      <c r="N596" s="7"/>
      <c r="O596" s="7"/>
    </row>
    <row r="597">
      <c r="I597" s="7"/>
      <c r="J597" s="7"/>
      <c r="K597" s="7"/>
      <c r="L597" s="7"/>
      <c r="M597" s="7"/>
      <c r="N597" s="7"/>
      <c r="O597" s="7"/>
    </row>
    <row r="598">
      <c r="I598" s="7"/>
      <c r="J598" s="7"/>
      <c r="K598" s="7"/>
      <c r="L598" s="7"/>
      <c r="M598" s="7"/>
      <c r="N598" s="7"/>
      <c r="O598" s="7"/>
    </row>
    <row r="599">
      <c r="I599" s="7"/>
      <c r="J599" s="7"/>
      <c r="K599" s="7"/>
      <c r="L599" s="7"/>
      <c r="M599" s="7"/>
      <c r="N599" s="7"/>
      <c r="O599" s="7"/>
    </row>
    <row r="600">
      <c r="I600" s="7"/>
      <c r="J600" s="7"/>
      <c r="K600" s="7"/>
      <c r="L600" s="7"/>
      <c r="M600" s="7"/>
      <c r="N600" s="7"/>
      <c r="O600" s="7"/>
    </row>
    <row r="601">
      <c r="I601" s="7"/>
      <c r="J601" s="7"/>
      <c r="K601" s="7"/>
      <c r="L601" s="7"/>
      <c r="M601" s="7"/>
      <c r="N601" s="7"/>
      <c r="O601" s="7"/>
    </row>
    <row r="602">
      <c r="I602" s="7"/>
      <c r="J602" s="7"/>
      <c r="K602" s="7"/>
      <c r="L602" s="7"/>
      <c r="M602" s="7"/>
      <c r="N602" s="7"/>
      <c r="O602" s="7"/>
    </row>
    <row r="603">
      <c r="I603" s="7"/>
      <c r="J603" s="7"/>
      <c r="K603" s="7"/>
      <c r="L603" s="7"/>
      <c r="M603" s="7"/>
      <c r="N603" s="7"/>
      <c r="O603" s="7"/>
    </row>
    <row r="604">
      <c r="I604" s="7"/>
      <c r="J604" s="7"/>
      <c r="K604" s="7"/>
      <c r="L604" s="7"/>
      <c r="M604" s="7"/>
      <c r="N604" s="7"/>
      <c r="O604" s="7"/>
    </row>
    <row r="605">
      <c r="I605" s="7"/>
      <c r="J605" s="7"/>
      <c r="K605" s="7"/>
      <c r="L605" s="7"/>
      <c r="M605" s="7"/>
      <c r="N605" s="7"/>
      <c r="O605" s="7"/>
    </row>
    <row r="606">
      <c r="I606" s="7"/>
      <c r="J606" s="7"/>
      <c r="K606" s="7"/>
      <c r="L606" s="7"/>
      <c r="M606" s="7"/>
      <c r="N606" s="7"/>
      <c r="O606" s="7"/>
    </row>
    <row r="607">
      <c r="I607" s="7"/>
      <c r="J607" s="7"/>
      <c r="K607" s="7"/>
      <c r="L607" s="7"/>
      <c r="M607" s="7"/>
      <c r="N607" s="7"/>
      <c r="O607" s="7"/>
    </row>
    <row r="608">
      <c r="I608" s="7"/>
      <c r="J608" s="7"/>
      <c r="K608" s="7"/>
      <c r="L608" s="7"/>
      <c r="M608" s="7"/>
      <c r="N608" s="7"/>
      <c r="O608" s="7"/>
    </row>
    <row r="609">
      <c r="I609" s="7"/>
      <c r="J609" s="7"/>
      <c r="K609" s="7"/>
      <c r="L609" s="7"/>
      <c r="M609" s="7"/>
      <c r="N609" s="7"/>
      <c r="O609" s="7"/>
    </row>
    <row r="610">
      <c r="I610" s="7"/>
      <c r="J610" s="7"/>
      <c r="K610" s="7"/>
      <c r="L610" s="7"/>
      <c r="M610" s="7"/>
      <c r="N610" s="7"/>
      <c r="O610" s="7"/>
    </row>
    <row r="611">
      <c r="I611" s="7"/>
      <c r="J611" s="7"/>
      <c r="K611" s="7"/>
      <c r="L611" s="7"/>
      <c r="M611" s="7"/>
      <c r="N611" s="7"/>
      <c r="O611" s="7"/>
    </row>
    <row r="612">
      <c r="I612" s="7"/>
      <c r="J612" s="7"/>
      <c r="K612" s="7"/>
      <c r="L612" s="7"/>
      <c r="M612" s="7"/>
      <c r="N612" s="7"/>
      <c r="O612" s="7"/>
    </row>
    <row r="613">
      <c r="I613" s="7"/>
      <c r="J613" s="7"/>
      <c r="K613" s="7"/>
      <c r="L613" s="7"/>
      <c r="M613" s="7"/>
      <c r="N613" s="7"/>
      <c r="O613" s="7"/>
    </row>
    <row r="614">
      <c r="I614" s="7"/>
      <c r="J614" s="7"/>
      <c r="K614" s="7"/>
      <c r="L614" s="7"/>
      <c r="M614" s="7"/>
      <c r="N614" s="7"/>
      <c r="O614" s="7"/>
    </row>
    <row r="615">
      <c r="I615" s="7"/>
      <c r="J615" s="7"/>
      <c r="K615" s="7"/>
      <c r="L615" s="7"/>
      <c r="M615" s="7"/>
      <c r="N615" s="7"/>
      <c r="O615" s="7"/>
    </row>
    <row r="616">
      <c r="I616" s="7"/>
      <c r="J616" s="7"/>
      <c r="K616" s="7"/>
      <c r="L616" s="7"/>
      <c r="M616" s="7"/>
      <c r="N616" s="7"/>
      <c r="O616" s="7"/>
    </row>
    <row r="617">
      <c r="I617" s="7"/>
      <c r="J617" s="7"/>
      <c r="K617" s="7"/>
      <c r="L617" s="7"/>
      <c r="M617" s="7"/>
      <c r="N617" s="7"/>
      <c r="O617" s="7"/>
    </row>
    <row r="618">
      <c r="I618" s="7"/>
      <c r="J618" s="7"/>
      <c r="K618" s="7"/>
      <c r="L618" s="7"/>
      <c r="M618" s="7"/>
      <c r="N618" s="7"/>
      <c r="O618" s="7"/>
    </row>
    <row r="619">
      <c r="I619" s="7"/>
      <c r="J619" s="7"/>
      <c r="K619" s="7"/>
      <c r="L619" s="7"/>
      <c r="M619" s="7"/>
      <c r="N619" s="7"/>
      <c r="O619" s="7"/>
    </row>
    <row r="620">
      <c r="I620" s="7"/>
      <c r="J620" s="7"/>
      <c r="K620" s="7"/>
      <c r="L620" s="7"/>
      <c r="M620" s="7"/>
      <c r="N620" s="7"/>
      <c r="O620" s="7"/>
    </row>
    <row r="621">
      <c r="I621" s="7"/>
      <c r="J621" s="7"/>
      <c r="K621" s="7"/>
      <c r="L621" s="7"/>
      <c r="M621" s="7"/>
      <c r="N621" s="7"/>
      <c r="O621" s="7"/>
    </row>
    <row r="622">
      <c r="I622" s="7"/>
      <c r="J622" s="7"/>
      <c r="K622" s="7"/>
      <c r="L622" s="7"/>
      <c r="M622" s="7"/>
      <c r="N622" s="7"/>
      <c r="O622" s="7"/>
    </row>
    <row r="623">
      <c r="I623" s="7"/>
      <c r="J623" s="7"/>
      <c r="K623" s="7"/>
      <c r="L623" s="7"/>
      <c r="M623" s="7"/>
      <c r="N623" s="7"/>
      <c r="O623" s="7"/>
    </row>
    <row r="624">
      <c r="I624" s="7"/>
      <c r="J624" s="7"/>
      <c r="K624" s="7"/>
      <c r="L624" s="7"/>
      <c r="M624" s="7"/>
      <c r="N624" s="7"/>
      <c r="O624" s="7"/>
    </row>
    <row r="625">
      <c r="I625" s="7"/>
      <c r="J625" s="7"/>
      <c r="K625" s="7"/>
      <c r="L625" s="7"/>
      <c r="M625" s="7"/>
      <c r="N625" s="7"/>
      <c r="O625" s="7"/>
    </row>
    <row r="626">
      <c r="I626" s="7"/>
      <c r="J626" s="7"/>
      <c r="K626" s="7"/>
      <c r="L626" s="7"/>
      <c r="M626" s="7"/>
      <c r="N626" s="7"/>
      <c r="O626" s="7"/>
    </row>
    <row r="627">
      <c r="I627" s="7"/>
      <c r="J627" s="7"/>
      <c r="K627" s="7"/>
      <c r="L627" s="7"/>
      <c r="M627" s="7"/>
      <c r="N627" s="7"/>
      <c r="O627" s="7"/>
    </row>
    <row r="628">
      <c r="I628" s="7"/>
      <c r="J628" s="7"/>
      <c r="K628" s="7"/>
      <c r="L628" s="7"/>
      <c r="M628" s="7"/>
      <c r="N628" s="7"/>
      <c r="O628" s="7"/>
    </row>
    <row r="629">
      <c r="I629" s="7"/>
      <c r="J629" s="7"/>
      <c r="K629" s="7"/>
      <c r="L629" s="7"/>
      <c r="M629" s="7"/>
      <c r="N629" s="7"/>
      <c r="O629" s="7"/>
    </row>
    <row r="630">
      <c r="I630" s="7"/>
      <c r="J630" s="7"/>
      <c r="K630" s="7"/>
      <c r="L630" s="7"/>
      <c r="M630" s="7"/>
      <c r="N630" s="7"/>
      <c r="O630" s="7"/>
    </row>
    <row r="631">
      <c r="I631" s="7"/>
      <c r="J631" s="7"/>
      <c r="K631" s="7"/>
      <c r="L631" s="7"/>
      <c r="M631" s="7"/>
      <c r="N631" s="7"/>
      <c r="O631" s="7"/>
    </row>
    <row r="632">
      <c r="I632" s="7"/>
      <c r="J632" s="7"/>
      <c r="K632" s="7"/>
      <c r="L632" s="7"/>
      <c r="M632" s="7"/>
      <c r="N632" s="7"/>
      <c r="O632" s="7"/>
    </row>
    <row r="633">
      <c r="I633" s="7"/>
      <c r="J633" s="7"/>
      <c r="K633" s="7"/>
      <c r="L633" s="7"/>
      <c r="M633" s="7"/>
      <c r="N633" s="7"/>
      <c r="O633" s="7"/>
    </row>
    <row r="634">
      <c r="I634" s="7"/>
      <c r="J634" s="7"/>
      <c r="K634" s="7"/>
      <c r="L634" s="7"/>
      <c r="M634" s="7"/>
      <c r="N634" s="7"/>
      <c r="O634" s="7"/>
    </row>
    <row r="635">
      <c r="I635" s="7"/>
      <c r="J635" s="7"/>
      <c r="K635" s="7"/>
      <c r="L635" s="7"/>
      <c r="M635" s="7"/>
      <c r="N635" s="7"/>
      <c r="O635" s="7"/>
    </row>
    <row r="636">
      <c r="I636" s="7"/>
      <c r="J636" s="7"/>
      <c r="K636" s="7"/>
      <c r="L636" s="7"/>
      <c r="M636" s="7"/>
      <c r="N636" s="7"/>
      <c r="O636" s="7"/>
    </row>
    <row r="637">
      <c r="I637" s="7"/>
      <c r="J637" s="7"/>
      <c r="K637" s="7"/>
      <c r="L637" s="7"/>
      <c r="M637" s="7"/>
      <c r="N637" s="7"/>
      <c r="O637" s="7"/>
    </row>
    <row r="638">
      <c r="I638" s="7"/>
      <c r="J638" s="7"/>
      <c r="K638" s="7"/>
      <c r="L638" s="7"/>
      <c r="M638" s="7"/>
      <c r="N638" s="7"/>
      <c r="O638" s="7"/>
    </row>
    <row r="639">
      <c r="I639" s="7"/>
      <c r="J639" s="7"/>
      <c r="K639" s="7"/>
      <c r="L639" s="7"/>
      <c r="M639" s="7"/>
      <c r="N639" s="7"/>
      <c r="O639" s="7"/>
    </row>
    <row r="640">
      <c r="I640" s="7"/>
      <c r="J640" s="7"/>
      <c r="K640" s="7"/>
      <c r="L640" s="7"/>
      <c r="M640" s="7"/>
      <c r="N640" s="7"/>
      <c r="O640" s="7"/>
    </row>
    <row r="641">
      <c r="I641" s="7"/>
      <c r="J641" s="7"/>
      <c r="K641" s="7"/>
      <c r="L641" s="7"/>
      <c r="M641" s="7"/>
      <c r="N641" s="7"/>
      <c r="O641" s="7"/>
    </row>
    <row r="642">
      <c r="I642" s="7"/>
      <c r="J642" s="7"/>
      <c r="K642" s="7"/>
      <c r="L642" s="7"/>
      <c r="M642" s="7"/>
      <c r="N642" s="7"/>
      <c r="O642" s="7"/>
    </row>
    <row r="643">
      <c r="I643" s="7"/>
      <c r="J643" s="7"/>
      <c r="K643" s="7"/>
      <c r="L643" s="7"/>
      <c r="M643" s="7"/>
      <c r="N643" s="7"/>
      <c r="O643" s="7"/>
    </row>
    <row r="644">
      <c r="I644" s="7"/>
      <c r="J644" s="7"/>
      <c r="K644" s="7"/>
      <c r="L644" s="7"/>
      <c r="M644" s="7"/>
      <c r="N644" s="7"/>
      <c r="O644" s="7"/>
    </row>
    <row r="645">
      <c r="I645" s="7"/>
      <c r="J645" s="7"/>
      <c r="K645" s="7"/>
      <c r="L645" s="7"/>
      <c r="M645" s="7"/>
      <c r="N645" s="7"/>
      <c r="O645" s="7"/>
    </row>
    <row r="646">
      <c r="I646" s="7"/>
      <c r="J646" s="7"/>
      <c r="K646" s="7"/>
      <c r="L646" s="7"/>
      <c r="M646" s="7"/>
      <c r="N646" s="7"/>
      <c r="O646" s="7"/>
    </row>
    <row r="647">
      <c r="I647" s="7"/>
      <c r="J647" s="7"/>
      <c r="K647" s="7"/>
      <c r="L647" s="7"/>
      <c r="M647" s="7"/>
      <c r="N647" s="7"/>
      <c r="O647" s="7"/>
    </row>
    <row r="648">
      <c r="I648" s="7"/>
      <c r="J648" s="7"/>
      <c r="K648" s="7"/>
      <c r="L648" s="7"/>
      <c r="M648" s="7"/>
      <c r="N648" s="7"/>
      <c r="O648" s="7"/>
    </row>
    <row r="649">
      <c r="I649" s="7"/>
      <c r="J649" s="7"/>
      <c r="K649" s="7"/>
      <c r="L649" s="7"/>
      <c r="M649" s="7"/>
      <c r="N649" s="7"/>
      <c r="O649" s="7"/>
    </row>
    <row r="650">
      <c r="I650" s="7"/>
      <c r="J650" s="7"/>
      <c r="K650" s="7"/>
      <c r="L650" s="7"/>
      <c r="M650" s="7"/>
      <c r="N650" s="7"/>
      <c r="O650" s="7"/>
    </row>
    <row r="651">
      <c r="I651" s="7"/>
      <c r="J651" s="7"/>
      <c r="K651" s="7"/>
      <c r="L651" s="7"/>
      <c r="M651" s="7"/>
      <c r="N651" s="7"/>
      <c r="O651" s="7"/>
    </row>
    <row r="652">
      <c r="I652" s="7"/>
      <c r="J652" s="7"/>
      <c r="K652" s="7"/>
      <c r="L652" s="7"/>
      <c r="M652" s="7"/>
      <c r="N652" s="7"/>
      <c r="O652" s="7"/>
    </row>
    <row r="653">
      <c r="I653" s="7"/>
      <c r="J653" s="7"/>
      <c r="K653" s="7"/>
      <c r="L653" s="7"/>
      <c r="M653" s="7"/>
      <c r="N653" s="7"/>
      <c r="O653" s="7"/>
    </row>
    <row r="654">
      <c r="I654" s="7"/>
      <c r="J654" s="7"/>
      <c r="K654" s="7"/>
      <c r="L654" s="7"/>
      <c r="M654" s="7"/>
      <c r="N654" s="7"/>
      <c r="O654" s="7"/>
    </row>
    <row r="655">
      <c r="I655" s="7"/>
      <c r="J655" s="7"/>
      <c r="K655" s="7"/>
      <c r="L655" s="7"/>
      <c r="M655" s="7"/>
      <c r="N655" s="7"/>
      <c r="O655" s="7"/>
    </row>
    <row r="656">
      <c r="I656" s="7"/>
      <c r="J656" s="7"/>
      <c r="K656" s="7"/>
      <c r="L656" s="7"/>
      <c r="M656" s="7"/>
      <c r="N656" s="7"/>
      <c r="O656" s="7"/>
    </row>
    <row r="657">
      <c r="I657" s="7"/>
      <c r="J657" s="7"/>
      <c r="K657" s="7"/>
      <c r="L657" s="7"/>
      <c r="M657" s="7"/>
      <c r="N657" s="7"/>
      <c r="O657" s="7"/>
    </row>
    <row r="658">
      <c r="I658" s="7"/>
      <c r="J658" s="7"/>
      <c r="K658" s="7"/>
      <c r="L658" s="7"/>
      <c r="M658" s="7"/>
      <c r="N658" s="7"/>
      <c r="O658" s="7"/>
    </row>
    <row r="659">
      <c r="I659" s="7"/>
      <c r="J659" s="7"/>
      <c r="K659" s="7"/>
      <c r="L659" s="7"/>
      <c r="M659" s="7"/>
      <c r="N659" s="7"/>
      <c r="O659" s="7"/>
    </row>
    <row r="660">
      <c r="I660" s="7"/>
      <c r="J660" s="7"/>
      <c r="K660" s="7"/>
      <c r="L660" s="7"/>
      <c r="M660" s="7"/>
      <c r="N660" s="7"/>
      <c r="O660" s="7"/>
    </row>
    <row r="661">
      <c r="I661" s="7"/>
      <c r="J661" s="7"/>
      <c r="K661" s="7"/>
      <c r="L661" s="7"/>
      <c r="M661" s="7"/>
      <c r="N661" s="7"/>
      <c r="O661" s="7"/>
    </row>
    <row r="662">
      <c r="I662" s="7"/>
      <c r="J662" s="7"/>
      <c r="K662" s="7"/>
      <c r="L662" s="7"/>
      <c r="M662" s="7"/>
      <c r="N662" s="7"/>
      <c r="O662" s="7"/>
    </row>
    <row r="663">
      <c r="I663" s="7"/>
      <c r="J663" s="7"/>
      <c r="K663" s="7"/>
      <c r="L663" s="7"/>
      <c r="M663" s="7"/>
      <c r="N663" s="7"/>
      <c r="O663" s="7"/>
    </row>
    <row r="664">
      <c r="I664" s="7"/>
      <c r="J664" s="7"/>
      <c r="K664" s="7"/>
      <c r="L664" s="7"/>
      <c r="M664" s="7"/>
      <c r="N664" s="7"/>
      <c r="O664" s="7"/>
    </row>
    <row r="665">
      <c r="I665" s="7"/>
      <c r="J665" s="7"/>
      <c r="K665" s="7"/>
      <c r="L665" s="7"/>
      <c r="M665" s="7"/>
      <c r="N665" s="7"/>
      <c r="O665" s="7"/>
    </row>
    <row r="666">
      <c r="I666" s="7"/>
      <c r="J666" s="7"/>
      <c r="K666" s="7"/>
      <c r="L666" s="7"/>
      <c r="M666" s="7"/>
      <c r="N666" s="7"/>
      <c r="O666" s="7"/>
    </row>
    <row r="667">
      <c r="I667" s="7"/>
      <c r="J667" s="7"/>
      <c r="K667" s="7"/>
      <c r="L667" s="7"/>
      <c r="M667" s="7"/>
      <c r="N667" s="7"/>
      <c r="O667" s="7"/>
    </row>
    <row r="668">
      <c r="I668" s="7"/>
      <c r="J668" s="7"/>
      <c r="K668" s="7"/>
      <c r="L668" s="7"/>
      <c r="M668" s="7"/>
      <c r="N668" s="7"/>
      <c r="O668" s="7"/>
    </row>
    <row r="669">
      <c r="I669" s="7"/>
      <c r="J669" s="7"/>
      <c r="K669" s="7"/>
      <c r="L669" s="7"/>
      <c r="M669" s="7"/>
      <c r="N669" s="7"/>
      <c r="O669" s="7"/>
    </row>
    <row r="670">
      <c r="I670" s="7"/>
      <c r="J670" s="7"/>
      <c r="K670" s="7"/>
      <c r="L670" s="7"/>
      <c r="M670" s="7"/>
      <c r="N670" s="7"/>
      <c r="O670" s="7"/>
    </row>
    <row r="671">
      <c r="I671" s="7"/>
      <c r="J671" s="7"/>
      <c r="K671" s="7"/>
      <c r="L671" s="7"/>
      <c r="M671" s="7"/>
      <c r="N671" s="7"/>
      <c r="O671" s="7"/>
    </row>
    <row r="672">
      <c r="I672" s="7"/>
      <c r="J672" s="7"/>
      <c r="K672" s="7"/>
      <c r="L672" s="7"/>
      <c r="M672" s="7"/>
      <c r="N672" s="7"/>
      <c r="O672" s="7"/>
    </row>
    <row r="673">
      <c r="I673" s="7"/>
      <c r="J673" s="7"/>
      <c r="K673" s="7"/>
      <c r="L673" s="7"/>
      <c r="M673" s="7"/>
      <c r="N673" s="7"/>
      <c r="O673" s="7"/>
    </row>
    <row r="674">
      <c r="I674" s="7"/>
      <c r="J674" s="7"/>
      <c r="K674" s="7"/>
      <c r="L674" s="7"/>
      <c r="M674" s="7"/>
      <c r="N674" s="7"/>
      <c r="O674" s="7"/>
    </row>
    <row r="675">
      <c r="I675" s="7"/>
      <c r="J675" s="7"/>
      <c r="K675" s="7"/>
      <c r="L675" s="7"/>
      <c r="M675" s="7"/>
      <c r="N675" s="7"/>
      <c r="O675" s="7"/>
    </row>
    <row r="676">
      <c r="I676" s="7"/>
      <c r="J676" s="7"/>
      <c r="K676" s="7"/>
      <c r="L676" s="7"/>
      <c r="M676" s="7"/>
      <c r="N676" s="7"/>
      <c r="O676" s="7"/>
    </row>
    <row r="677">
      <c r="I677" s="7"/>
      <c r="J677" s="7"/>
      <c r="K677" s="7"/>
      <c r="L677" s="7"/>
      <c r="M677" s="7"/>
      <c r="N677" s="7"/>
      <c r="O677" s="7"/>
    </row>
    <row r="678">
      <c r="I678" s="7"/>
      <c r="J678" s="7"/>
      <c r="K678" s="7"/>
      <c r="L678" s="7"/>
      <c r="M678" s="7"/>
      <c r="N678" s="7"/>
      <c r="O678" s="7"/>
    </row>
    <row r="679">
      <c r="I679" s="7"/>
      <c r="J679" s="7"/>
      <c r="K679" s="7"/>
      <c r="L679" s="7"/>
      <c r="M679" s="7"/>
      <c r="N679" s="7"/>
      <c r="O679" s="7"/>
    </row>
    <row r="680">
      <c r="I680" s="7"/>
      <c r="J680" s="7"/>
      <c r="K680" s="7"/>
      <c r="L680" s="7"/>
      <c r="M680" s="7"/>
      <c r="N680" s="7"/>
      <c r="O680" s="7"/>
    </row>
    <row r="681">
      <c r="I681" s="7"/>
      <c r="J681" s="7"/>
      <c r="K681" s="7"/>
      <c r="L681" s="7"/>
      <c r="M681" s="7"/>
      <c r="N681" s="7"/>
      <c r="O681" s="7"/>
    </row>
    <row r="682">
      <c r="I682" s="7"/>
      <c r="J682" s="7"/>
      <c r="K682" s="7"/>
      <c r="L682" s="7"/>
      <c r="M682" s="7"/>
      <c r="N682" s="7"/>
      <c r="O682" s="7"/>
    </row>
    <row r="683">
      <c r="I683" s="7"/>
      <c r="J683" s="7"/>
      <c r="K683" s="7"/>
      <c r="L683" s="7"/>
      <c r="M683" s="7"/>
      <c r="N683" s="7"/>
      <c r="O683" s="7"/>
    </row>
    <row r="684">
      <c r="I684" s="7"/>
      <c r="J684" s="7"/>
      <c r="K684" s="7"/>
      <c r="L684" s="7"/>
      <c r="M684" s="7"/>
      <c r="N684" s="7"/>
      <c r="O684" s="7"/>
    </row>
    <row r="685">
      <c r="I685" s="7"/>
      <c r="J685" s="7"/>
      <c r="K685" s="7"/>
      <c r="L685" s="7"/>
      <c r="M685" s="7"/>
      <c r="N685" s="7"/>
      <c r="O685" s="7"/>
    </row>
    <row r="686">
      <c r="I686" s="7"/>
      <c r="J686" s="7"/>
      <c r="K686" s="7"/>
      <c r="L686" s="7"/>
      <c r="M686" s="7"/>
      <c r="N686" s="7"/>
      <c r="O686" s="7"/>
    </row>
    <row r="687">
      <c r="I687" s="7"/>
      <c r="J687" s="7"/>
      <c r="K687" s="7"/>
      <c r="L687" s="7"/>
      <c r="M687" s="7"/>
      <c r="N687" s="7"/>
      <c r="O687" s="7"/>
    </row>
    <row r="688">
      <c r="I688" s="7"/>
      <c r="J688" s="7"/>
      <c r="K688" s="7"/>
      <c r="L688" s="7"/>
      <c r="M688" s="7"/>
      <c r="N688" s="7"/>
      <c r="O688" s="7"/>
    </row>
    <row r="689">
      <c r="I689" s="7"/>
      <c r="J689" s="7"/>
      <c r="K689" s="7"/>
      <c r="L689" s="7"/>
      <c r="M689" s="7"/>
      <c r="N689" s="7"/>
      <c r="O689" s="7"/>
    </row>
    <row r="690">
      <c r="I690" s="7"/>
      <c r="J690" s="7"/>
      <c r="K690" s="7"/>
      <c r="L690" s="7"/>
      <c r="M690" s="7"/>
      <c r="N690" s="7"/>
      <c r="O690" s="7"/>
    </row>
    <row r="691">
      <c r="I691" s="7"/>
      <c r="J691" s="7"/>
      <c r="K691" s="7"/>
      <c r="L691" s="7"/>
      <c r="M691" s="7"/>
      <c r="N691" s="7"/>
      <c r="O691" s="7"/>
    </row>
    <row r="692">
      <c r="I692" s="7"/>
      <c r="J692" s="7"/>
      <c r="K692" s="7"/>
      <c r="L692" s="7"/>
      <c r="M692" s="7"/>
      <c r="N692" s="7"/>
      <c r="O692" s="7"/>
    </row>
    <row r="693">
      <c r="I693" s="7"/>
      <c r="J693" s="7"/>
      <c r="K693" s="7"/>
      <c r="L693" s="7"/>
      <c r="M693" s="7"/>
      <c r="N693" s="7"/>
      <c r="O693" s="7"/>
    </row>
    <row r="694">
      <c r="I694" s="7"/>
      <c r="J694" s="7"/>
      <c r="K694" s="7"/>
      <c r="L694" s="7"/>
      <c r="M694" s="7"/>
      <c r="N694" s="7"/>
      <c r="O694" s="7"/>
    </row>
    <row r="695">
      <c r="I695" s="7"/>
      <c r="J695" s="7"/>
      <c r="K695" s="7"/>
      <c r="L695" s="7"/>
      <c r="M695" s="7"/>
      <c r="N695" s="7"/>
      <c r="O695" s="7"/>
    </row>
    <row r="696">
      <c r="I696" s="7"/>
      <c r="J696" s="7"/>
      <c r="K696" s="7"/>
      <c r="L696" s="7"/>
      <c r="M696" s="7"/>
      <c r="N696" s="7"/>
      <c r="O696" s="7"/>
    </row>
    <row r="697">
      <c r="I697" s="7"/>
      <c r="J697" s="7"/>
      <c r="K697" s="7"/>
      <c r="L697" s="7"/>
      <c r="M697" s="7"/>
      <c r="N697" s="7"/>
      <c r="O697" s="7"/>
    </row>
    <row r="698">
      <c r="I698" s="7"/>
      <c r="J698" s="7"/>
      <c r="K698" s="7"/>
      <c r="L698" s="7"/>
      <c r="M698" s="7"/>
      <c r="N698" s="7"/>
      <c r="O698" s="7"/>
    </row>
    <row r="699">
      <c r="I699" s="7"/>
      <c r="J699" s="7"/>
      <c r="K699" s="7"/>
      <c r="L699" s="7"/>
      <c r="M699" s="7"/>
      <c r="N699" s="7"/>
      <c r="O699" s="7"/>
    </row>
    <row r="700">
      <c r="I700" s="7"/>
      <c r="J700" s="7"/>
      <c r="K700" s="7"/>
      <c r="L700" s="7"/>
      <c r="M700" s="7"/>
      <c r="N700" s="7"/>
      <c r="O700" s="7"/>
    </row>
    <row r="701">
      <c r="I701" s="7"/>
      <c r="J701" s="7"/>
      <c r="K701" s="7"/>
      <c r="L701" s="7"/>
      <c r="M701" s="7"/>
      <c r="N701" s="7"/>
      <c r="O701" s="7"/>
    </row>
    <row r="702">
      <c r="I702" s="7"/>
      <c r="J702" s="7"/>
      <c r="K702" s="7"/>
      <c r="L702" s="7"/>
      <c r="M702" s="7"/>
      <c r="N702" s="7"/>
      <c r="O702" s="7"/>
    </row>
    <row r="703">
      <c r="I703" s="7"/>
      <c r="J703" s="7"/>
      <c r="K703" s="7"/>
      <c r="L703" s="7"/>
      <c r="M703" s="7"/>
      <c r="N703" s="7"/>
      <c r="O703" s="7"/>
    </row>
    <row r="704">
      <c r="I704" s="7"/>
      <c r="J704" s="7"/>
      <c r="K704" s="7"/>
      <c r="L704" s="7"/>
      <c r="M704" s="7"/>
      <c r="N704" s="7"/>
      <c r="O704" s="7"/>
    </row>
    <row r="705">
      <c r="I705" s="7"/>
      <c r="J705" s="7"/>
      <c r="K705" s="7"/>
      <c r="L705" s="7"/>
      <c r="M705" s="7"/>
      <c r="N705" s="7"/>
      <c r="O705" s="7"/>
    </row>
    <row r="706">
      <c r="I706" s="7"/>
      <c r="J706" s="7"/>
      <c r="K706" s="7"/>
      <c r="L706" s="7"/>
      <c r="M706" s="7"/>
      <c r="N706" s="7"/>
      <c r="O706" s="7"/>
    </row>
    <row r="707">
      <c r="I707" s="7"/>
      <c r="J707" s="7"/>
      <c r="K707" s="7"/>
      <c r="L707" s="7"/>
      <c r="M707" s="7"/>
      <c r="N707" s="7"/>
      <c r="O707" s="7"/>
    </row>
    <row r="708">
      <c r="I708" s="7"/>
      <c r="J708" s="7"/>
      <c r="K708" s="7"/>
      <c r="L708" s="7"/>
      <c r="M708" s="7"/>
      <c r="N708" s="7"/>
      <c r="O708" s="7"/>
    </row>
    <row r="709">
      <c r="I709" s="7"/>
      <c r="J709" s="7"/>
      <c r="K709" s="7"/>
      <c r="L709" s="7"/>
      <c r="M709" s="7"/>
      <c r="N709" s="7"/>
      <c r="O709" s="7"/>
    </row>
    <row r="710">
      <c r="I710" s="7"/>
      <c r="J710" s="7"/>
      <c r="K710" s="7"/>
      <c r="L710" s="7"/>
      <c r="M710" s="7"/>
      <c r="N710" s="7"/>
      <c r="O710" s="7"/>
    </row>
    <row r="711">
      <c r="I711" s="7"/>
      <c r="J711" s="7"/>
      <c r="K711" s="7"/>
      <c r="L711" s="7"/>
      <c r="M711" s="7"/>
      <c r="N711" s="7"/>
      <c r="O711" s="7"/>
    </row>
    <row r="712">
      <c r="I712" s="7"/>
      <c r="J712" s="7"/>
      <c r="K712" s="7"/>
      <c r="L712" s="7"/>
      <c r="M712" s="7"/>
      <c r="N712" s="7"/>
      <c r="O712" s="7"/>
    </row>
    <row r="713">
      <c r="I713" s="7"/>
      <c r="J713" s="7"/>
      <c r="K713" s="7"/>
      <c r="L713" s="7"/>
      <c r="M713" s="7"/>
      <c r="N713" s="7"/>
      <c r="O713" s="7"/>
    </row>
    <row r="714">
      <c r="I714" s="7"/>
      <c r="J714" s="7"/>
      <c r="K714" s="7"/>
      <c r="L714" s="7"/>
      <c r="M714" s="7"/>
      <c r="N714" s="7"/>
      <c r="O714" s="7"/>
    </row>
    <row r="715">
      <c r="I715" s="7"/>
      <c r="J715" s="7"/>
      <c r="K715" s="7"/>
      <c r="L715" s="7"/>
      <c r="M715" s="7"/>
      <c r="N715" s="7"/>
      <c r="O715" s="7"/>
    </row>
    <row r="716">
      <c r="I716" s="7"/>
      <c r="J716" s="7"/>
      <c r="K716" s="7"/>
      <c r="L716" s="7"/>
      <c r="M716" s="7"/>
      <c r="N716" s="7"/>
      <c r="O716" s="7"/>
    </row>
    <row r="717">
      <c r="I717" s="7"/>
      <c r="J717" s="7"/>
      <c r="K717" s="7"/>
      <c r="L717" s="7"/>
      <c r="M717" s="7"/>
      <c r="N717" s="7"/>
      <c r="O717" s="7"/>
    </row>
    <row r="718">
      <c r="I718" s="7"/>
      <c r="J718" s="7"/>
      <c r="K718" s="7"/>
      <c r="L718" s="7"/>
      <c r="M718" s="7"/>
      <c r="N718" s="7"/>
      <c r="O718" s="7"/>
    </row>
    <row r="719">
      <c r="I719" s="7"/>
      <c r="J719" s="7"/>
      <c r="K719" s="7"/>
      <c r="L719" s="7"/>
      <c r="M719" s="7"/>
      <c r="N719" s="7"/>
      <c r="O719" s="7"/>
    </row>
    <row r="720">
      <c r="I720" s="7"/>
      <c r="J720" s="7"/>
      <c r="K720" s="7"/>
      <c r="L720" s="7"/>
      <c r="M720" s="7"/>
      <c r="N720" s="7"/>
      <c r="O720" s="7"/>
    </row>
    <row r="721">
      <c r="I721" s="7"/>
      <c r="J721" s="7"/>
      <c r="K721" s="7"/>
      <c r="L721" s="7"/>
      <c r="M721" s="7"/>
      <c r="N721" s="7"/>
      <c r="O721" s="7"/>
    </row>
    <row r="722">
      <c r="I722" s="7"/>
      <c r="J722" s="7"/>
      <c r="K722" s="7"/>
      <c r="L722" s="7"/>
      <c r="M722" s="7"/>
      <c r="N722" s="7"/>
      <c r="O722" s="7"/>
    </row>
    <row r="723">
      <c r="I723" s="7"/>
      <c r="J723" s="7"/>
      <c r="K723" s="7"/>
      <c r="L723" s="7"/>
      <c r="M723" s="7"/>
      <c r="N723" s="7"/>
      <c r="O723" s="7"/>
    </row>
    <row r="724">
      <c r="I724" s="7"/>
      <c r="J724" s="7"/>
      <c r="K724" s="7"/>
      <c r="L724" s="7"/>
      <c r="M724" s="7"/>
      <c r="N724" s="7"/>
      <c r="O724" s="7"/>
    </row>
    <row r="725">
      <c r="I725" s="7"/>
      <c r="J725" s="7"/>
      <c r="K725" s="7"/>
      <c r="L725" s="7"/>
      <c r="M725" s="7"/>
      <c r="N725" s="7"/>
      <c r="O725" s="7"/>
    </row>
    <row r="726">
      <c r="I726" s="7"/>
      <c r="J726" s="7"/>
      <c r="K726" s="7"/>
      <c r="L726" s="7"/>
      <c r="M726" s="7"/>
      <c r="N726" s="7"/>
      <c r="O726" s="7"/>
    </row>
    <row r="727">
      <c r="I727" s="7"/>
      <c r="J727" s="7"/>
      <c r="K727" s="7"/>
      <c r="L727" s="7"/>
      <c r="M727" s="7"/>
      <c r="N727" s="7"/>
      <c r="O727" s="7"/>
    </row>
    <row r="728">
      <c r="I728" s="7"/>
      <c r="J728" s="7"/>
      <c r="K728" s="7"/>
      <c r="L728" s="7"/>
      <c r="M728" s="7"/>
      <c r="N728" s="7"/>
      <c r="O728" s="7"/>
    </row>
    <row r="729">
      <c r="I729" s="7"/>
      <c r="J729" s="7"/>
      <c r="K729" s="7"/>
      <c r="L729" s="7"/>
      <c r="M729" s="7"/>
      <c r="N729" s="7"/>
      <c r="O729" s="7"/>
    </row>
    <row r="730">
      <c r="I730" s="7"/>
      <c r="J730" s="7"/>
      <c r="K730" s="7"/>
      <c r="L730" s="7"/>
      <c r="M730" s="7"/>
      <c r="N730" s="7"/>
      <c r="O730" s="7"/>
    </row>
    <row r="731">
      <c r="I731" s="7"/>
      <c r="J731" s="7"/>
      <c r="K731" s="7"/>
      <c r="L731" s="7"/>
      <c r="M731" s="7"/>
      <c r="N731" s="7"/>
      <c r="O731" s="7"/>
    </row>
    <row r="732">
      <c r="I732" s="7"/>
      <c r="J732" s="7"/>
      <c r="K732" s="7"/>
      <c r="L732" s="7"/>
      <c r="M732" s="7"/>
      <c r="N732" s="7"/>
      <c r="O732" s="7"/>
    </row>
    <row r="733">
      <c r="I733" s="7"/>
      <c r="J733" s="7"/>
      <c r="K733" s="7"/>
      <c r="L733" s="7"/>
      <c r="M733" s="7"/>
      <c r="N733" s="7"/>
      <c r="O733" s="7"/>
    </row>
    <row r="734">
      <c r="I734" s="7"/>
      <c r="J734" s="7"/>
      <c r="K734" s="7"/>
      <c r="L734" s="7"/>
      <c r="M734" s="7"/>
      <c r="N734" s="7"/>
      <c r="O734" s="7"/>
    </row>
    <row r="735">
      <c r="I735" s="7"/>
      <c r="J735" s="7"/>
      <c r="K735" s="7"/>
      <c r="L735" s="7"/>
      <c r="M735" s="7"/>
      <c r="N735" s="7"/>
      <c r="O735" s="7"/>
    </row>
    <row r="736">
      <c r="I736" s="7"/>
      <c r="J736" s="7"/>
      <c r="K736" s="7"/>
      <c r="L736" s="7"/>
      <c r="M736" s="7"/>
      <c r="N736" s="7"/>
      <c r="O736" s="7"/>
    </row>
    <row r="737">
      <c r="I737" s="7"/>
      <c r="J737" s="7"/>
      <c r="K737" s="7"/>
      <c r="L737" s="7"/>
      <c r="M737" s="7"/>
      <c r="N737" s="7"/>
      <c r="O737" s="7"/>
    </row>
    <row r="738">
      <c r="I738" s="7"/>
      <c r="J738" s="7"/>
      <c r="K738" s="7"/>
      <c r="L738" s="7"/>
      <c r="M738" s="7"/>
      <c r="N738" s="7"/>
      <c r="O738" s="7"/>
    </row>
    <row r="739">
      <c r="I739" s="7"/>
      <c r="J739" s="7"/>
      <c r="K739" s="7"/>
      <c r="L739" s="7"/>
      <c r="M739" s="7"/>
      <c r="N739" s="7"/>
      <c r="O739" s="7"/>
    </row>
    <row r="740">
      <c r="I740" s="7"/>
      <c r="J740" s="7"/>
      <c r="K740" s="7"/>
      <c r="L740" s="7"/>
      <c r="M740" s="7"/>
      <c r="N740" s="7"/>
      <c r="O740" s="7"/>
    </row>
    <row r="741">
      <c r="I741" s="7"/>
      <c r="J741" s="7"/>
      <c r="K741" s="7"/>
      <c r="L741" s="7"/>
      <c r="M741" s="7"/>
      <c r="N741" s="7"/>
      <c r="O741" s="7"/>
    </row>
    <row r="742">
      <c r="I742" s="7"/>
      <c r="J742" s="7"/>
      <c r="K742" s="7"/>
      <c r="L742" s="7"/>
      <c r="M742" s="7"/>
      <c r="N742" s="7"/>
      <c r="O742" s="7"/>
    </row>
    <row r="743">
      <c r="I743" s="7"/>
      <c r="J743" s="7"/>
      <c r="K743" s="7"/>
      <c r="L743" s="7"/>
      <c r="M743" s="7"/>
      <c r="N743" s="7"/>
      <c r="O743" s="7"/>
    </row>
    <row r="744">
      <c r="I744" s="7"/>
      <c r="J744" s="7"/>
      <c r="K744" s="7"/>
      <c r="L744" s="7"/>
      <c r="M744" s="7"/>
      <c r="N744" s="7"/>
      <c r="O744" s="7"/>
    </row>
    <row r="745">
      <c r="I745" s="7"/>
      <c r="J745" s="7"/>
      <c r="K745" s="7"/>
      <c r="L745" s="7"/>
      <c r="M745" s="7"/>
      <c r="N745" s="7"/>
      <c r="O745" s="7"/>
    </row>
    <row r="746">
      <c r="I746" s="7"/>
      <c r="J746" s="7"/>
      <c r="K746" s="7"/>
      <c r="L746" s="7"/>
      <c r="M746" s="7"/>
      <c r="N746" s="7"/>
      <c r="O746" s="7"/>
    </row>
    <row r="747">
      <c r="I747" s="7"/>
      <c r="J747" s="7"/>
      <c r="K747" s="7"/>
      <c r="L747" s="7"/>
      <c r="M747" s="7"/>
      <c r="N747" s="7"/>
      <c r="O747" s="7"/>
    </row>
    <row r="748">
      <c r="I748" s="7"/>
      <c r="J748" s="7"/>
      <c r="K748" s="7"/>
      <c r="L748" s="7"/>
      <c r="M748" s="7"/>
      <c r="N748" s="7"/>
      <c r="O748" s="7"/>
    </row>
    <row r="749">
      <c r="I749" s="7"/>
      <c r="J749" s="7"/>
      <c r="K749" s="7"/>
      <c r="L749" s="7"/>
      <c r="M749" s="7"/>
      <c r="N749" s="7"/>
      <c r="O749" s="7"/>
    </row>
    <row r="750">
      <c r="I750" s="7"/>
      <c r="J750" s="7"/>
      <c r="K750" s="7"/>
      <c r="L750" s="7"/>
      <c r="M750" s="7"/>
      <c r="N750" s="7"/>
      <c r="O750" s="7"/>
    </row>
    <row r="751">
      <c r="I751" s="7"/>
      <c r="J751" s="7"/>
      <c r="K751" s="7"/>
      <c r="L751" s="7"/>
      <c r="M751" s="7"/>
      <c r="N751" s="7"/>
      <c r="O751" s="7"/>
    </row>
    <row r="752">
      <c r="I752" s="7"/>
      <c r="J752" s="7"/>
      <c r="K752" s="7"/>
      <c r="L752" s="7"/>
      <c r="M752" s="7"/>
      <c r="N752" s="7"/>
      <c r="O752" s="7"/>
    </row>
    <row r="753">
      <c r="I753" s="7"/>
      <c r="J753" s="7"/>
      <c r="K753" s="7"/>
      <c r="L753" s="7"/>
      <c r="M753" s="7"/>
      <c r="N753" s="7"/>
      <c r="O753" s="7"/>
    </row>
    <row r="754">
      <c r="I754" s="7"/>
      <c r="J754" s="7"/>
      <c r="K754" s="7"/>
      <c r="L754" s="7"/>
      <c r="M754" s="7"/>
      <c r="N754" s="7"/>
      <c r="O754" s="7"/>
    </row>
    <row r="755">
      <c r="I755" s="7"/>
      <c r="J755" s="7"/>
      <c r="K755" s="7"/>
      <c r="L755" s="7"/>
      <c r="M755" s="7"/>
      <c r="N755" s="7"/>
      <c r="O755" s="7"/>
    </row>
    <row r="756">
      <c r="I756" s="7"/>
      <c r="J756" s="7"/>
      <c r="K756" s="7"/>
      <c r="L756" s="7"/>
      <c r="M756" s="7"/>
      <c r="N756" s="7"/>
      <c r="O756" s="7"/>
    </row>
    <row r="757">
      <c r="I757" s="7"/>
      <c r="J757" s="7"/>
      <c r="K757" s="7"/>
      <c r="L757" s="7"/>
      <c r="M757" s="7"/>
      <c r="N757" s="7"/>
      <c r="O757" s="7"/>
    </row>
    <row r="758">
      <c r="I758" s="7"/>
      <c r="J758" s="7"/>
      <c r="K758" s="7"/>
      <c r="L758" s="7"/>
      <c r="M758" s="7"/>
      <c r="N758" s="7"/>
      <c r="O758" s="7"/>
    </row>
    <row r="759">
      <c r="I759" s="7"/>
      <c r="J759" s="7"/>
      <c r="K759" s="7"/>
      <c r="L759" s="7"/>
      <c r="M759" s="7"/>
      <c r="N759" s="7"/>
      <c r="O759" s="7"/>
    </row>
    <row r="760">
      <c r="I760" s="7"/>
      <c r="J760" s="7"/>
      <c r="K760" s="7"/>
      <c r="L760" s="7"/>
      <c r="M760" s="7"/>
      <c r="N760" s="7"/>
      <c r="O760" s="7"/>
    </row>
    <row r="761">
      <c r="I761" s="7"/>
      <c r="J761" s="7"/>
      <c r="K761" s="7"/>
      <c r="L761" s="7"/>
      <c r="M761" s="7"/>
      <c r="N761" s="7"/>
      <c r="O761" s="7"/>
    </row>
    <row r="762">
      <c r="I762" s="7"/>
      <c r="J762" s="7"/>
      <c r="K762" s="7"/>
      <c r="L762" s="7"/>
      <c r="M762" s="7"/>
      <c r="N762" s="7"/>
      <c r="O762" s="7"/>
    </row>
    <row r="763">
      <c r="I763" s="7"/>
      <c r="J763" s="7"/>
      <c r="K763" s="7"/>
      <c r="L763" s="7"/>
      <c r="M763" s="7"/>
      <c r="N763" s="7"/>
      <c r="O763" s="7"/>
    </row>
    <row r="764">
      <c r="I764" s="7"/>
      <c r="J764" s="7"/>
      <c r="K764" s="7"/>
      <c r="L764" s="7"/>
      <c r="M764" s="7"/>
      <c r="N764" s="7"/>
      <c r="O764" s="7"/>
    </row>
    <row r="765">
      <c r="I765" s="7"/>
      <c r="J765" s="7"/>
      <c r="K765" s="7"/>
      <c r="L765" s="7"/>
      <c r="M765" s="7"/>
      <c r="N765" s="7"/>
      <c r="O765" s="7"/>
    </row>
    <row r="766">
      <c r="I766" s="7"/>
      <c r="J766" s="7"/>
      <c r="K766" s="7"/>
      <c r="L766" s="7"/>
      <c r="M766" s="7"/>
      <c r="N766" s="7"/>
      <c r="O766" s="7"/>
    </row>
    <row r="767">
      <c r="I767" s="7"/>
      <c r="J767" s="7"/>
      <c r="K767" s="7"/>
      <c r="L767" s="7"/>
      <c r="M767" s="7"/>
      <c r="N767" s="7"/>
      <c r="O767" s="7"/>
    </row>
    <row r="768">
      <c r="I768" s="7"/>
      <c r="J768" s="7"/>
      <c r="K768" s="7"/>
      <c r="L768" s="7"/>
      <c r="M768" s="7"/>
      <c r="N768" s="7"/>
      <c r="O768" s="7"/>
    </row>
    <row r="769">
      <c r="I769" s="7"/>
      <c r="J769" s="7"/>
      <c r="K769" s="7"/>
      <c r="L769" s="7"/>
      <c r="M769" s="7"/>
      <c r="N769" s="7"/>
      <c r="O769" s="7"/>
    </row>
    <row r="770">
      <c r="I770" s="7"/>
      <c r="J770" s="7"/>
      <c r="K770" s="7"/>
      <c r="L770" s="7"/>
      <c r="M770" s="7"/>
      <c r="N770" s="7"/>
      <c r="O770" s="7"/>
    </row>
    <row r="771">
      <c r="I771" s="7"/>
      <c r="J771" s="7"/>
      <c r="K771" s="7"/>
      <c r="L771" s="7"/>
      <c r="M771" s="7"/>
      <c r="N771" s="7"/>
      <c r="O771" s="7"/>
    </row>
    <row r="772">
      <c r="I772" s="7"/>
      <c r="J772" s="7"/>
      <c r="K772" s="7"/>
      <c r="L772" s="7"/>
      <c r="M772" s="7"/>
      <c r="N772" s="7"/>
      <c r="O772" s="7"/>
    </row>
    <row r="773">
      <c r="I773" s="7"/>
      <c r="J773" s="7"/>
      <c r="K773" s="7"/>
      <c r="L773" s="7"/>
      <c r="M773" s="7"/>
      <c r="N773" s="7"/>
      <c r="O773" s="7"/>
    </row>
    <row r="774">
      <c r="I774" s="7"/>
      <c r="J774" s="7"/>
      <c r="K774" s="7"/>
      <c r="L774" s="7"/>
      <c r="M774" s="7"/>
      <c r="N774" s="7"/>
      <c r="O774" s="7"/>
    </row>
    <row r="775">
      <c r="I775" s="7"/>
      <c r="J775" s="7"/>
      <c r="K775" s="7"/>
      <c r="L775" s="7"/>
      <c r="M775" s="7"/>
      <c r="N775" s="7"/>
      <c r="O775" s="7"/>
    </row>
    <row r="776">
      <c r="I776" s="7"/>
      <c r="J776" s="7"/>
      <c r="K776" s="7"/>
      <c r="L776" s="7"/>
      <c r="M776" s="7"/>
      <c r="N776" s="7"/>
      <c r="O776" s="7"/>
    </row>
    <row r="777">
      <c r="I777" s="7"/>
      <c r="J777" s="7"/>
      <c r="K777" s="7"/>
      <c r="L777" s="7"/>
      <c r="M777" s="7"/>
      <c r="N777" s="7"/>
      <c r="O777" s="7"/>
    </row>
    <row r="778">
      <c r="I778" s="7"/>
      <c r="J778" s="7"/>
      <c r="K778" s="7"/>
      <c r="L778" s="7"/>
      <c r="M778" s="7"/>
      <c r="N778" s="7"/>
      <c r="O778" s="7"/>
    </row>
    <row r="779">
      <c r="I779" s="7"/>
      <c r="J779" s="7"/>
      <c r="K779" s="7"/>
      <c r="L779" s="7"/>
      <c r="M779" s="7"/>
      <c r="N779" s="7"/>
      <c r="O779" s="7"/>
    </row>
    <row r="780">
      <c r="I780" s="7"/>
      <c r="J780" s="7"/>
      <c r="K780" s="7"/>
      <c r="L780" s="7"/>
      <c r="M780" s="7"/>
      <c r="N780" s="7"/>
      <c r="O780" s="7"/>
    </row>
    <row r="781">
      <c r="I781" s="7"/>
      <c r="J781" s="7"/>
      <c r="K781" s="7"/>
      <c r="L781" s="7"/>
      <c r="M781" s="7"/>
      <c r="N781" s="7"/>
      <c r="O781" s="7"/>
    </row>
    <row r="782">
      <c r="I782" s="7"/>
      <c r="J782" s="7"/>
      <c r="K782" s="7"/>
      <c r="L782" s="7"/>
      <c r="M782" s="7"/>
      <c r="N782" s="7"/>
      <c r="O782" s="7"/>
    </row>
    <row r="783">
      <c r="I783" s="7"/>
      <c r="J783" s="7"/>
      <c r="K783" s="7"/>
      <c r="L783" s="7"/>
      <c r="M783" s="7"/>
      <c r="N783" s="7"/>
      <c r="O783" s="7"/>
    </row>
    <row r="784">
      <c r="I784" s="7"/>
      <c r="J784" s="7"/>
      <c r="K784" s="7"/>
      <c r="L784" s="7"/>
      <c r="M784" s="7"/>
      <c r="N784" s="7"/>
      <c r="O784" s="7"/>
    </row>
    <row r="785">
      <c r="I785" s="7"/>
      <c r="J785" s="7"/>
      <c r="K785" s="7"/>
      <c r="L785" s="7"/>
      <c r="M785" s="7"/>
      <c r="N785" s="7"/>
      <c r="O785" s="7"/>
    </row>
    <row r="786">
      <c r="I786" s="7"/>
      <c r="J786" s="7"/>
      <c r="K786" s="7"/>
      <c r="L786" s="7"/>
      <c r="M786" s="7"/>
      <c r="N786" s="7"/>
      <c r="O786" s="7"/>
    </row>
    <row r="787">
      <c r="I787" s="7"/>
      <c r="J787" s="7"/>
      <c r="K787" s="7"/>
      <c r="L787" s="7"/>
      <c r="M787" s="7"/>
      <c r="N787" s="7"/>
      <c r="O787" s="7"/>
    </row>
    <row r="788">
      <c r="I788" s="7"/>
      <c r="J788" s="7"/>
      <c r="K788" s="7"/>
      <c r="L788" s="7"/>
      <c r="M788" s="7"/>
      <c r="N788" s="7"/>
      <c r="O788" s="7"/>
    </row>
    <row r="789">
      <c r="I789" s="7"/>
      <c r="J789" s="7"/>
      <c r="K789" s="7"/>
      <c r="L789" s="7"/>
      <c r="M789" s="7"/>
      <c r="N789" s="7"/>
      <c r="O789" s="7"/>
    </row>
    <row r="790">
      <c r="I790" s="7"/>
      <c r="J790" s="7"/>
      <c r="K790" s="7"/>
      <c r="L790" s="7"/>
      <c r="M790" s="7"/>
      <c r="N790" s="7"/>
      <c r="O790" s="7"/>
    </row>
    <row r="791">
      <c r="I791" s="7"/>
      <c r="J791" s="7"/>
      <c r="K791" s="7"/>
      <c r="L791" s="7"/>
      <c r="M791" s="7"/>
      <c r="N791" s="7"/>
      <c r="O791" s="7"/>
    </row>
    <row r="792">
      <c r="I792" s="7"/>
      <c r="J792" s="7"/>
      <c r="K792" s="7"/>
      <c r="L792" s="7"/>
      <c r="M792" s="7"/>
      <c r="N792" s="7"/>
      <c r="O792" s="7"/>
    </row>
    <row r="793">
      <c r="I793" s="7"/>
      <c r="J793" s="7"/>
      <c r="K793" s="7"/>
      <c r="L793" s="7"/>
      <c r="M793" s="7"/>
      <c r="N793" s="7"/>
      <c r="O793" s="7"/>
    </row>
    <row r="794">
      <c r="I794" s="7"/>
      <c r="J794" s="7"/>
      <c r="K794" s="7"/>
      <c r="L794" s="7"/>
      <c r="M794" s="7"/>
      <c r="N794" s="7"/>
      <c r="O794" s="7"/>
    </row>
    <row r="795">
      <c r="I795" s="7"/>
      <c r="J795" s="7"/>
      <c r="K795" s="7"/>
      <c r="L795" s="7"/>
      <c r="M795" s="7"/>
      <c r="N795" s="7"/>
      <c r="O795" s="7"/>
    </row>
    <row r="796">
      <c r="I796" s="7"/>
      <c r="J796" s="7"/>
      <c r="K796" s="7"/>
      <c r="L796" s="7"/>
      <c r="M796" s="7"/>
      <c r="N796" s="7"/>
      <c r="O796" s="7"/>
    </row>
    <row r="797">
      <c r="I797" s="7"/>
      <c r="J797" s="7"/>
      <c r="K797" s="7"/>
      <c r="L797" s="7"/>
      <c r="M797" s="7"/>
      <c r="N797" s="7"/>
      <c r="O797" s="7"/>
    </row>
    <row r="798">
      <c r="I798" s="7"/>
      <c r="J798" s="7"/>
      <c r="K798" s="7"/>
      <c r="L798" s="7"/>
      <c r="M798" s="7"/>
      <c r="N798" s="7"/>
      <c r="O798" s="7"/>
    </row>
    <row r="799">
      <c r="I799" s="7"/>
      <c r="J799" s="7"/>
      <c r="K799" s="7"/>
      <c r="L799" s="7"/>
      <c r="M799" s="7"/>
      <c r="N799" s="7"/>
      <c r="O799" s="7"/>
    </row>
    <row r="800">
      <c r="I800" s="7"/>
      <c r="J800" s="7"/>
      <c r="K800" s="7"/>
      <c r="L800" s="7"/>
      <c r="M800" s="7"/>
      <c r="N800" s="7"/>
      <c r="O800" s="7"/>
    </row>
    <row r="801">
      <c r="I801" s="7"/>
      <c r="J801" s="7"/>
      <c r="K801" s="7"/>
      <c r="L801" s="7"/>
      <c r="M801" s="7"/>
      <c r="N801" s="7"/>
      <c r="O801" s="7"/>
    </row>
    <row r="802">
      <c r="I802" s="7"/>
      <c r="J802" s="7"/>
      <c r="K802" s="7"/>
      <c r="L802" s="7"/>
      <c r="M802" s="7"/>
      <c r="N802" s="7"/>
      <c r="O802" s="7"/>
    </row>
    <row r="803">
      <c r="I803" s="7"/>
      <c r="J803" s="7"/>
      <c r="K803" s="7"/>
      <c r="L803" s="7"/>
      <c r="M803" s="7"/>
      <c r="N803" s="7"/>
      <c r="O803" s="7"/>
    </row>
    <row r="804">
      <c r="I804" s="7"/>
      <c r="J804" s="7"/>
      <c r="K804" s="7"/>
      <c r="L804" s="7"/>
      <c r="M804" s="7"/>
      <c r="N804" s="7"/>
      <c r="O804" s="7"/>
    </row>
    <row r="805">
      <c r="I805" s="7"/>
      <c r="J805" s="7"/>
      <c r="K805" s="7"/>
      <c r="L805" s="7"/>
      <c r="M805" s="7"/>
      <c r="N805" s="7"/>
      <c r="O805" s="7"/>
    </row>
    <row r="806">
      <c r="I806" s="7"/>
      <c r="J806" s="7"/>
      <c r="K806" s="7"/>
      <c r="L806" s="7"/>
      <c r="M806" s="7"/>
      <c r="N806" s="7"/>
      <c r="O806" s="7"/>
    </row>
    <row r="807">
      <c r="I807" s="7"/>
      <c r="J807" s="7"/>
      <c r="K807" s="7"/>
      <c r="L807" s="7"/>
      <c r="M807" s="7"/>
      <c r="N807" s="7"/>
      <c r="O807" s="7"/>
    </row>
    <row r="808">
      <c r="I808" s="7"/>
      <c r="J808" s="7"/>
      <c r="K808" s="7"/>
      <c r="L808" s="7"/>
      <c r="M808" s="7"/>
      <c r="N808" s="7"/>
      <c r="O808" s="7"/>
    </row>
    <row r="809">
      <c r="I809" s="7"/>
      <c r="J809" s="7"/>
      <c r="K809" s="7"/>
      <c r="L809" s="7"/>
      <c r="M809" s="7"/>
      <c r="N809" s="7"/>
      <c r="O809" s="7"/>
    </row>
    <row r="810">
      <c r="I810" s="7"/>
      <c r="J810" s="7"/>
      <c r="K810" s="7"/>
      <c r="L810" s="7"/>
      <c r="M810" s="7"/>
      <c r="N810" s="7"/>
      <c r="O810" s="7"/>
    </row>
    <row r="811">
      <c r="I811" s="7"/>
      <c r="J811" s="7"/>
      <c r="K811" s="7"/>
      <c r="L811" s="7"/>
      <c r="M811" s="7"/>
      <c r="N811" s="7"/>
      <c r="O811" s="7"/>
    </row>
    <row r="812">
      <c r="I812" s="7"/>
      <c r="J812" s="7"/>
      <c r="K812" s="7"/>
      <c r="L812" s="7"/>
      <c r="M812" s="7"/>
      <c r="N812" s="7"/>
      <c r="O812" s="7"/>
    </row>
    <row r="813">
      <c r="I813" s="7"/>
      <c r="J813" s="7"/>
      <c r="K813" s="7"/>
      <c r="L813" s="7"/>
      <c r="M813" s="7"/>
      <c r="N813" s="7"/>
      <c r="O813" s="7"/>
    </row>
    <row r="814">
      <c r="I814" s="7"/>
      <c r="J814" s="7"/>
      <c r="K814" s="7"/>
      <c r="L814" s="7"/>
      <c r="M814" s="7"/>
      <c r="N814" s="7"/>
      <c r="O814" s="7"/>
    </row>
    <row r="815">
      <c r="I815" s="7"/>
      <c r="J815" s="7"/>
      <c r="K815" s="7"/>
      <c r="L815" s="7"/>
      <c r="M815" s="7"/>
      <c r="N815" s="7"/>
      <c r="O815" s="7"/>
    </row>
    <row r="816">
      <c r="I816" s="7"/>
      <c r="J816" s="7"/>
      <c r="K816" s="7"/>
      <c r="L816" s="7"/>
      <c r="M816" s="7"/>
      <c r="N816" s="7"/>
      <c r="O816" s="7"/>
    </row>
    <row r="817">
      <c r="I817" s="7"/>
      <c r="J817" s="7"/>
      <c r="K817" s="7"/>
      <c r="L817" s="7"/>
      <c r="M817" s="7"/>
      <c r="N817" s="7"/>
      <c r="O817" s="7"/>
    </row>
    <row r="818">
      <c r="I818" s="7"/>
      <c r="J818" s="7"/>
      <c r="K818" s="7"/>
      <c r="L818" s="7"/>
      <c r="M818" s="7"/>
      <c r="N818" s="7"/>
      <c r="O818" s="7"/>
    </row>
    <row r="819">
      <c r="I819" s="7"/>
      <c r="J819" s="7"/>
      <c r="K819" s="7"/>
      <c r="L819" s="7"/>
      <c r="M819" s="7"/>
      <c r="N819" s="7"/>
      <c r="O819" s="7"/>
    </row>
    <row r="820">
      <c r="I820" s="7"/>
      <c r="J820" s="7"/>
      <c r="K820" s="7"/>
      <c r="L820" s="7"/>
      <c r="M820" s="7"/>
      <c r="N820" s="7"/>
      <c r="O820" s="7"/>
    </row>
    <row r="821">
      <c r="I821" s="7"/>
      <c r="J821" s="7"/>
      <c r="K821" s="7"/>
      <c r="L821" s="7"/>
      <c r="M821" s="7"/>
      <c r="N821" s="7"/>
      <c r="O821" s="7"/>
    </row>
    <row r="822">
      <c r="I822" s="7"/>
      <c r="J822" s="7"/>
      <c r="K822" s="7"/>
      <c r="L822" s="7"/>
      <c r="M822" s="7"/>
      <c r="N822" s="7"/>
      <c r="O822" s="7"/>
    </row>
    <row r="823">
      <c r="I823" s="7"/>
      <c r="J823" s="7"/>
      <c r="K823" s="7"/>
      <c r="L823" s="7"/>
      <c r="M823" s="7"/>
      <c r="N823" s="7"/>
      <c r="O823" s="7"/>
    </row>
    <row r="824">
      <c r="I824" s="7"/>
      <c r="J824" s="7"/>
      <c r="K824" s="7"/>
      <c r="L824" s="7"/>
      <c r="M824" s="7"/>
      <c r="N824" s="7"/>
      <c r="O824" s="7"/>
    </row>
    <row r="825">
      <c r="I825" s="7"/>
      <c r="J825" s="7"/>
      <c r="K825" s="7"/>
      <c r="L825" s="7"/>
      <c r="M825" s="7"/>
      <c r="N825" s="7"/>
      <c r="O825" s="7"/>
    </row>
    <row r="826">
      <c r="I826" s="7"/>
      <c r="J826" s="7"/>
      <c r="K826" s="7"/>
      <c r="L826" s="7"/>
      <c r="M826" s="7"/>
      <c r="N826" s="7"/>
      <c r="O826" s="7"/>
    </row>
    <row r="827">
      <c r="I827" s="7"/>
      <c r="J827" s="7"/>
      <c r="K827" s="7"/>
      <c r="L827" s="7"/>
      <c r="M827" s="7"/>
      <c r="N827" s="7"/>
      <c r="O827" s="7"/>
    </row>
    <row r="828">
      <c r="I828" s="7"/>
      <c r="J828" s="7"/>
      <c r="K828" s="7"/>
      <c r="L828" s="7"/>
      <c r="M828" s="7"/>
      <c r="N828" s="7"/>
      <c r="O828" s="7"/>
    </row>
    <row r="829">
      <c r="I829" s="7"/>
      <c r="J829" s="7"/>
      <c r="K829" s="7"/>
      <c r="L829" s="7"/>
      <c r="M829" s="7"/>
      <c r="N829" s="7"/>
      <c r="O829" s="7"/>
    </row>
    <row r="830">
      <c r="I830" s="7"/>
      <c r="J830" s="7"/>
      <c r="K830" s="7"/>
      <c r="L830" s="7"/>
      <c r="M830" s="7"/>
      <c r="N830" s="7"/>
      <c r="O830" s="7"/>
    </row>
    <row r="831">
      <c r="I831" s="7"/>
      <c r="J831" s="7"/>
      <c r="K831" s="7"/>
      <c r="L831" s="7"/>
      <c r="M831" s="7"/>
      <c r="N831" s="7"/>
      <c r="O831" s="7"/>
    </row>
    <row r="832">
      <c r="I832" s="7"/>
      <c r="J832" s="7"/>
      <c r="K832" s="7"/>
      <c r="L832" s="7"/>
      <c r="M832" s="7"/>
      <c r="N832" s="7"/>
      <c r="O832" s="7"/>
    </row>
    <row r="833">
      <c r="I833" s="7"/>
      <c r="J833" s="7"/>
      <c r="K833" s="7"/>
      <c r="L833" s="7"/>
      <c r="M833" s="7"/>
      <c r="N833" s="7"/>
      <c r="O833" s="7"/>
    </row>
    <row r="834">
      <c r="I834" s="7"/>
      <c r="J834" s="7"/>
      <c r="K834" s="7"/>
      <c r="L834" s="7"/>
      <c r="M834" s="7"/>
      <c r="N834" s="7"/>
      <c r="O834" s="7"/>
    </row>
    <row r="835">
      <c r="I835" s="7"/>
      <c r="J835" s="7"/>
      <c r="K835" s="7"/>
      <c r="L835" s="7"/>
      <c r="M835" s="7"/>
      <c r="N835" s="7"/>
      <c r="O835" s="7"/>
    </row>
    <row r="836">
      <c r="I836" s="7"/>
      <c r="J836" s="7"/>
      <c r="K836" s="7"/>
      <c r="L836" s="7"/>
      <c r="M836" s="7"/>
      <c r="N836" s="7"/>
      <c r="O836" s="7"/>
    </row>
    <row r="837">
      <c r="I837" s="7"/>
      <c r="J837" s="7"/>
      <c r="K837" s="7"/>
      <c r="L837" s="7"/>
      <c r="M837" s="7"/>
      <c r="N837" s="7"/>
      <c r="O837" s="7"/>
    </row>
    <row r="838">
      <c r="I838" s="7"/>
      <c r="J838" s="7"/>
      <c r="K838" s="7"/>
      <c r="L838" s="7"/>
      <c r="M838" s="7"/>
      <c r="N838" s="7"/>
      <c r="O838" s="7"/>
    </row>
    <row r="839">
      <c r="I839" s="7"/>
      <c r="J839" s="7"/>
      <c r="K839" s="7"/>
      <c r="L839" s="7"/>
      <c r="M839" s="7"/>
      <c r="N839" s="7"/>
      <c r="O839" s="7"/>
    </row>
    <row r="840">
      <c r="I840" s="7"/>
      <c r="J840" s="7"/>
      <c r="K840" s="7"/>
      <c r="L840" s="7"/>
      <c r="M840" s="7"/>
      <c r="N840" s="7"/>
      <c r="O840" s="7"/>
    </row>
    <row r="841">
      <c r="I841" s="7"/>
      <c r="J841" s="7"/>
      <c r="K841" s="7"/>
      <c r="L841" s="7"/>
      <c r="M841" s="7"/>
      <c r="N841" s="7"/>
      <c r="O841" s="7"/>
    </row>
    <row r="842">
      <c r="I842" s="7"/>
      <c r="J842" s="7"/>
      <c r="K842" s="7"/>
      <c r="L842" s="7"/>
      <c r="M842" s="7"/>
      <c r="N842" s="7"/>
      <c r="O842" s="7"/>
    </row>
    <row r="843">
      <c r="I843" s="7"/>
      <c r="J843" s="7"/>
      <c r="K843" s="7"/>
      <c r="L843" s="7"/>
      <c r="M843" s="7"/>
      <c r="N843" s="7"/>
      <c r="O843" s="7"/>
    </row>
    <row r="844">
      <c r="I844" s="7"/>
      <c r="J844" s="7"/>
      <c r="K844" s="7"/>
      <c r="L844" s="7"/>
      <c r="M844" s="7"/>
      <c r="N844" s="7"/>
      <c r="O844" s="7"/>
    </row>
    <row r="845">
      <c r="I845" s="7"/>
      <c r="J845" s="7"/>
      <c r="K845" s="7"/>
      <c r="L845" s="7"/>
      <c r="M845" s="7"/>
      <c r="N845" s="7"/>
      <c r="O845" s="7"/>
    </row>
    <row r="846">
      <c r="I846" s="7"/>
      <c r="J846" s="7"/>
      <c r="K846" s="7"/>
      <c r="L846" s="7"/>
      <c r="M846" s="7"/>
      <c r="N846" s="7"/>
      <c r="O846" s="7"/>
    </row>
    <row r="847">
      <c r="I847" s="7"/>
      <c r="J847" s="7"/>
      <c r="K847" s="7"/>
      <c r="L847" s="7"/>
      <c r="M847" s="7"/>
      <c r="N847" s="7"/>
      <c r="O847" s="7"/>
    </row>
    <row r="848">
      <c r="I848" s="7"/>
      <c r="J848" s="7"/>
      <c r="K848" s="7"/>
      <c r="L848" s="7"/>
      <c r="M848" s="7"/>
      <c r="N848" s="7"/>
      <c r="O848" s="7"/>
    </row>
    <row r="849">
      <c r="I849" s="7"/>
      <c r="J849" s="7"/>
      <c r="K849" s="7"/>
      <c r="L849" s="7"/>
      <c r="M849" s="7"/>
      <c r="N849" s="7"/>
      <c r="O849" s="7"/>
    </row>
    <row r="850">
      <c r="I850" s="7"/>
      <c r="J850" s="7"/>
      <c r="K850" s="7"/>
      <c r="L850" s="7"/>
      <c r="M850" s="7"/>
      <c r="N850" s="7"/>
      <c r="O850" s="7"/>
    </row>
    <row r="851">
      <c r="I851" s="7"/>
      <c r="J851" s="7"/>
      <c r="K851" s="7"/>
      <c r="L851" s="7"/>
      <c r="M851" s="7"/>
      <c r="N851" s="7"/>
      <c r="O851" s="7"/>
    </row>
    <row r="852">
      <c r="I852" s="7"/>
      <c r="J852" s="7"/>
      <c r="K852" s="7"/>
      <c r="L852" s="7"/>
      <c r="M852" s="7"/>
      <c r="N852" s="7"/>
      <c r="O852" s="7"/>
    </row>
    <row r="853">
      <c r="I853" s="7"/>
      <c r="J853" s="7"/>
      <c r="K853" s="7"/>
      <c r="L853" s="7"/>
      <c r="M853" s="7"/>
      <c r="N853" s="7"/>
      <c r="O853" s="7"/>
    </row>
    <row r="854">
      <c r="I854" s="7"/>
      <c r="J854" s="7"/>
      <c r="K854" s="7"/>
      <c r="L854" s="7"/>
      <c r="M854" s="7"/>
      <c r="N854" s="7"/>
      <c r="O854" s="7"/>
    </row>
    <row r="855">
      <c r="I855" s="7"/>
      <c r="J855" s="7"/>
      <c r="K855" s="7"/>
      <c r="L855" s="7"/>
      <c r="M855" s="7"/>
      <c r="N855" s="7"/>
      <c r="O855" s="7"/>
    </row>
    <row r="856">
      <c r="I856" s="7"/>
      <c r="J856" s="7"/>
      <c r="K856" s="7"/>
      <c r="L856" s="7"/>
      <c r="M856" s="7"/>
      <c r="N856" s="7"/>
      <c r="O856" s="7"/>
    </row>
    <row r="857">
      <c r="I857" s="7"/>
      <c r="J857" s="7"/>
      <c r="K857" s="7"/>
      <c r="L857" s="7"/>
      <c r="M857" s="7"/>
      <c r="N857" s="7"/>
      <c r="O857" s="7"/>
    </row>
    <row r="858">
      <c r="I858" s="7"/>
      <c r="J858" s="7"/>
      <c r="K858" s="7"/>
      <c r="L858" s="7"/>
      <c r="M858" s="7"/>
      <c r="N858" s="7"/>
      <c r="O858" s="7"/>
    </row>
    <row r="859">
      <c r="I859" s="7"/>
      <c r="J859" s="7"/>
      <c r="K859" s="7"/>
      <c r="L859" s="7"/>
      <c r="M859" s="7"/>
      <c r="N859" s="7"/>
      <c r="O859" s="7"/>
    </row>
    <row r="860">
      <c r="I860" s="7"/>
      <c r="J860" s="7"/>
      <c r="K860" s="7"/>
      <c r="L860" s="7"/>
      <c r="M860" s="7"/>
      <c r="N860" s="7"/>
      <c r="O860" s="7"/>
    </row>
    <row r="861">
      <c r="I861" s="7"/>
      <c r="J861" s="7"/>
      <c r="K861" s="7"/>
      <c r="L861" s="7"/>
      <c r="M861" s="7"/>
      <c r="N861" s="7"/>
      <c r="O861" s="7"/>
    </row>
    <row r="862">
      <c r="I862" s="7"/>
      <c r="J862" s="7"/>
      <c r="K862" s="7"/>
      <c r="L862" s="7"/>
      <c r="M862" s="7"/>
      <c r="N862" s="7"/>
      <c r="O862" s="7"/>
    </row>
    <row r="863">
      <c r="I863" s="7"/>
      <c r="J863" s="7"/>
      <c r="K863" s="7"/>
      <c r="L863" s="7"/>
      <c r="M863" s="7"/>
      <c r="N863" s="7"/>
      <c r="O863" s="7"/>
    </row>
    <row r="864">
      <c r="I864" s="7"/>
      <c r="J864" s="7"/>
      <c r="K864" s="7"/>
      <c r="L864" s="7"/>
      <c r="M864" s="7"/>
      <c r="N864" s="7"/>
      <c r="O864" s="7"/>
    </row>
    <row r="865">
      <c r="I865" s="7"/>
      <c r="J865" s="7"/>
      <c r="K865" s="7"/>
      <c r="L865" s="7"/>
      <c r="M865" s="7"/>
      <c r="N865" s="7"/>
      <c r="O865" s="7"/>
    </row>
    <row r="866">
      <c r="I866" s="7"/>
      <c r="J866" s="7"/>
      <c r="K866" s="7"/>
      <c r="L866" s="7"/>
      <c r="M866" s="7"/>
      <c r="N866" s="7"/>
      <c r="O866" s="7"/>
    </row>
    <row r="867">
      <c r="I867" s="7"/>
      <c r="J867" s="7"/>
      <c r="K867" s="7"/>
      <c r="L867" s="7"/>
      <c r="M867" s="7"/>
      <c r="N867" s="7"/>
      <c r="O867" s="7"/>
    </row>
    <row r="868">
      <c r="I868" s="7"/>
      <c r="J868" s="7"/>
      <c r="K868" s="7"/>
      <c r="L868" s="7"/>
      <c r="M868" s="7"/>
      <c r="N868" s="7"/>
      <c r="O868" s="7"/>
    </row>
    <row r="869">
      <c r="I869" s="7"/>
      <c r="J869" s="7"/>
      <c r="K869" s="7"/>
      <c r="L869" s="7"/>
      <c r="M869" s="7"/>
      <c r="N869" s="7"/>
      <c r="O869" s="7"/>
    </row>
    <row r="870">
      <c r="I870" s="7"/>
      <c r="J870" s="7"/>
      <c r="K870" s="7"/>
      <c r="L870" s="7"/>
      <c r="M870" s="7"/>
      <c r="N870" s="7"/>
      <c r="O870" s="7"/>
    </row>
    <row r="871">
      <c r="I871" s="7"/>
      <c r="J871" s="7"/>
      <c r="K871" s="7"/>
      <c r="L871" s="7"/>
      <c r="M871" s="7"/>
      <c r="N871" s="7"/>
      <c r="O871" s="7"/>
    </row>
    <row r="872">
      <c r="I872" s="7"/>
      <c r="J872" s="7"/>
      <c r="K872" s="7"/>
      <c r="L872" s="7"/>
      <c r="M872" s="7"/>
      <c r="N872" s="7"/>
      <c r="O872" s="7"/>
    </row>
    <row r="873">
      <c r="I873" s="7"/>
      <c r="J873" s="7"/>
      <c r="K873" s="7"/>
      <c r="L873" s="7"/>
      <c r="M873" s="7"/>
      <c r="N873" s="7"/>
      <c r="O873" s="7"/>
    </row>
    <row r="874">
      <c r="I874" s="7"/>
      <c r="J874" s="7"/>
      <c r="K874" s="7"/>
      <c r="L874" s="7"/>
      <c r="M874" s="7"/>
      <c r="N874" s="7"/>
      <c r="O874" s="7"/>
    </row>
    <row r="875">
      <c r="I875" s="7"/>
      <c r="J875" s="7"/>
      <c r="K875" s="7"/>
      <c r="L875" s="7"/>
      <c r="M875" s="7"/>
      <c r="N875" s="7"/>
      <c r="O875" s="7"/>
    </row>
    <row r="876">
      <c r="I876" s="7"/>
      <c r="J876" s="7"/>
      <c r="K876" s="7"/>
      <c r="L876" s="7"/>
      <c r="M876" s="7"/>
      <c r="N876" s="7"/>
      <c r="O876" s="7"/>
    </row>
    <row r="877">
      <c r="I877" s="7"/>
      <c r="J877" s="7"/>
      <c r="K877" s="7"/>
      <c r="L877" s="7"/>
      <c r="M877" s="7"/>
      <c r="N877" s="7"/>
      <c r="O877" s="7"/>
    </row>
    <row r="878">
      <c r="I878" s="7"/>
      <c r="J878" s="7"/>
      <c r="K878" s="7"/>
      <c r="L878" s="7"/>
      <c r="M878" s="7"/>
      <c r="N878" s="7"/>
      <c r="O878" s="7"/>
    </row>
    <row r="879">
      <c r="I879" s="7"/>
      <c r="J879" s="7"/>
      <c r="K879" s="7"/>
      <c r="L879" s="7"/>
      <c r="M879" s="7"/>
      <c r="N879" s="7"/>
      <c r="O879" s="7"/>
    </row>
    <row r="880">
      <c r="I880" s="7"/>
      <c r="J880" s="7"/>
      <c r="K880" s="7"/>
      <c r="L880" s="7"/>
      <c r="M880" s="7"/>
      <c r="N880" s="7"/>
      <c r="O880" s="7"/>
    </row>
    <row r="881">
      <c r="I881" s="7"/>
      <c r="J881" s="7"/>
      <c r="K881" s="7"/>
      <c r="L881" s="7"/>
      <c r="M881" s="7"/>
      <c r="N881" s="7"/>
      <c r="O881" s="7"/>
    </row>
    <row r="882">
      <c r="I882" s="7"/>
      <c r="J882" s="7"/>
      <c r="K882" s="7"/>
      <c r="L882" s="7"/>
      <c r="M882" s="7"/>
      <c r="N882" s="7"/>
      <c r="O882" s="7"/>
    </row>
    <row r="883">
      <c r="I883" s="7"/>
      <c r="J883" s="7"/>
      <c r="K883" s="7"/>
      <c r="L883" s="7"/>
      <c r="M883" s="7"/>
      <c r="N883" s="7"/>
      <c r="O883" s="7"/>
    </row>
    <row r="884">
      <c r="I884" s="7"/>
      <c r="J884" s="7"/>
      <c r="K884" s="7"/>
      <c r="L884" s="7"/>
      <c r="M884" s="7"/>
      <c r="N884" s="7"/>
      <c r="O884" s="7"/>
    </row>
    <row r="885">
      <c r="I885" s="7"/>
      <c r="J885" s="7"/>
      <c r="K885" s="7"/>
      <c r="L885" s="7"/>
      <c r="M885" s="7"/>
      <c r="N885" s="7"/>
      <c r="O885" s="7"/>
    </row>
    <row r="886">
      <c r="I886" s="7"/>
      <c r="J886" s="7"/>
      <c r="K886" s="7"/>
      <c r="L886" s="7"/>
      <c r="M886" s="7"/>
      <c r="N886" s="7"/>
      <c r="O886" s="7"/>
    </row>
    <row r="887">
      <c r="I887" s="7"/>
      <c r="J887" s="7"/>
      <c r="K887" s="7"/>
      <c r="L887" s="7"/>
      <c r="M887" s="7"/>
      <c r="N887" s="7"/>
      <c r="O887" s="7"/>
    </row>
    <row r="888">
      <c r="I888" s="7"/>
      <c r="J888" s="7"/>
      <c r="K888" s="7"/>
      <c r="L888" s="7"/>
      <c r="M888" s="7"/>
      <c r="N888" s="7"/>
      <c r="O888" s="7"/>
    </row>
    <row r="889">
      <c r="I889" s="7"/>
      <c r="J889" s="7"/>
      <c r="K889" s="7"/>
      <c r="L889" s="7"/>
      <c r="M889" s="7"/>
      <c r="N889" s="7"/>
      <c r="O889" s="7"/>
    </row>
    <row r="890">
      <c r="I890" s="7"/>
      <c r="J890" s="7"/>
      <c r="K890" s="7"/>
      <c r="L890" s="7"/>
      <c r="M890" s="7"/>
      <c r="N890" s="7"/>
      <c r="O890" s="7"/>
    </row>
    <row r="891">
      <c r="I891" s="7"/>
      <c r="J891" s="7"/>
      <c r="K891" s="7"/>
      <c r="L891" s="7"/>
      <c r="M891" s="7"/>
      <c r="N891" s="7"/>
      <c r="O891" s="7"/>
    </row>
    <row r="892">
      <c r="I892" s="7"/>
      <c r="J892" s="7"/>
      <c r="K892" s="7"/>
      <c r="L892" s="7"/>
      <c r="M892" s="7"/>
      <c r="N892" s="7"/>
      <c r="O892" s="7"/>
    </row>
    <row r="893">
      <c r="I893" s="7"/>
      <c r="J893" s="7"/>
      <c r="K893" s="7"/>
      <c r="L893" s="7"/>
      <c r="M893" s="7"/>
      <c r="N893" s="7"/>
      <c r="O893" s="7"/>
    </row>
    <row r="894">
      <c r="I894" s="7"/>
      <c r="J894" s="7"/>
      <c r="K894" s="7"/>
      <c r="L894" s="7"/>
      <c r="M894" s="7"/>
      <c r="N894" s="7"/>
      <c r="O894" s="7"/>
    </row>
    <row r="895">
      <c r="I895" s="7"/>
      <c r="J895" s="7"/>
      <c r="K895" s="7"/>
      <c r="L895" s="7"/>
      <c r="M895" s="7"/>
      <c r="N895" s="7"/>
      <c r="O895" s="7"/>
    </row>
    <row r="896">
      <c r="I896" s="7"/>
      <c r="J896" s="7"/>
      <c r="K896" s="7"/>
      <c r="L896" s="7"/>
      <c r="M896" s="7"/>
      <c r="N896" s="7"/>
      <c r="O896" s="7"/>
    </row>
    <row r="897">
      <c r="I897" s="7"/>
      <c r="J897" s="7"/>
      <c r="K897" s="7"/>
      <c r="L897" s="7"/>
      <c r="M897" s="7"/>
      <c r="N897" s="7"/>
      <c r="O897" s="7"/>
    </row>
    <row r="898">
      <c r="I898" s="7"/>
      <c r="J898" s="7"/>
      <c r="K898" s="7"/>
      <c r="L898" s="7"/>
      <c r="M898" s="7"/>
      <c r="N898" s="7"/>
      <c r="O898" s="7"/>
    </row>
    <row r="899">
      <c r="I899" s="7"/>
      <c r="J899" s="7"/>
      <c r="K899" s="7"/>
      <c r="L899" s="7"/>
      <c r="M899" s="7"/>
      <c r="N899" s="7"/>
      <c r="O899" s="7"/>
    </row>
    <row r="900">
      <c r="I900" s="7"/>
      <c r="J900" s="7"/>
      <c r="K900" s="7"/>
      <c r="L900" s="7"/>
      <c r="M900" s="7"/>
      <c r="N900" s="7"/>
      <c r="O900" s="7"/>
    </row>
    <row r="901">
      <c r="I901" s="7"/>
      <c r="J901" s="7"/>
      <c r="K901" s="7"/>
      <c r="L901" s="7"/>
      <c r="M901" s="7"/>
      <c r="N901" s="7"/>
      <c r="O901" s="7"/>
    </row>
    <row r="902">
      <c r="I902" s="7"/>
      <c r="J902" s="7"/>
      <c r="K902" s="7"/>
      <c r="L902" s="7"/>
      <c r="M902" s="7"/>
      <c r="N902" s="7"/>
      <c r="O902" s="7"/>
    </row>
    <row r="903">
      <c r="I903" s="7"/>
      <c r="J903" s="7"/>
      <c r="K903" s="7"/>
      <c r="L903" s="7"/>
      <c r="M903" s="7"/>
      <c r="N903" s="7"/>
      <c r="O903" s="7"/>
    </row>
    <row r="904">
      <c r="I904" s="7"/>
      <c r="J904" s="7"/>
      <c r="K904" s="7"/>
      <c r="L904" s="7"/>
      <c r="M904" s="7"/>
      <c r="N904" s="7"/>
      <c r="O904" s="7"/>
    </row>
    <row r="905">
      <c r="I905" s="7"/>
      <c r="J905" s="7"/>
      <c r="K905" s="7"/>
      <c r="L905" s="7"/>
      <c r="M905" s="7"/>
      <c r="N905" s="7"/>
      <c r="O905" s="7"/>
    </row>
    <row r="906">
      <c r="I906" s="7"/>
      <c r="J906" s="7"/>
      <c r="K906" s="7"/>
      <c r="L906" s="7"/>
      <c r="M906" s="7"/>
      <c r="N906" s="7"/>
      <c r="O906" s="7"/>
    </row>
    <row r="907">
      <c r="I907" s="7"/>
      <c r="J907" s="7"/>
      <c r="K907" s="7"/>
      <c r="L907" s="7"/>
      <c r="M907" s="7"/>
      <c r="N907" s="7"/>
      <c r="O907" s="7"/>
    </row>
    <row r="908">
      <c r="I908" s="7"/>
      <c r="J908" s="7"/>
      <c r="K908" s="7"/>
      <c r="L908" s="7"/>
      <c r="M908" s="7"/>
      <c r="N908" s="7"/>
      <c r="O908" s="7"/>
    </row>
    <row r="909">
      <c r="I909" s="7"/>
      <c r="J909" s="7"/>
      <c r="K909" s="7"/>
      <c r="L909" s="7"/>
      <c r="M909" s="7"/>
      <c r="N909" s="7"/>
      <c r="O909" s="7"/>
    </row>
    <row r="910">
      <c r="I910" s="7"/>
      <c r="J910" s="7"/>
      <c r="K910" s="7"/>
      <c r="L910" s="7"/>
      <c r="M910" s="7"/>
      <c r="N910" s="7"/>
      <c r="O910" s="7"/>
    </row>
    <row r="911">
      <c r="I911" s="7"/>
      <c r="J911" s="7"/>
      <c r="K911" s="7"/>
      <c r="L911" s="7"/>
      <c r="M911" s="7"/>
      <c r="N911" s="7"/>
      <c r="O911" s="7"/>
    </row>
    <row r="912">
      <c r="I912" s="7"/>
      <c r="J912" s="7"/>
      <c r="K912" s="7"/>
      <c r="L912" s="7"/>
      <c r="M912" s="7"/>
      <c r="N912" s="7"/>
      <c r="O912" s="7"/>
    </row>
    <row r="913">
      <c r="I913" s="7"/>
      <c r="J913" s="7"/>
      <c r="K913" s="7"/>
      <c r="L913" s="7"/>
      <c r="M913" s="7"/>
      <c r="N913" s="7"/>
      <c r="O913" s="7"/>
    </row>
    <row r="914">
      <c r="I914" s="7"/>
      <c r="J914" s="7"/>
      <c r="K914" s="7"/>
      <c r="L914" s="7"/>
      <c r="M914" s="7"/>
      <c r="N914" s="7"/>
      <c r="O914" s="7"/>
    </row>
    <row r="915">
      <c r="I915" s="7"/>
      <c r="J915" s="7"/>
      <c r="K915" s="7"/>
      <c r="L915" s="7"/>
      <c r="M915" s="7"/>
      <c r="N915" s="7"/>
      <c r="O915" s="7"/>
    </row>
    <row r="916">
      <c r="I916" s="7"/>
      <c r="J916" s="7"/>
      <c r="K916" s="7"/>
      <c r="L916" s="7"/>
      <c r="M916" s="7"/>
      <c r="N916" s="7"/>
      <c r="O916" s="7"/>
    </row>
    <row r="917">
      <c r="I917" s="7"/>
      <c r="J917" s="7"/>
      <c r="K917" s="7"/>
      <c r="L917" s="7"/>
      <c r="M917" s="7"/>
      <c r="N917" s="7"/>
      <c r="O917" s="7"/>
    </row>
    <row r="918">
      <c r="I918" s="7"/>
      <c r="J918" s="7"/>
      <c r="K918" s="7"/>
      <c r="L918" s="7"/>
      <c r="M918" s="7"/>
      <c r="N918" s="7"/>
      <c r="O918" s="7"/>
    </row>
    <row r="919">
      <c r="I919" s="7"/>
      <c r="J919" s="7"/>
      <c r="K919" s="7"/>
      <c r="L919" s="7"/>
      <c r="M919" s="7"/>
      <c r="N919" s="7"/>
      <c r="O919" s="7"/>
    </row>
    <row r="920">
      <c r="I920" s="7"/>
      <c r="J920" s="7"/>
      <c r="K920" s="7"/>
      <c r="L920" s="7"/>
      <c r="M920" s="7"/>
      <c r="N920" s="7"/>
      <c r="O920" s="7"/>
    </row>
    <row r="921">
      <c r="I921" s="7"/>
      <c r="J921" s="7"/>
      <c r="K921" s="7"/>
      <c r="L921" s="7"/>
      <c r="M921" s="7"/>
      <c r="N921" s="7"/>
      <c r="O921" s="7"/>
    </row>
    <row r="922">
      <c r="I922" s="7"/>
      <c r="J922" s="7"/>
      <c r="K922" s="7"/>
      <c r="L922" s="7"/>
      <c r="M922" s="7"/>
      <c r="N922" s="7"/>
      <c r="O922" s="7"/>
    </row>
    <row r="923">
      <c r="I923" s="7"/>
      <c r="J923" s="7"/>
      <c r="K923" s="7"/>
      <c r="L923" s="7"/>
      <c r="M923" s="7"/>
      <c r="N923" s="7"/>
      <c r="O923" s="7"/>
    </row>
    <row r="924">
      <c r="I924" s="7"/>
      <c r="J924" s="7"/>
      <c r="K924" s="7"/>
      <c r="L924" s="7"/>
      <c r="M924" s="7"/>
      <c r="N924" s="7"/>
      <c r="O924" s="7"/>
    </row>
    <row r="925">
      <c r="I925" s="7"/>
      <c r="J925" s="7"/>
      <c r="K925" s="7"/>
      <c r="L925" s="7"/>
      <c r="M925" s="7"/>
      <c r="N925" s="7"/>
      <c r="O925" s="7"/>
    </row>
    <row r="926">
      <c r="I926" s="7"/>
      <c r="J926" s="7"/>
      <c r="K926" s="7"/>
      <c r="L926" s="7"/>
      <c r="M926" s="7"/>
      <c r="N926" s="7"/>
      <c r="O926" s="7"/>
    </row>
    <row r="927">
      <c r="I927" s="7"/>
      <c r="J927" s="7"/>
      <c r="K927" s="7"/>
      <c r="L927" s="7"/>
      <c r="M927" s="7"/>
      <c r="N927" s="7"/>
      <c r="O927" s="7"/>
    </row>
    <row r="928">
      <c r="I928" s="7"/>
      <c r="J928" s="7"/>
      <c r="K928" s="7"/>
      <c r="L928" s="7"/>
      <c r="M928" s="7"/>
      <c r="N928" s="7"/>
      <c r="O928" s="7"/>
    </row>
    <row r="929">
      <c r="I929" s="7"/>
      <c r="J929" s="7"/>
      <c r="K929" s="7"/>
      <c r="L929" s="7"/>
      <c r="M929" s="7"/>
      <c r="N929" s="7"/>
      <c r="O929" s="7"/>
    </row>
    <row r="930">
      <c r="I930" s="7"/>
      <c r="J930" s="7"/>
      <c r="K930" s="7"/>
      <c r="L930" s="7"/>
      <c r="M930" s="7"/>
      <c r="N930" s="7"/>
      <c r="O930" s="7"/>
    </row>
    <row r="931">
      <c r="I931" s="7"/>
      <c r="J931" s="7"/>
      <c r="K931" s="7"/>
      <c r="L931" s="7"/>
      <c r="M931" s="7"/>
      <c r="N931" s="7"/>
      <c r="O931" s="7"/>
    </row>
    <row r="932">
      <c r="I932" s="7"/>
      <c r="J932" s="7"/>
      <c r="K932" s="7"/>
      <c r="L932" s="7"/>
      <c r="M932" s="7"/>
      <c r="N932" s="7"/>
      <c r="O932" s="7"/>
    </row>
    <row r="933">
      <c r="I933" s="7"/>
      <c r="J933" s="7"/>
      <c r="K933" s="7"/>
      <c r="L933" s="7"/>
      <c r="M933" s="7"/>
      <c r="N933" s="7"/>
      <c r="O933" s="7"/>
    </row>
    <row r="934">
      <c r="I934" s="7"/>
      <c r="J934" s="7"/>
      <c r="K934" s="7"/>
      <c r="L934" s="7"/>
      <c r="M934" s="7"/>
      <c r="N934" s="7"/>
      <c r="O934" s="7"/>
    </row>
    <row r="935">
      <c r="I935" s="7"/>
      <c r="J935" s="7"/>
      <c r="K935" s="7"/>
      <c r="L935" s="7"/>
      <c r="M935" s="7"/>
      <c r="N935" s="7"/>
      <c r="O935" s="7"/>
    </row>
    <row r="936">
      <c r="I936" s="7"/>
      <c r="J936" s="7"/>
      <c r="K936" s="7"/>
      <c r="L936" s="7"/>
      <c r="M936" s="7"/>
      <c r="N936" s="7"/>
      <c r="O936" s="7"/>
    </row>
    <row r="937">
      <c r="I937" s="7"/>
      <c r="J937" s="7"/>
      <c r="K937" s="7"/>
      <c r="L937" s="7"/>
      <c r="M937" s="7"/>
      <c r="N937" s="7"/>
      <c r="O937" s="7"/>
    </row>
    <row r="938">
      <c r="I938" s="7"/>
      <c r="J938" s="7"/>
      <c r="K938" s="7"/>
      <c r="L938" s="7"/>
      <c r="M938" s="7"/>
      <c r="N938" s="7"/>
      <c r="O938" s="7"/>
    </row>
    <row r="939">
      <c r="I939" s="7"/>
      <c r="J939" s="7"/>
      <c r="K939" s="7"/>
      <c r="L939" s="7"/>
      <c r="M939" s="7"/>
      <c r="N939" s="7"/>
      <c r="O939" s="7"/>
    </row>
    <row r="940">
      <c r="I940" s="7"/>
      <c r="J940" s="7"/>
      <c r="K940" s="7"/>
      <c r="L940" s="7"/>
      <c r="M940" s="7"/>
      <c r="N940" s="7"/>
      <c r="O940" s="7"/>
    </row>
    <row r="941">
      <c r="I941" s="7"/>
      <c r="J941" s="7"/>
      <c r="K941" s="7"/>
      <c r="L941" s="7"/>
      <c r="M941" s="7"/>
      <c r="N941" s="7"/>
      <c r="O941" s="7"/>
    </row>
    <row r="942">
      <c r="I942" s="7"/>
      <c r="J942" s="7"/>
      <c r="K942" s="7"/>
      <c r="L942" s="7"/>
      <c r="M942" s="7"/>
      <c r="N942" s="7"/>
      <c r="O942" s="7"/>
    </row>
    <row r="943">
      <c r="I943" s="7"/>
      <c r="J943" s="7"/>
      <c r="K943" s="7"/>
      <c r="L943" s="7"/>
      <c r="M943" s="7"/>
      <c r="N943" s="7"/>
      <c r="O943" s="7"/>
    </row>
    <row r="944">
      <c r="I944" s="7"/>
      <c r="J944" s="7"/>
      <c r="K944" s="7"/>
      <c r="L944" s="7"/>
      <c r="M944" s="7"/>
      <c r="N944" s="7"/>
      <c r="O944" s="7"/>
    </row>
    <row r="945">
      <c r="I945" s="7"/>
      <c r="J945" s="7"/>
      <c r="K945" s="7"/>
      <c r="L945" s="7"/>
      <c r="M945" s="7"/>
      <c r="N945" s="7"/>
      <c r="O945" s="7"/>
    </row>
    <row r="946">
      <c r="I946" s="7"/>
      <c r="J946" s="7"/>
      <c r="K946" s="7"/>
      <c r="L946" s="7"/>
      <c r="M946" s="7"/>
      <c r="N946" s="7"/>
      <c r="O946" s="7"/>
    </row>
    <row r="947">
      <c r="I947" s="7"/>
      <c r="J947" s="7"/>
      <c r="K947" s="7"/>
      <c r="L947" s="7"/>
      <c r="M947" s="7"/>
      <c r="N947" s="7"/>
      <c r="O947" s="7"/>
    </row>
    <row r="948">
      <c r="I948" s="7"/>
      <c r="J948" s="7"/>
      <c r="K948" s="7"/>
      <c r="L948" s="7"/>
      <c r="M948" s="7"/>
      <c r="N948" s="7"/>
      <c r="O948" s="7"/>
    </row>
    <row r="949">
      <c r="I949" s="7"/>
      <c r="J949" s="7"/>
      <c r="K949" s="7"/>
      <c r="L949" s="7"/>
      <c r="M949" s="7"/>
      <c r="N949" s="7"/>
      <c r="O949" s="7"/>
    </row>
    <row r="950">
      <c r="I950" s="7"/>
      <c r="J950" s="7"/>
      <c r="K950" s="7"/>
      <c r="L950" s="7"/>
      <c r="M950" s="7"/>
      <c r="N950" s="7"/>
      <c r="O950" s="7"/>
    </row>
    <row r="951">
      <c r="I951" s="7"/>
      <c r="J951" s="7"/>
      <c r="K951" s="7"/>
      <c r="L951" s="7"/>
      <c r="M951" s="7"/>
      <c r="N951" s="7"/>
      <c r="O951" s="7"/>
    </row>
    <row r="952">
      <c r="I952" s="7"/>
      <c r="J952" s="7"/>
      <c r="K952" s="7"/>
      <c r="L952" s="7"/>
      <c r="M952" s="7"/>
      <c r="N952" s="7"/>
      <c r="O952" s="7"/>
    </row>
    <row r="953">
      <c r="I953" s="7"/>
      <c r="J953" s="7"/>
      <c r="K953" s="7"/>
      <c r="L953" s="7"/>
      <c r="M953" s="7"/>
      <c r="N953" s="7"/>
      <c r="O953" s="7"/>
    </row>
    <row r="954">
      <c r="I954" s="7"/>
      <c r="J954" s="7"/>
      <c r="K954" s="7"/>
      <c r="L954" s="7"/>
      <c r="M954" s="7"/>
      <c r="N954" s="7"/>
      <c r="O954" s="7"/>
    </row>
    <row r="955">
      <c r="I955" s="7"/>
      <c r="J955" s="7"/>
      <c r="K955" s="7"/>
      <c r="L955" s="7"/>
      <c r="M955" s="7"/>
      <c r="N955" s="7"/>
      <c r="O955" s="7"/>
    </row>
    <row r="956">
      <c r="I956" s="7"/>
      <c r="J956" s="7"/>
      <c r="K956" s="7"/>
      <c r="L956" s="7"/>
      <c r="M956" s="7"/>
      <c r="N956" s="7"/>
      <c r="O956" s="7"/>
    </row>
    <row r="957">
      <c r="I957" s="7"/>
      <c r="J957" s="7"/>
      <c r="K957" s="7"/>
      <c r="L957" s="7"/>
      <c r="M957" s="7"/>
      <c r="N957" s="7"/>
      <c r="O957" s="7"/>
    </row>
    <row r="958">
      <c r="I958" s="7"/>
      <c r="J958" s="7"/>
      <c r="K958" s="7"/>
      <c r="L958" s="7"/>
      <c r="M958" s="7"/>
      <c r="N958" s="7"/>
      <c r="O958" s="7"/>
    </row>
    <row r="959">
      <c r="I959" s="7"/>
      <c r="J959" s="7"/>
      <c r="K959" s="7"/>
      <c r="L959" s="7"/>
      <c r="M959" s="7"/>
      <c r="N959" s="7"/>
      <c r="O959" s="7"/>
    </row>
    <row r="960">
      <c r="I960" s="7"/>
      <c r="J960" s="7"/>
      <c r="K960" s="7"/>
      <c r="L960" s="7"/>
      <c r="M960" s="7"/>
      <c r="N960" s="7"/>
      <c r="O960" s="7"/>
    </row>
    <row r="961">
      <c r="I961" s="7"/>
      <c r="J961" s="7"/>
      <c r="K961" s="7"/>
      <c r="L961" s="7"/>
      <c r="M961" s="7"/>
      <c r="N961" s="7"/>
      <c r="O961" s="7"/>
    </row>
    <row r="962">
      <c r="I962" s="7"/>
      <c r="J962" s="7"/>
      <c r="K962" s="7"/>
      <c r="L962" s="7"/>
      <c r="M962" s="7"/>
      <c r="N962" s="7"/>
      <c r="O962" s="7"/>
    </row>
    <row r="963">
      <c r="I963" s="7"/>
      <c r="J963" s="7"/>
      <c r="K963" s="7"/>
      <c r="L963" s="7"/>
      <c r="M963" s="7"/>
      <c r="N963" s="7"/>
      <c r="O963" s="7"/>
    </row>
    <row r="964">
      <c r="I964" s="7"/>
      <c r="J964" s="7"/>
      <c r="K964" s="7"/>
      <c r="L964" s="7"/>
      <c r="M964" s="7"/>
      <c r="N964" s="7"/>
      <c r="O964" s="7"/>
    </row>
    <row r="965">
      <c r="I965" s="7"/>
      <c r="J965" s="7"/>
      <c r="K965" s="7"/>
      <c r="L965" s="7"/>
      <c r="M965" s="7"/>
      <c r="N965" s="7"/>
      <c r="O965" s="7"/>
    </row>
    <row r="966">
      <c r="I966" s="7"/>
      <c r="J966" s="7"/>
      <c r="K966" s="7"/>
      <c r="L966" s="7"/>
      <c r="M966" s="7"/>
      <c r="N966" s="7"/>
      <c r="O966" s="7"/>
    </row>
    <row r="967">
      <c r="I967" s="7"/>
      <c r="J967" s="7"/>
      <c r="K967" s="7"/>
      <c r="L967" s="7"/>
      <c r="M967" s="7"/>
      <c r="N967" s="7"/>
      <c r="O967" s="7"/>
    </row>
    <row r="968">
      <c r="I968" s="7"/>
      <c r="J968" s="7"/>
      <c r="K968" s="7"/>
      <c r="L968" s="7"/>
      <c r="M968" s="7"/>
      <c r="N968" s="7"/>
      <c r="O968" s="7"/>
    </row>
    <row r="969">
      <c r="I969" s="7"/>
      <c r="J969" s="7"/>
      <c r="K969" s="7"/>
      <c r="L969" s="7"/>
      <c r="M969" s="7"/>
      <c r="N969" s="7"/>
      <c r="O969" s="7"/>
    </row>
    <row r="970">
      <c r="I970" s="7"/>
      <c r="J970" s="7"/>
      <c r="K970" s="7"/>
      <c r="L970" s="7"/>
      <c r="M970" s="7"/>
      <c r="N970" s="7"/>
      <c r="O970" s="7"/>
    </row>
    <row r="971">
      <c r="I971" s="7"/>
      <c r="J971" s="7"/>
      <c r="K971" s="7"/>
      <c r="L971" s="7"/>
      <c r="M971" s="7"/>
      <c r="N971" s="7"/>
      <c r="O971" s="7"/>
    </row>
    <row r="972">
      <c r="I972" s="7"/>
      <c r="J972" s="7"/>
      <c r="K972" s="7"/>
      <c r="L972" s="7"/>
      <c r="M972" s="7"/>
      <c r="N972" s="7"/>
      <c r="O972" s="7"/>
    </row>
    <row r="973">
      <c r="I973" s="7"/>
      <c r="J973" s="7"/>
      <c r="K973" s="7"/>
      <c r="L973" s="7"/>
      <c r="M973" s="7"/>
      <c r="N973" s="7"/>
      <c r="O973" s="7"/>
    </row>
    <row r="974">
      <c r="I974" s="7"/>
      <c r="J974" s="7"/>
      <c r="K974" s="7"/>
      <c r="L974" s="7"/>
      <c r="M974" s="7"/>
      <c r="N974" s="7"/>
      <c r="O974" s="7"/>
    </row>
    <row r="975">
      <c r="I975" s="7"/>
      <c r="J975" s="7"/>
      <c r="K975" s="7"/>
      <c r="L975" s="7"/>
      <c r="M975" s="7"/>
      <c r="N975" s="7"/>
      <c r="O975" s="7"/>
    </row>
    <row r="976">
      <c r="I976" s="7"/>
      <c r="J976" s="7"/>
      <c r="K976" s="7"/>
      <c r="L976" s="7"/>
      <c r="M976" s="7"/>
      <c r="N976" s="7"/>
      <c r="O976" s="7"/>
    </row>
    <row r="977">
      <c r="I977" s="7"/>
      <c r="J977" s="7"/>
      <c r="K977" s="7"/>
      <c r="L977" s="7"/>
      <c r="M977" s="7"/>
      <c r="N977" s="7"/>
      <c r="O977" s="7"/>
    </row>
    <row r="978">
      <c r="I978" s="7"/>
      <c r="J978" s="7"/>
      <c r="K978" s="7"/>
      <c r="L978" s="7"/>
      <c r="M978" s="7"/>
      <c r="N978" s="7"/>
      <c r="O978" s="7"/>
    </row>
    <row r="979">
      <c r="I979" s="7"/>
      <c r="J979" s="7"/>
      <c r="K979" s="7"/>
      <c r="L979" s="7"/>
      <c r="M979" s="7"/>
      <c r="N979" s="7"/>
      <c r="O979" s="7"/>
    </row>
    <row r="980">
      <c r="I980" s="7"/>
      <c r="J980" s="7"/>
      <c r="K980" s="7"/>
      <c r="L980" s="7"/>
      <c r="M980" s="7"/>
      <c r="N980" s="7"/>
      <c r="O980" s="7"/>
    </row>
    <row r="981">
      <c r="I981" s="7"/>
      <c r="J981" s="7"/>
      <c r="K981" s="7"/>
      <c r="L981" s="7"/>
      <c r="M981" s="7"/>
      <c r="N981" s="7"/>
      <c r="O981" s="7"/>
    </row>
    <row r="982">
      <c r="I982" s="7"/>
      <c r="J982" s="7"/>
      <c r="K982" s="7"/>
      <c r="L982" s="7"/>
      <c r="M982" s="7"/>
      <c r="N982" s="7"/>
      <c r="O982" s="7"/>
    </row>
    <row r="983">
      <c r="I983" s="7"/>
      <c r="J983" s="7"/>
      <c r="K983" s="7"/>
      <c r="L983" s="7"/>
      <c r="M983" s="7"/>
      <c r="N983" s="7"/>
      <c r="O983" s="7"/>
    </row>
    <row r="984">
      <c r="I984" s="7"/>
      <c r="J984" s="7"/>
      <c r="K984" s="7"/>
      <c r="L984" s="7"/>
      <c r="M984" s="7"/>
      <c r="N984" s="7"/>
      <c r="O984" s="7"/>
    </row>
    <row r="985">
      <c r="I985" s="7"/>
      <c r="J985" s="7"/>
      <c r="K985" s="7"/>
      <c r="L985" s="7"/>
      <c r="M985" s="7"/>
      <c r="N985" s="7"/>
      <c r="O985" s="7"/>
    </row>
    <row r="986">
      <c r="I986" s="7"/>
      <c r="J986" s="7"/>
      <c r="K986" s="7"/>
      <c r="L986" s="7"/>
      <c r="M986" s="7"/>
      <c r="N986" s="7"/>
      <c r="O986" s="7"/>
    </row>
    <row r="987">
      <c r="I987" s="7"/>
      <c r="J987" s="7"/>
      <c r="K987" s="7"/>
      <c r="L987" s="7"/>
      <c r="M987" s="7"/>
      <c r="N987" s="7"/>
      <c r="O987" s="7"/>
    </row>
    <row r="988">
      <c r="I988" s="7"/>
      <c r="J988" s="7"/>
      <c r="K988" s="7"/>
      <c r="L988" s="7"/>
      <c r="M988" s="7"/>
      <c r="N988" s="7"/>
      <c r="O988" s="7"/>
    </row>
    <row r="989">
      <c r="I989" s="7"/>
      <c r="J989" s="7"/>
      <c r="K989" s="7"/>
      <c r="L989" s="7"/>
      <c r="M989" s="7"/>
      <c r="N989" s="7"/>
      <c r="O989" s="7"/>
    </row>
    <row r="990">
      <c r="I990" s="7"/>
      <c r="J990" s="7"/>
      <c r="K990" s="7"/>
      <c r="L990" s="7"/>
      <c r="M990" s="7"/>
      <c r="N990" s="7"/>
      <c r="O990" s="7"/>
    </row>
    <row r="991">
      <c r="I991" s="7"/>
      <c r="J991" s="7"/>
      <c r="K991" s="7"/>
      <c r="L991" s="7"/>
      <c r="M991" s="7"/>
      <c r="N991" s="7"/>
      <c r="O991" s="7"/>
    </row>
    <row r="992">
      <c r="I992" s="7"/>
      <c r="J992" s="7"/>
      <c r="K992" s="7"/>
      <c r="L992" s="7"/>
      <c r="M992" s="7"/>
      <c r="N992" s="7"/>
      <c r="O992" s="7"/>
    </row>
    <row r="993">
      <c r="I993" s="7"/>
      <c r="J993" s="7"/>
      <c r="K993" s="7"/>
      <c r="L993" s="7"/>
      <c r="M993" s="7"/>
      <c r="N993" s="7"/>
      <c r="O993" s="7"/>
    </row>
    <row r="994">
      <c r="I994" s="7"/>
      <c r="J994" s="7"/>
      <c r="K994" s="7"/>
      <c r="L994" s="7"/>
      <c r="M994" s="7"/>
      <c r="N994" s="7"/>
      <c r="O994" s="7"/>
    </row>
    <row r="995">
      <c r="I995" s="7"/>
      <c r="J995" s="7"/>
      <c r="K995" s="7"/>
      <c r="L995" s="7"/>
      <c r="M995" s="7"/>
      <c r="N995" s="7"/>
      <c r="O995" s="7"/>
    </row>
    <row r="996">
      <c r="I996" s="7"/>
      <c r="J996" s="7"/>
      <c r="K996" s="7"/>
      <c r="L996" s="7"/>
      <c r="M996" s="7"/>
      <c r="N996" s="7"/>
      <c r="O996" s="7"/>
    </row>
    <row r="997">
      <c r="I997" s="7"/>
      <c r="J997" s="7"/>
      <c r="K997" s="7"/>
      <c r="L997" s="7"/>
      <c r="M997" s="7"/>
      <c r="N997" s="7"/>
      <c r="O997" s="7"/>
    </row>
    <row r="998">
      <c r="I998" s="7"/>
      <c r="J998" s="7"/>
      <c r="K998" s="7"/>
      <c r="L998" s="7"/>
      <c r="M998" s="7"/>
      <c r="N998" s="7"/>
      <c r="O998" s="7"/>
    </row>
    <row r="999">
      <c r="I999" s="7"/>
      <c r="J999" s="7"/>
      <c r="K999" s="7"/>
      <c r="L999" s="7"/>
      <c r="M999" s="7"/>
      <c r="N999" s="7"/>
      <c r="O999" s="7"/>
    </row>
    <row r="1000">
      <c r="I1000" s="7"/>
      <c r="J1000" s="7"/>
      <c r="K1000" s="7"/>
      <c r="L1000" s="7"/>
      <c r="M1000" s="7"/>
      <c r="N1000" s="7"/>
      <c r="O1000" s="7"/>
    </row>
    <row r="1001">
      <c r="I1001" s="7"/>
      <c r="J1001" s="7"/>
      <c r="K1001" s="7"/>
      <c r="L1001" s="7"/>
      <c r="M1001" s="7"/>
      <c r="N1001" s="7"/>
      <c r="O1001" s="7"/>
    </row>
    <row r="1002">
      <c r="I1002" s="7"/>
      <c r="J1002" s="7"/>
      <c r="K1002" s="7"/>
      <c r="L1002" s="7"/>
      <c r="M1002" s="7"/>
      <c r="N1002" s="7"/>
      <c r="O1002" s="7"/>
    </row>
    <row r="1003">
      <c r="I1003" s="7"/>
      <c r="J1003" s="7"/>
      <c r="K1003" s="7"/>
      <c r="L1003" s="7"/>
      <c r="M1003" s="7"/>
      <c r="N1003" s="7"/>
      <c r="O1003" s="7"/>
    </row>
    <row r="1004">
      <c r="I1004" s="7"/>
      <c r="J1004" s="7"/>
      <c r="K1004" s="7"/>
      <c r="L1004" s="7"/>
      <c r="M1004" s="7"/>
      <c r="N1004" s="7"/>
      <c r="O1004" s="7"/>
    </row>
    <row r="1005">
      <c r="I1005" s="7"/>
      <c r="J1005" s="7"/>
      <c r="K1005" s="7"/>
      <c r="L1005" s="7"/>
      <c r="M1005" s="7"/>
      <c r="N1005" s="7"/>
      <c r="O1005" s="7"/>
    </row>
    <row r="1006">
      <c r="I1006" s="7"/>
      <c r="J1006" s="7"/>
      <c r="K1006" s="7"/>
      <c r="L1006" s="7"/>
      <c r="M1006" s="7"/>
      <c r="N1006" s="7"/>
      <c r="O1006" s="7"/>
    </row>
    <row r="1007">
      <c r="I1007" s="7"/>
      <c r="J1007" s="7"/>
      <c r="K1007" s="7"/>
      <c r="L1007" s="7"/>
      <c r="M1007" s="7"/>
      <c r="N1007" s="7"/>
      <c r="O1007" s="7"/>
    </row>
    <row r="1008">
      <c r="I1008" s="7"/>
      <c r="J1008" s="7"/>
      <c r="K1008" s="7"/>
      <c r="L1008" s="7"/>
      <c r="M1008" s="7"/>
      <c r="N1008" s="7"/>
      <c r="O1008" s="7"/>
    </row>
    <row r="1009">
      <c r="I1009" s="7"/>
      <c r="J1009" s="7"/>
      <c r="K1009" s="7"/>
      <c r="L1009" s="7"/>
      <c r="M1009" s="7"/>
      <c r="N1009" s="7"/>
      <c r="O1009" s="7"/>
    </row>
    <row r="1010">
      <c r="I1010" s="7"/>
      <c r="J1010" s="7"/>
      <c r="K1010" s="7"/>
      <c r="L1010" s="7"/>
      <c r="M1010" s="7"/>
      <c r="N1010" s="7"/>
      <c r="O1010" s="7"/>
    </row>
    <row r="1011">
      <c r="I1011" s="7"/>
      <c r="J1011" s="7"/>
      <c r="K1011" s="7"/>
      <c r="L1011" s="7"/>
      <c r="M1011" s="7"/>
      <c r="N1011" s="7"/>
      <c r="O1011" s="7"/>
    </row>
    <row r="1012">
      <c r="I1012" s="7"/>
      <c r="J1012" s="7"/>
      <c r="K1012" s="7"/>
      <c r="L1012" s="7"/>
      <c r="M1012" s="7"/>
      <c r="N1012" s="7"/>
      <c r="O1012" s="7"/>
    </row>
    <row r="1013">
      <c r="I1013" s="7"/>
      <c r="J1013" s="7"/>
      <c r="K1013" s="7"/>
      <c r="L1013" s="7"/>
      <c r="M1013" s="7"/>
      <c r="N1013" s="7"/>
      <c r="O1013" s="7"/>
    </row>
    <row r="1014">
      <c r="I1014" s="7"/>
      <c r="J1014" s="7"/>
      <c r="K1014" s="7"/>
      <c r="L1014" s="7"/>
      <c r="M1014" s="7"/>
      <c r="N1014" s="7"/>
      <c r="O1014" s="7"/>
    </row>
    <row r="1015">
      <c r="I1015" s="7"/>
      <c r="J1015" s="7"/>
      <c r="K1015" s="7"/>
      <c r="L1015" s="7"/>
      <c r="M1015" s="7"/>
      <c r="N1015" s="7"/>
      <c r="O1015" s="7"/>
    </row>
    <row r="1016">
      <c r="I1016" s="7"/>
      <c r="J1016" s="7"/>
      <c r="K1016" s="7"/>
      <c r="L1016" s="7"/>
      <c r="M1016" s="7"/>
      <c r="N1016" s="7"/>
      <c r="O1016" s="7"/>
    </row>
    <row r="1017">
      <c r="I1017" s="7"/>
      <c r="J1017" s="7"/>
      <c r="K1017" s="7"/>
      <c r="L1017" s="7"/>
      <c r="M1017" s="7"/>
      <c r="N1017" s="7"/>
      <c r="O1017" s="7"/>
    </row>
    <row r="1018">
      <c r="I1018" s="7"/>
      <c r="J1018" s="7"/>
      <c r="K1018" s="7"/>
      <c r="L1018" s="7"/>
      <c r="M1018" s="7"/>
      <c r="N1018" s="7"/>
      <c r="O1018" s="7"/>
    </row>
    <row r="1019">
      <c r="I1019" s="7"/>
      <c r="J1019" s="7"/>
      <c r="K1019" s="7"/>
      <c r="L1019" s="7"/>
      <c r="M1019" s="7"/>
      <c r="N1019" s="7"/>
      <c r="O1019" s="7"/>
    </row>
    <row r="1020">
      <c r="I1020" s="7"/>
      <c r="J1020" s="7"/>
      <c r="K1020" s="7"/>
      <c r="L1020" s="7"/>
      <c r="M1020" s="7"/>
      <c r="N1020" s="7"/>
      <c r="O1020" s="7"/>
    </row>
    <row r="1021">
      <c r="I1021" s="7"/>
      <c r="J1021" s="7"/>
      <c r="K1021" s="7"/>
      <c r="L1021" s="7"/>
      <c r="M1021" s="7"/>
      <c r="N1021" s="7"/>
      <c r="O1021" s="7"/>
    </row>
    <row r="1022">
      <c r="I1022" s="7"/>
      <c r="J1022" s="7"/>
      <c r="K1022" s="7"/>
      <c r="L1022" s="7"/>
      <c r="M1022" s="7"/>
      <c r="N1022" s="7"/>
      <c r="O1022" s="7"/>
    </row>
    <row r="1023">
      <c r="I1023" s="7"/>
      <c r="J1023" s="7"/>
      <c r="K1023" s="7"/>
      <c r="L1023" s="7"/>
      <c r="M1023" s="7"/>
      <c r="N1023" s="7"/>
      <c r="O1023" s="7"/>
    </row>
    <row r="1024">
      <c r="I1024" s="7"/>
      <c r="J1024" s="7"/>
      <c r="K1024" s="7"/>
      <c r="L1024" s="7"/>
      <c r="M1024" s="7"/>
      <c r="N1024" s="7"/>
      <c r="O1024" s="7"/>
    </row>
    <row r="1025">
      <c r="I1025" s="7"/>
      <c r="J1025" s="7"/>
      <c r="K1025" s="7"/>
      <c r="L1025" s="7"/>
      <c r="M1025" s="7"/>
      <c r="N1025" s="7"/>
      <c r="O1025" s="7"/>
    </row>
    <row r="1026">
      <c r="I1026" s="7"/>
      <c r="J1026" s="7"/>
      <c r="K1026" s="7"/>
      <c r="L1026" s="7"/>
      <c r="M1026" s="7"/>
      <c r="N1026" s="7"/>
      <c r="O1026" s="7"/>
    </row>
    <row r="1027">
      <c r="I1027" s="7"/>
      <c r="J1027" s="7"/>
      <c r="K1027" s="7"/>
      <c r="L1027" s="7"/>
      <c r="M1027" s="7"/>
      <c r="N1027" s="7"/>
      <c r="O1027" s="7"/>
    </row>
    <row r="1028">
      <c r="I1028" s="7"/>
      <c r="J1028" s="7"/>
      <c r="K1028" s="7"/>
      <c r="L1028" s="7"/>
      <c r="M1028" s="7"/>
      <c r="N1028" s="7"/>
      <c r="O1028" s="7"/>
    </row>
    <row r="1029">
      <c r="I1029" s="7"/>
      <c r="J1029" s="7"/>
      <c r="K1029" s="7"/>
      <c r="L1029" s="7"/>
      <c r="M1029" s="7"/>
      <c r="N1029" s="7"/>
      <c r="O1029" s="7"/>
    </row>
    <row r="1030">
      <c r="I1030" s="7"/>
      <c r="J1030" s="7"/>
      <c r="K1030" s="7"/>
      <c r="L1030" s="7"/>
      <c r="M1030" s="7"/>
      <c r="N1030" s="7"/>
      <c r="O1030" s="7"/>
    </row>
    <row r="1031">
      <c r="I1031" s="7"/>
      <c r="J1031" s="7"/>
      <c r="K1031" s="7"/>
      <c r="L1031" s="7"/>
      <c r="M1031" s="7"/>
      <c r="N1031" s="7"/>
      <c r="O1031" s="7"/>
    </row>
    <row r="1032">
      <c r="I1032" s="7"/>
      <c r="J1032" s="7"/>
      <c r="K1032" s="7"/>
      <c r="L1032" s="7"/>
      <c r="M1032" s="7"/>
      <c r="N1032" s="7"/>
      <c r="O1032" s="7"/>
    </row>
    <row r="1033">
      <c r="I1033" s="7"/>
      <c r="J1033" s="7"/>
      <c r="K1033" s="7"/>
      <c r="L1033" s="7"/>
      <c r="M1033" s="7"/>
      <c r="N1033" s="7"/>
      <c r="O1033" s="7"/>
    </row>
    <row r="1034">
      <c r="I1034" s="7"/>
      <c r="J1034" s="7"/>
      <c r="K1034" s="7"/>
      <c r="L1034" s="7"/>
      <c r="M1034" s="7"/>
      <c r="N1034" s="7"/>
      <c r="O1034" s="7"/>
    </row>
  </sheetData>
  <mergeCells count="780">
    <mergeCell ref="G419:I419"/>
    <mergeCell ref="G420:I420"/>
    <mergeCell ref="A415:B415"/>
    <mergeCell ref="A416:B416"/>
    <mergeCell ref="A417:B417"/>
    <mergeCell ref="A418:B418"/>
    <mergeCell ref="G418:I418"/>
    <mergeCell ref="A419:B419"/>
    <mergeCell ref="A420:B420"/>
    <mergeCell ref="E430:H430"/>
    <mergeCell ref="E431:H431"/>
    <mergeCell ref="E432:H432"/>
    <mergeCell ref="E433:H433"/>
    <mergeCell ref="E434:H434"/>
    <mergeCell ref="E435:H435"/>
    <mergeCell ref="E436:H436"/>
    <mergeCell ref="E437:H437"/>
    <mergeCell ref="E438:H438"/>
    <mergeCell ref="E439:H439"/>
    <mergeCell ref="E440:H440"/>
    <mergeCell ref="E441:H441"/>
    <mergeCell ref="E442:H442"/>
    <mergeCell ref="E443:H443"/>
    <mergeCell ref="E444:H444"/>
    <mergeCell ref="E445:H445"/>
    <mergeCell ref="E446:H446"/>
    <mergeCell ref="E447:H447"/>
    <mergeCell ref="E448:H448"/>
    <mergeCell ref="E449:H449"/>
    <mergeCell ref="E450:H450"/>
    <mergeCell ref="B469:H469"/>
    <mergeCell ref="B470:H470"/>
    <mergeCell ref="B471:H471"/>
    <mergeCell ref="A472:H472"/>
    <mergeCell ref="A473:H473"/>
    <mergeCell ref="A474:H474"/>
    <mergeCell ref="A461:H461"/>
    <mergeCell ref="B463:H463"/>
    <mergeCell ref="B464:H464"/>
    <mergeCell ref="B465:H465"/>
    <mergeCell ref="B466:H466"/>
    <mergeCell ref="B467:H467"/>
    <mergeCell ref="B468:H468"/>
    <mergeCell ref="F322:H322"/>
    <mergeCell ref="F323:H323"/>
    <mergeCell ref="F324:H324"/>
    <mergeCell ref="F325:H325"/>
    <mergeCell ref="F326:H326"/>
    <mergeCell ref="F327:H327"/>
    <mergeCell ref="F328:H328"/>
    <mergeCell ref="F329:H329"/>
    <mergeCell ref="G333:H333"/>
    <mergeCell ref="G334:H334"/>
    <mergeCell ref="G335:H335"/>
    <mergeCell ref="G336:H336"/>
    <mergeCell ref="G337:H337"/>
    <mergeCell ref="G338:H338"/>
    <mergeCell ref="G358:I358"/>
    <mergeCell ref="G359:I359"/>
    <mergeCell ref="G355:I355"/>
    <mergeCell ref="A356:B356"/>
    <mergeCell ref="G356:I356"/>
    <mergeCell ref="A357:B357"/>
    <mergeCell ref="G357:I357"/>
    <mergeCell ref="A358:B358"/>
    <mergeCell ref="A359:B359"/>
    <mergeCell ref="A360:B360"/>
    <mergeCell ref="G360:I360"/>
    <mergeCell ref="A361:B361"/>
    <mergeCell ref="G361:I361"/>
    <mergeCell ref="A362:B362"/>
    <mergeCell ref="G362:I362"/>
    <mergeCell ref="G363:I363"/>
    <mergeCell ref="A363:B363"/>
    <mergeCell ref="A364:B364"/>
    <mergeCell ref="A365:B365"/>
    <mergeCell ref="A366:B366"/>
    <mergeCell ref="A367:B367"/>
    <mergeCell ref="A368:B368"/>
    <mergeCell ref="A369:B369"/>
    <mergeCell ref="A421:B421"/>
    <mergeCell ref="G421:I421"/>
    <mergeCell ref="B424:I424"/>
    <mergeCell ref="A425:I425"/>
    <mergeCell ref="E427:H427"/>
    <mergeCell ref="E428:H428"/>
    <mergeCell ref="E429:H429"/>
    <mergeCell ref="G389:I389"/>
    <mergeCell ref="G390:I390"/>
    <mergeCell ref="A385:B385"/>
    <mergeCell ref="G385:I385"/>
    <mergeCell ref="A386:B386"/>
    <mergeCell ref="G386:I386"/>
    <mergeCell ref="A387:B387"/>
    <mergeCell ref="G387:I387"/>
    <mergeCell ref="G388:I388"/>
    <mergeCell ref="G392:I392"/>
    <mergeCell ref="G393:I393"/>
    <mergeCell ref="A388:B388"/>
    <mergeCell ref="A389:B389"/>
    <mergeCell ref="A390:B390"/>
    <mergeCell ref="A391:B391"/>
    <mergeCell ref="G391:I391"/>
    <mergeCell ref="A392:B392"/>
    <mergeCell ref="A393:B393"/>
    <mergeCell ref="G398:I398"/>
    <mergeCell ref="G399:I399"/>
    <mergeCell ref="A394:B394"/>
    <mergeCell ref="G394:I394"/>
    <mergeCell ref="A395:B395"/>
    <mergeCell ref="G395:I395"/>
    <mergeCell ref="A396:B396"/>
    <mergeCell ref="G396:I396"/>
    <mergeCell ref="G397:I397"/>
    <mergeCell ref="G401:I401"/>
    <mergeCell ref="G402:I402"/>
    <mergeCell ref="A397:B397"/>
    <mergeCell ref="A398:B398"/>
    <mergeCell ref="A399:B399"/>
    <mergeCell ref="A400:B400"/>
    <mergeCell ref="G400:I400"/>
    <mergeCell ref="A401:B401"/>
    <mergeCell ref="A402:B402"/>
    <mergeCell ref="G407:I407"/>
    <mergeCell ref="G408:I408"/>
    <mergeCell ref="A403:B403"/>
    <mergeCell ref="G403:I403"/>
    <mergeCell ref="A404:B404"/>
    <mergeCell ref="G404:I404"/>
    <mergeCell ref="A405:B405"/>
    <mergeCell ref="G405:I405"/>
    <mergeCell ref="G406:I406"/>
    <mergeCell ref="G410:I410"/>
    <mergeCell ref="G411:I411"/>
    <mergeCell ref="A406:B406"/>
    <mergeCell ref="A407:B407"/>
    <mergeCell ref="A408:B408"/>
    <mergeCell ref="A409:B409"/>
    <mergeCell ref="G409:I409"/>
    <mergeCell ref="A410:B410"/>
    <mergeCell ref="A411:B411"/>
    <mergeCell ref="G416:I416"/>
    <mergeCell ref="G417:I417"/>
    <mergeCell ref="A412:B412"/>
    <mergeCell ref="G412:I412"/>
    <mergeCell ref="A413:B413"/>
    <mergeCell ref="G413:I413"/>
    <mergeCell ref="A414:B414"/>
    <mergeCell ref="G414:I414"/>
    <mergeCell ref="G415:I415"/>
    <mergeCell ref="D12:E12"/>
    <mergeCell ref="F12:H12"/>
    <mergeCell ref="B10:C10"/>
    <mergeCell ref="D10:E10"/>
    <mergeCell ref="F10:H10"/>
    <mergeCell ref="B11:C11"/>
    <mergeCell ref="D11:E11"/>
    <mergeCell ref="F11:H11"/>
    <mergeCell ref="B12:C12"/>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19:C19"/>
    <mergeCell ref="D19:E19"/>
    <mergeCell ref="F19:H19"/>
    <mergeCell ref="B20:C20"/>
    <mergeCell ref="D20:E20"/>
    <mergeCell ref="F20:H20"/>
    <mergeCell ref="B21:C21"/>
    <mergeCell ref="D24:E24"/>
    <mergeCell ref="F24:H24"/>
    <mergeCell ref="B22:C22"/>
    <mergeCell ref="D22:E22"/>
    <mergeCell ref="F22:H22"/>
    <mergeCell ref="B23:C23"/>
    <mergeCell ref="D23:E23"/>
    <mergeCell ref="F23:H23"/>
    <mergeCell ref="B24:C24"/>
    <mergeCell ref="D27:E27"/>
    <mergeCell ref="F27:H27"/>
    <mergeCell ref="B25:C25"/>
    <mergeCell ref="D25:E25"/>
    <mergeCell ref="F25:H25"/>
    <mergeCell ref="B26:C26"/>
    <mergeCell ref="D26:E26"/>
    <mergeCell ref="F26:H26"/>
    <mergeCell ref="B27:C27"/>
    <mergeCell ref="D30:E30"/>
    <mergeCell ref="F30:H30"/>
    <mergeCell ref="B28:C28"/>
    <mergeCell ref="D28:E28"/>
    <mergeCell ref="F28:H28"/>
    <mergeCell ref="B29:C29"/>
    <mergeCell ref="D29:E29"/>
    <mergeCell ref="F29:H29"/>
    <mergeCell ref="B30:C30"/>
    <mergeCell ref="D33:E33"/>
    <mergeCell ref="F33:H33"/>
    <mergeCell ref="B31:C31"/>
    <mergeCell ref="D31:E31"/>
    <mergeCell ref="F31:H31"/>
    <mergeCell ref="B32:C32"/>
    <mergeCell ref="D32:E32"/>
    <mergeCell ref="F32:H32"/>
    <mergeCell ref="B33:C33"/>
    <mergeCell ref="D36:E36"/>
    <mergeCell ref="F36:H36"/>
    <mergeCell ref="B34:C34"/>
    <mergeCell ref="D34:E34"/>
    <mergeCell ref="F34:H34"/>
    <mergeCell ref="B35:C35"/>
    <mergeCell ref="D35:E35"/>
    <mergeCell ref="F35:H35"/>
    <mergeCell ref="B36:C36"/>
    <mergeCell ref="D39:E39"/>
    <mergeCell ref="F39:H39"/>
    <mergeCell ref="B37:C37"/>
    <mergeCell ref="D37:E37"/>
    <mergeCell ref="F37:H37"/>
    <mergeCell ref="B38:C38"/>
    <mergeCell ref="D38:E38"/>
    <mergeCell ref="F38:H38"/>
    <mergeCell ref="B39:C39"/>
    <mergeCell ref="D42:E42"/>
    <mergeCell ref="F42:H42"/>
    <mergeCell ref="B40:C40"/>
    <mergeCell ref="D40:E40"/>
    <mergeCell ref="F40:H40"/>
    <mergeCell ref="B41:C41"/>
    <mergeCell ref="D41:E41"/>
    <mergeCell ref="F41:H41"/>
    <mergeCell ref="B42:C42"/>
    <mergeCell ref="D45:E45"/>
    <mergeCell ref="F45:H45"/>
    <mergeCell ref="B43:C43"/>
    <mergeCell ref="D43:E43"/>
    <mergeCell ref="F43:H43"/>
    <mergeCell ref="B44:C44"/>
    <mergeCell ref="D44:E44"/>
    <mergeCell ref="F44:H44"/>
    <mergeCell ref="B45:C45"/>
    <mergeCell ref="D48:E48"/>
    <mergeCell ref="F48:H48"/>
    <mergeCell ref="B46:C46"/>
    <mergeCell ref="D46:E46"/>
    <mergeCell ref="F46:H46"/>
    <mergeCell ref="B47:C47"/>
    <mergeCell ref="D47:E47"/>
    <mergeCell ref="F47:H47"/>
    <mergeCell ref="B48:C48"/>
    <mergeCell ref="D51:E51"/>
    <mergeCell ref="F51:H51"/>
    <mergeCell ref="B49:C49"/>
    <mergeCell ref="D49:E49"/>
    <mergeCell ref="F49:H49"/>
    <mergeCell ref="B50:C50"/>
    <mergeCell ref="D50:E50"/>
    <mergeCell ref="F50:H50"/>
    <mergeCell ref="B51:C51"/>
    <mergeCell ref="D54:E54"/>
    <mergeCell ref="F54:H54"/>
    <mergeCell ref="B52:C52"/>
    <mergeCell ref="D52:E52"/>
    <mergeCell ref="F52:H52"/>
    <mergeCell ref="B53:C53"/>
    <mergeCell ref="D53:E53"/>
    <mergeCell ref="F53:H53"/>
    <mergeCell ref="B54:C54"/>
    <mergeCell ref="D57:E57"/>
    <mergeCell ref="F57:H57"/>
    <mergeCell ref="B55:C55"/>
    <mergeCell ref="D55:E55"/>
    <mergeCell ref="F55:H55"/>
    <mergeCell ref="B56:C56"/>
    <mergeCell ref="D56:E56"/>
    <mergeCell ref="F56:H56"/>
    <mergeCell ref="B57:C57"/>
    <mergeCell ref="D60:E60"/>
    <mergeCell ref="F60:H60"/>
    <mergeCell ref="B58:C58"/>
    <mergeCell ref="D58:E58"/>
    <mergeCell ref="F58:H58"/>
    <mergeCell ref="B59:C59"/>
    <mergeCell ref="D59:E59"/>
    <mergeCell ref="F59:H59"/>
    <mergeCell ref="B60:C60"/>
    <mergeCell ref="D63:E63"/>
    <mergeCell ref="F63:H63"/>
    <mergeCell ref="B61:C61"/>
    <mergeCell ref="D61:E61"/>
    <mergeCell ref="F61:H61"/>
    <mergeCell ref="B62:C62"/>
    <mergeCell ref="D62:E62"/>
    <mergeCell ref="F62:H62"/>
    <mergeCell ref="B63:C63"/>
    <mergeCell ref="D66:E66"/>
    <mergeCell ref="F66:H66"/>
    <mergeCell ref="B64:C64"/>
    <mergeCell ref="D64:E64"/>
    <mergeCell ref="F64:H64"/>
    <mergeCell ref="B65:C65"/>
    <mergeCell ref="D65:E65"/>
    <mergeCell ref="F65:H65"/>
    <mergeCell ref="B66:C66"/>
    <mergeCell ref="D69:E69"/>
    <mergeCell ref="F69:H69"/>
    <mergeCell ref="B67:C67"/>
    <mergeCell ref="D67:E67"/>
    <mergeCell ref="F67:H67"/>
    <mergeCell ref="B68:C68"/>
    <mergeCell ref="D68:E68"/>
    <mergeCell ref="F68:H68"/>
    <mergeCell ref="B69:C69"/>
    <mergeCell ref="D72:E72"/>
    <mergeCell ref="F72:H72"/>
    <mergeCell ref="B70:C70"/>
    <mergeCell ref="D70:E70"/>
    <mergeCell ref="F70:H70"/>
    <mergeCell ref="B71:C71"/>
    <mergeCell ref="D71:E71"/>
    <mergeCell ref="F71:H71"/>
    <mergeCell ref="B72:C72"/>
    <mergeCell ref="D75:E75"/>
    <mergeCell ref="F75:H75"/>
    <mergeCell ref="B73:C73"/>
    <mergeCell ref="D73:E73"/>
    <mergeCell ref="F73:H73"/>
    <mergeCell ref="B74:C74"/>
    <mergeCell ref="D74:E74"/>
    <mergeCell ref="F74:H74"/>
    <mergeCell ref="B75:C75"/>
    <mergeCell ref="D78:E78"/>
    <mergeCell ref="F78:H78"/>
    <mergeCell ref="B76:C76"/>
    <mergeCell ref="D76:E76"/>
    <mergeCell ref="F76:H76"/>
    <mergeCell ref="B77:C77"/>
    <mergeCell ref="D77:E77"/>
    <mergeCell ref="F77:H77"/>
    <mergeCell ref="B78:C78"/>
    <mergeCell ref="D81:E81"/>
    <mergeCell ref="F81:H81"/>
    <mergeCell ref="B79:C79"/>
    <mergeCell ref="D79:E79"/>
    <mergeCell ref="F79:H79"/>
    <mergeCell ref="B80:C80"/>
    <mergeCell ref="D80:E80"/>
    <mergeCell ref="F80:H80"/>
    <mergeCell ref="B81:C81"/>
    <mergeCell ref="D84:E84"/>
    <mergeCell ref="F84:H84"/>
    <mergeCell ref="B82:C82"/>
    <mergeCell ref="D82:E82"/>
    <mergeCell ref="F82:H82"/>
    <mergeCell ref="B83:C83"/>
    <mergeCell ref="D83:E83"/>
    <mergeCell ref="F83:H83"/>
    <mergeCell ref="B84:C84"/>
    <mergeCell ref="D87:E87"/>
    <mergeCell ref="F87:H87"/>
    <mergeCell ref="B85:C85"/>
    <mergeCell ref="D85:E85"/>
    <mergeCell ref="F85:H85"/>
    <mergeCell ref="B86:C86"/>
    <mergeCell ref="D86:E86"/>
    <mergeCell ref="F86:H86"/>
    <mergeCell ref="B87:C87"/>
    <mergeCell ref="D90:E90"/>
    <mergeCell ref="F90:H90"/>
    <mergeCell ref="B88:C88"/>
    <mergeCell ref="D88:E88"/>
    <mergeCell ref="F88:H88"/>
    <mergeCell ref="B89:C89"/>
    <mergeCell ref="D89:E89"/>
    <mergeCell ref="F89:H89"/>
    <mergeCell ref="B90:C90"/>
    <mergeCell ref="D93:E93"/>
    <mergeCell ref="F93:H93"/>
    <mergeCell ref="B91:C91"/>
    <mergeCell ref="D91:E91"/>
    <mergeCell ref="F91:H91"/>
    <mergeCell ref="B92:C92"/>
    <mergeCell ref="D92:E92"/>
    <mergeCell ref="F92:H92"/>
    <mergeCell ref="B93:C93"/>
    <mergeCell ref="D96:E96"/>
    <mergeCell ref="F96:H96"/>
    <mergeCell ref="B94:C94"/>
    <mergeCell ref="D94:E94"/>
    <mergeCell ref="F94:H94"/>
    <mergeCell ref="B95:C95"/>
    <mergeCell ref="D95:E95"/>
    <mergeCell ref="F95:H95"/>
    <mergeCell ref="B96:C96"/>
    <mergeCell ref="D99:E99"/>
    <mergeCell ref="F99:H99"/>
    <mergeCell ref="B97:C97"/>
    <mergeCell ref="D97:E97"/>
    <mergeCell ref="F97:H97"/>
    <mergeCell ref="B98:C98"/>
    <mergeCell ref="D98:E98"/>
    <mergeCell ref="F98:H98"/>
    <mergeCell ref="B99:C99"/>
    <mergeCell ref="D102:E102"/>
    <mergeCell ref="F102:H102"/>
    <mergeCell ref="B100:C100"/>
    <mergeCell ref="D100:E100"/>
    <mergeCell ref="F100:H100"/>
    <mergeCell ref="B101:C101"/>
    <mergeCell ref="D101:E101"/>
    <mergeCell ref="F101:H101"/>
    <mergeCell ref="B102:C102"/>
    <mergeCell ref="D105:E105"/>
    <mergeCell ref="F105:H105"/>
    <mergeCell ref="B103:C103"/>
    <mergeCell ref="D103:E103"/>
    <mergeCell ref="F103:H103"/>
    <mergeCell ref="B104:C104"/>
    <mergeCell ref="D104:E104"/>
    <mergeCell ref="F104:H104"/>
    <mergeCell ref="B105:C105"/>
    <mergeCell ref="D108:E108"/>
    <mergeCell ref="F108:H108"/>
    <mergeCell ref="B106:C106"/>
    <mergeCell ref="D106:E106"/>
    <mergeCell ref="F106:H106"/>
    <mergeCell ref="B107:C107"/>
    <mergeCell ref="D107:E107"/>
    <mergeCell ref="F107:H107"/>
    <mergeCell ref="B108:C108"/>
    <mergeCell ref="D111:E111"/>
    <mergeCell ref="F111:H111"/>
    <mergeCell ref="B109:C109"/>
    <mergeCell ref="D109:E109"/>
    <mergeCell ref="F109:H109"/>
    <mergeCell ref="B110:C110"/>
    <mergeCell ref="D110:E110"/>
    <mergeCell ref="F110:H110"/>
    <mergeCell ref="B111:C111"/>
    <mergeCell ref="D114:E114"/>
    <mergeCell ref="F114:H114"/>
    <mergeCell ref="B112:C112"/>
    <mergeCell ref="D112:E112"/>
    <mergeCell ref="F112:H112"/>
    <mergeCell ref="B113:C113"/>
    <mergeCell ref="D113:E113"/>
    <mergeCell ref="F113:H113"/>
    <mergeCell ref="B114:C114"/>
    <mergeCell ref="D117:E117"/>
    <mergeCell ref="F117:H117"/>
    <mergeCell ref="B115:C115"/>
    <mergeCell ref="D115:E115"/>
    <mergeCell ref="F115:H115"/>
    <mergeCell ref="B116:C116"/>
    <mergeCell ref="D116:E116"/>
    <mergeCell ref="F116:H116"/>
    <mergeCell ref="B117:C117"/>
    <mergeCell ref="D120:E120"/>
    <mergeCell ref="F120:H120"/>
    <mergeCell ref="B118:C118"/>
    <mergeCell ref="D118:E118"/>
    <mergeCell ref="F118:H118"/>
    <mergeCell ref="B119:C119"/>
    <mergeCell ref="D119:E119"/>
    <mergeCell ref="F119:H119"/>
    <mergeCell ref="B120:C120"/>
    <mergeCell ref="D123:E123"/>
    <mergeCell ref="F123:H123"/>
    <mergeCell ref="B121:C121"/>
    <mergeCell ref="D121:E121"/>
    <mergeCell ref="F121:H121"/>
    <mergeCell ref="B122:C122"/>
    <mergeCell ref="D122:E122"/>
    <mergeCell ref="F122:H122"/>
    <mergeCell ref="B123:C123"/>
    <mergeCell ref="D126:E126"/>
    <mergeCell ref="F126:H126"/>
    <mergeCell ref="B124:C124"/>
    <mergeCell ref="D124:E124"/>
    <mergeCell ref="F124:H124"/>
    <mergeCell ref="B125:C125"/>
    <mergeCell ref="D125:E125"/>
    <mergeCell ref="F125:H125"/>
    <mergeCell ref="B126:C126"/>
    <mergeCell ref="D129:E129"/>
    <mergeCell ref="F129:H129"/>
    <mergeCell ref="B127:C127"/>
    <mergeCell ref="D127:E127"/>
    <mergeCell ref="F127:H127"/>
    <mergeCell ref="B128:C128"/>
    <mergeCell ref="D128:E128"/>
    <mergeCell ref="F128:H128"/>
    <mergeCell ref="B129:C129"/>
    <mergeCell ref="D3:E3"/>
    <mergeCell ref="F3:H3"/>
    <mergeCell ref="B1:C1"/>
    <mergeCell ref="D1:E1"/>
    <mergeCell ref="F1:H1"/>
    <mergeCell ref="B2:C2"/>
    <mergeCell ref="D2:E2"/>
    <mergeCell ref="F2:H2"/>
    <mergeCell ref="B3:C3"/>
    <mergeCell ref="D6:E6"/>
    <mergeCell ref="F6:H6"/>
    <mergeCell ref="B4:C4"/>
    <mergeCell ref="D4:E4"/>
    <mergeCell ref="F4:H4"/>
    <mergeCell ref="B5:C5"/>
    <mergeCell ref="D5:E5"/>
    <mergeCell ref="F5:H5"/>
    <mergeCell ref="B6:C6"/>
    <mergeCell ref="D9:E9"/>
    <mergeCell ref="F9:H9"/>
    <mergeCell ref="B7:C7"/>
    <mergeCell ref="D7:E7"/>
    <mergeCell ref="F7:H7"/>
    <mergeCell ref="B8:C8"/>
    <mergeCell ref="D8:E8"/>
    <mergeCell ref="F8:H8"/>
    <mergeCell ref="B9:C9"/>
    <mergeCell ref="B130:C130"/>
    <mergeCell ref="D130:E130"/>
    <mergeCell ref="F130:H130"/>
    <mergeCell ref="B131:C131"/>
    <mergeCell ref="D131:E131"/>
    <mergeCell ref="F131:H131"/>
    <mergeCell ref="B132:C132"/>
    <mergeCell ref="D132:E132"/>
    <mergeCell ref="F132:H132"/>
    <mergeCell ref="F135:H135"/>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F313:H313"/>
    <mergeCell ref="F314:H314"/>
    <mergeCell ref="F315:H315"/>
    <mergeCell ref="F316:H316"/>
    <mergeCell ref="F317:H317"/>
    <mergeCell ref="F318:H318"/>
    <mergeCell ref="F319:H319"/>
    <mergeCell ref="F320:H320"/>
    <mergeCell ref="F321:H321"/>
    <mergeCell ref="G346:H346"/>
    <mergeCell ref="G347:H347"/>
    <mergeCell ref="G348:H348"/>
    <mergeCell ref="G349:H349"/>
    <mergeCell ref="G339:H339"/>
    <mergeCell ref="G340:H340"/>
    <mergeCell ref="G341:H341"/>
    <mergeCell ref="G342:H342"/>
    <mergeCell ref="G343:H343"/>
    <mergeCell ref="G344:H344"/>
    <mergeCell ref="G345:H345"/>
    <mergeCell ref="G371:I371"/>
    <mergeCell ref="G372:I372"/>
    <mergeCell ref="G364:I364"/>
    <mergeCell ref="G365:I365"/>
    <mergeCell ref="G366:I366"/>
    <mergeCell ref="G367:I367"/>
    <mergeCell ref="G368:I368"/>
    <mergeCell ref="G369:I369"/>
    <mergeCell ref="G370:I370"/>
    <mergeCell ref="G374:I374"/>
    <mergeCell ref="G375:I375"/>
    <mergeCell ref="A370:B370"/>
    <mergeCell ref="A371:B371"/>
    <mergeCell ref="A372:B372"/>
    <mergeCell ref="A373:B373"/>
    <mergeCell ref="G373:I373"/>
    <mergeCell ref="A374:B374"/>
    <mergeCell ref="A375:B375"/>
    <mergeCell ref="G380:I380"/>
    <mergeCell ref="G381:I381"/>
    <mergeCell ref="A376:B376"/>
    <mergeCell ref="G376:I376"/>
    <mergeCell ref="A377:B377"/>
    <mergeCell ref="G377:I377"/>
    <mergeCell ref="A378:B378"/>
    <mergeCell ref="G378:I378"/>
    <mergeCell ref="G379:I379"/>
    <mergeCell ref="G383:I383"/>
    <mergeCell ref="G384:I384"/>
    <mergeCell ref="A379:B379"/>
    <mergeCell ref="A380:B380"/>
    <mergeCell ref="A381:B381"/>
    <mergeCell ref="A382:B382"/>
    <mergeCell ref="G382:I382"/>
    <mergeCell ref="A383:B383"/>
    <mergeCell ref="A384:B384"/>
  </mergeCells>
  <conditionalFormatting sqref="A1:Z1">
    <cfRule type="notContainsBlanks" dxfId="0" priority="1">
      <formula>LEN(TRIM(A1))&gt;0</formula>
    </cfRule>
  </conditionalFormatting>
  <conditionalFormatting sqref="J356:J421">
    <cfRule type="containsText" dxfId="0" priority="2" operator="containsText" text="Yes">
      <formula>NOT(ISERROR(SEARCH(("Yes"),(J356))))</formula>
    </cfRule>
  </conditionalFormatting>
  <conditionalFormatting sqref="J356:J421">
    <cfRule type="containsText" dxfId="1" priority="3" operator="containsText" text="No">
      <formula>NOT(ISERROR(SEARCH(("No"),(J356))))</formula>
    </cfRule>
  </conditionalFormatting>
  <conditionalFormatting sqref="J356:J421">
    <cfRule type="containsText" dxfId="2" priority="4" operator="containsText" text="Changes">
      <formula>NOT(ISERROR(SEARCH(("Changes"),(J356))))</formula>
    </cfRule>
  </conditionalFormatting>
  <hyperlinks>
    <hyperlink r:id="rId1" ref="A2"/>
    <hyperlink r:id="rId2" location="Hats" ref="D2"/>
    <hyperlink r:id="rId3" ref="A3"/>
    <hyperlink r:id="rId4" location="Hats" ref="D3"/>
    <hyperlink r:id="rId5" ref="A4"/>
    <hyperlink r:id="rId6" ref="A5"/>
    <hyperlink r:id="rId7" location="Hats" ref="D5"/>
    <hyperlink r:id="rId8" ref="A6"/>
    <hyperlink r:id="rId9" ref="D6"/>
    <hyperlink r:id="rId10" ref="A7"/>
    <hyperlink r:id="rId11" location="Hats" ref="D7"/>
    <hyperlink r:id="rId12" ref="A8"/>
    <hyperlink r:id="rId13" ref="D8"/>
    <hyperlink r:id="rId14" ref="A9"/>
    <hyperlink r:id="rId15" ref="A10"/>
    <hyperlink r:id="rId16" location="Villager_Shops" ref="D10"/>
    <hyperlink r:id="rId17" ref="A11"/>
    <hyperlink r:id="rId18" location="Hats" ref="D11"/>
    <hyperlink r:id="rId19" ref="A12"/>
    <hyperlink r:id="rId20" ref="D12"/>
    <hyperlink r:id="rId21" ref="A13"/>
    <hyperlink r:id="rId22" ref="D13"/>
    <hyperlink r:id="rId23" ref="A14"/>
    <hyperlink r:id="rId24" ref="D14"/>
    <hyperlink r:id="rId25" ref="A15"/>
    <hyperlink r:id="rId26" location="Hats" ref="D15"/>
    <hyperlink r:id="rId27" ref="A16"/>
    <hyperlink r:id="rId28" location="Hats" ref="D16"/>
    <hyperlink r:id="rId29" ref="A17"/>
    <hyperlink r:id="rId30" ref="D17"/>
    <hyperlink r:id="rId31" ref="A18"/>
    <hyperlink r:id="rId32" ref="D18"/>
    <hyperlink r:id="rId33" location="Hats" ref="D19"/>
    <hyperlink r:id="rId34" ref="A20"/>
    <hyperlink r:id="rId35" ref="D20"/>
    <hyperlink r:id="rId36" ref="A21"/>
    <hyperlink r:id="rId37" ref="D21"/>
    <hyperlink r:id="rId38" ref="A22"/>
    <hyperlink r:id="rId39" location="Hats" ref="D22"/>
    <hyperlink r:id="rId40" ref="A23"/>
    <hyperlink r:id="rId41" location="Prize_Machine" ref="D23"/>
    <hyperlink r:id="rId42" ref="A24"/>
    <hyperlink r:id="rId43" ref="D24"/>
    <hyperlink r:id="rId44" ref="A25"/>
    <hyperlink r:id="rId45" ref="D25"/>
    <hyperlink r:id="rId46" ref="A26"/>
    <hyperlink r:id="rId47" ref="A27"/>
    <hyperlink r:id="rId48" ref="D27"/>
    <hyperlink r:id="rId49" ref="A28"/>
    <hyperlink r:id="rId50" location="Monster_Eradication_Goals" ref="D28"/>
    <hyperlink r:id="rId51" ref="D29"/>
    <hyperlink r:id="rId52" ref="A30"/>
    <hyperlink r:id="rId53" ref="D30"/>
    <hyperlink r:id="rId54" ref="A31"/>
    <hyperlink r:id="rId55" ref="D31"/>
    <hyperlink r:id="rId56" ref="A32"/>
    <hyperlink r:id="rId57" ref="D32"/>
    <hyperlink r:id="rId58" ref="A33"/>
    <hyperlink r:id="rId59" location="Hats" ref="D33"/>
    <hyperlink r:id="rId60" ref="A34"/>
    <hyperlink r:id="rId61" ref="D34"/>
    <hyperlink r:id="rId62" ref="A35"/>
    <hyperlink r:id="rId63" location="Hats" ref="D35"/>
    <hyperlink r:id="rId64" ref="A36"/>
    <hyperlink r:id="rId65" location="Hats" ref="D36"/>
    <hyperlink r:id="rId66" ref="A37"/>
    <hyperlink r:id="rId67" location="Hats" ref="D37"/>
    <hyperlink r:id="rId68" ref="A38"/>
    <hyperlink r:id="rId69" location="Help_Wanted_Quests" ref="D38"/>
    <hyperlink r:id="rId70" ref="A39"/>
    <hyperlink r:id="rId71" ref="D39"/>
    <hyperlink r:id="rId72" ref="A40"/>
    <hyperlink r:id="rId73" location="Hats" ref="D40"/>
    <hyperlink r:id="rId74" ref="A41"/>
    <hyperlink r:id="rId75" ref="D41"/>
    <hyperlink r:id="rId76" ref="A42"/>
    <hyperlink r:id="rId77" location="Hats" ref="D42"/>
    <hyperlink r:id="rId78" ref="A43"/>
    <hyperlink r:id="rId79" location="Hats" ref="D43"/>
    <hyperlink r:id="rId80" ref="A44"/>
    <hyperlink r:id="rId81" location="Hats" ref="D44"/>
    <hyperlink r:id="rId82" ref="A45"/>
    <hyperlink r:id="rId83" ref="D45"/>
    <hyperlink r:id="rId84" ref="A46"/>
    <hyperlink r:id="rId85" location="cite_note-tgp-2" ref="D46"/>
    <hyperlink r:id="rId86" ref="A47"/>
    <hyperlink r:id="rId87" ref="D47"/>
    <hyperlink r:id="rId88" ref="A48"/>
    <hyperlink r:id="rId89" ref="D48"/>
    <hyperlink r:id="rId90" ref="A49"/>
    <hyperlink r:id="rId91" ref="D49"/>
    <hyperlink r:id="rId92" ref="A50"/>
    <hyperlink r:id="rId93" ref="D50"/>
    <hyperlink r:id="rId94" ref="A51"/>
    <hyperlink r:id="rId95" location="Calico_Egg_Merchant" ref="D51"/>
    <hyperlink r:id="rId96" ref="A52"/>
    <hyperlink r:id="rId97" ref="D52"/>
    <hyperlink r:id="rId98" ref="A53"/>
    <hyperlink r:id="rId99" ref="D53"/>
    <hyperlink r:id="rId100" ref="A54"/>
    <hyperlink r:id="rId101" ref="D54"/>
    <hyperlink r:id="rId102" ref="A55"/>
    <hyperlink r:id="rId103" ref="D55"/>
    <hyperlink r:id="rId104" ref="A56"/>
    <hyperlink r:id="rId105" ref="A57"/>
    <hyperlink r:id="rId106" location="Hats" ref="D57"/>
    <hyperlink r:id="rId107" ref="A58"/>
    <hyperlink r:id="rId108" ref="D58"/>
    <hyperlink r:id="rId109" ref="A59"/>
    <hyperlink r:id="rId110" ref="D59"/>
    <hyperlink r:id="rId111" ref="A60"/>
    <hyperlink r:id="rId112" location="Emily.27s_Outfit_Services" ref="D60"/>
    <hyperlink r:id="rId113" ref="A61"/>
    <hyperlink r:id="rId114" location="Monster_Eradication_Goals" ref="D61"/>
    <hyperlink r:id="rId115" ref="A62"/>
    <hyperlink r:id="rId116" ref="D62"/>
    <hyperlink r:id="rId117" ref="A63"/>
    <hyperlink r:id="rId118" location="Emily.27s_Outfit_Services" ref="D63"/>
    <hyperlink r:id="rId119" ref="A64"/>
    <hyperlink r:id="rId120" ref="D64"/>
    <hyperlink r:id="rId121" ref="A65"/>
    <hyperlink r:id="rId122" ref="D65"/>
    <hyperlink r:id="rId123" ref="A66"/>
    <hyperlink r:id="rId124" ref="D66"/>
    <hyperlink r:id="rId125" ref="A67"/>
    <hyperlink r:id="rId126" ref="A68"/>
    <hyperlink r:id="rId127" location="Monster_Eradication_Goals" ref="D68"/>
    <hyperlink r:id="rId128" ref="A69"/>
    <hyperlink r:id="rId129" location="Hats" ref="D69"/>
    <hyperlink r:id="rId130" ref="A70"/>
    <hyperlink r:id="rId131" ref="D70"/>
    <hyperlink r:id="rId132" ref="A71"/>
    <hyperlink r:id="rId133" ref="D71"/>
    <hyperlink r:id="rId134" ref="A72"/>
    <hyperlink r:id="rId135" ref="A73"/>
    <hyperlink r:id="rId136" location="Hats" ref="D73"/>
    <hyperlink r:id="rId137" ref="A74"/>
    <hyperlink r:id="rId138" ref="D74"/>
    <hyperlink r:id="rId139" ref="A75"/>
    <hyperlink r:id="rId140" ref="D75"/>
    <hyperlink r:id="rId141" ref="A76"/>
    <hyperlink r:id="rId142" location="Hats" ref="D76"/>
    <hyperlink r:id="rId143" ref="A77"/>
    <hyperlink r:id="rId144" ref="D77"/>
    <hyperlink r:id="rId145" ref="A78"/>
    <hyperlink r:id="rId146" ref="D78"/>
    <hyperlink r:id="rId147" ref="A79"/>
    <hyperlink r:id="rId148" location="Skull_Cavern" ref="D79"/>
    <hyperlink r:id="rId149" ref="A80"/>
    <hyperlink r:id="rId150" ref="D80"/>
    <hyperlink r:id="rId151" ref="A81"/>
    <hyperlink r:id="rId152" location="Presents" ref="D81"/>
    <hyperlink r:id="rId153" ref="A82"/>
    <hyperlink r:id="rId154" location="Hats" ref="D82"/>
    <hyperlink r:id="rId155" ref="A83"/>
    <hyperlink r:id="rId156" location="Hats" ref="D83"/>
    <hyperlink r:id="rId157" ref="A84"/>
    <hyperlink r:id="rId158" location="Hats" ref="D84"/>
    <hyperlink r:id="rId159" ref="A85"/>
    <hyperlink r:id="rId160" location="Hats" ref="D85"/>
    <hyperlink r:id="rId161" ref="A86"/>
    <hyperlink r:id="rId162" ref="D86"/>
    <hyperlink r:id="rId163" ref="A87"/>
    <hyperlink r:id="rId164" location="Hats" ref="D87"/>
    <hyperlink r:id="rId165" ref="A88"/>
    <hyperlink r:id="rId166" ref="D88"/>
    <hyperlink r:id="rId167" ref="A89"/>
    <hyperlink r:id="rId168" ref="D89"/>
    <hyperlink r:id="rId169" ref="A90"/>
    <hyperlink r:id="rId170" ref="D90"/>
    <hyperlink r:id="rId171" ref="A91"/>
    <hyperlink r:id="rId172" ref="D91"/>
    <hyperlink r:id="rId173" ref="A92"/>
    <hyperlink r:id="rId174" location="Hats" ref="D92"/>
    <hyperlink r:id="rId175" ref="A93"/>
    <hyperlink r:id="rId176" ref="D93"/>
    <hyperlink r:id="rId177" ref="A94"/>
    <hyperlink r:id="rId178" ref="D94"/>
    <hyperlink r:id="rId179" ref="A95"/>
    <hyperlink r:id="rId180" ref="D95"/>
    <hyperlink r:id="rId181" ref="A96"/>
    <hyperlink r:id="rId182" location="Calico_Egg_Merchant" ref="D96"/>
    <hyperlink r:id="rId183" ref="A97"/>
    <hyperlink r:id="rId184" ref="D97"/>
    <hyperlink r:id="rId185" ref="A98"/>
    <hyperlink r:id="rId186" location="Emily.27s_Outfit_Services" ref="D98"/>
    <hyperlink r:id="rId187" ref="A99"/>
    <hyperlink r:id="rId188" ref="D99"/>
    <hyperlink r:id="rId189" ref="A100"/>
    <hyperlink r:id="rId190" ref="D100"/>
    <hyperlink r:id="rId191" ref="A101"/>
    <hyperlink r:id="rId192" ref="D101"/>
    <hyperlink r:id="rId193" ref="A102"/>
    <hyperlink r:id="rId194" ref="D102"/>
    <hyperlink r:id="rId195" ref="A103"/>
    <hyperlink r:id="rId196" ref="D103"/>
    <hyperlink r:id="rId197" ref="A104"/>
    <hyperlink r:id="rId198" ref="A105"/>
    <hyperlink r:id="rId199" location="Magic_Shop_Boat" ref="D105"/>
    <hyperlink r:id="rId200" location="Help_Wanted_Quests" ref="D106"/>
    <hyperlink r:id="rId201" ref="A107"/>
    <hyperlink r:id="rId202" ref="D107"/>
    <hyperlink r:id="rId203" ref="A108"/>
    <hyperlink r:id="rId204" ref="D108"/>
    <hyperlink r:id="rId205" ref="A109"/>
    <hyperlink r:id="rId206" ref="D109"/>
    <hyperlink r:id="rId207" ref="A110"/>
    <hyperlink r:id="rId208" ref="D110"/>
    <hyperlink r:id="rId209" ref="A111"/>
    <hyperlink r:id="rId210" location="Hats" ref="D111"/>
    <hyperlink r:id="rId211" ref="A112"/>
    <hyperlink r:id="rId212" ref="A113"/>
    <hyperlink r:id="rId213" ref="D113"/>
    <hyperlink r:id="rId214" ref="A114"/>
    <hyperlink r:id="rId215" ref="D114"/>
    <hyperlink r:id="rId216" ref="A115"/>
    <hyperlink r:id="rId217" ref="D115"/>
    <hyperlink r:id="rId218" ref="A116"/>
    <hyperlink r:id="rId219" location="Calico_Egg_Merchant" ref="D116"/>
    <hyperlink r:id="rId220" ref="A117"/>
    <hyperlink r:id="rId221" ref="D117"/>
    <hyperlink r:id="rId222" ref="A118"/>
    <hyperlink r:id="rId223" location="Hats" ref="D118"/>
    <hyperlink r:id="rId224" ref="A119"/>
    <hyperlink r:id="rId225" location="Hats" ref="D119"/>
    <hyperlink r:id="rId226" ref="A120"/>
    <hyperlink r:id="rId227" ref="D120"/>
    <hyperlink r:id="rId228" ref="A121"/>
    <hyperlink r:id="rId229" location="Monster_Eradication_Goals" ref="D121"/>
    <hyperlink r:id="rId230" ref="A122"/>
    <hyperlink r:id="rId231" location="Villager_Shops" ref="D122"/>
    <hyperlink r:id="rId232" ref="A132"/>
    <hyperlink r:id="rId233" ref="D132"/>
    <hyperlink r:id="rId234" ref="E135"/>
    <hyperlink r:id="rId235" ref="E136"/>
    <hyperlink r:id="rId236" ref="E137"/>
    <hyperlink r:id="rId237" ref="E140"/>
    <hyperlink r:id="rId238" ref="E141"/>
    <hyperlink r:id="rId239" ref="E142"/>
    <hyperlink r:id="rId240" ref="E143"/>
    <hyperlink r:id="rId241" location="cite_note-softedgepullover-3" ref="D144"/>
    <hyperlink r:id="rId242" ref="E144"/>
    <hyperlink r:id="rId243" ref="E145"/>
    <hyperlink r:id="rId244" ref="E146"/>
    <hyperlink r:id="rId245" ref="E147"/>
    <hyperlink r:id="rId246" ref="E148"/>
    <hyperlink r:id="rId247" ref="E149"/>
    <hyperlink r:id="rId248" ref="E150"/>
    <hyperlink r:id="rId249" ref="E151"/>
    <hyperlink r:id="rId250" ref="E152"/>
    <hyperlink r:id="rId251" ref="E153"/>
    <hyperlink r:id="rId252" ref="E154"/>
    <hyperlink r:id="rId253" ref="E155"/>
    <hyperlink r:id="rId254" ref="E156"/>
    <hyperlink r:id="rId255" ref="E157"/>
    <hyperlink r:id="rId256" ref="E158"/>
    <hyperlink r:id="rId257" ref="E160"/>
    <hyperlink r:id="rId258" ref="E161"/>
    <hyperlink r:id="rId259" ref="E162"/>
    <hyperlink r:id="rId260" ref="E163"/>
    <hyperlink r:id="rId261" ref="E164"/>
    <hyperlink r:id="rId262" ref="E165"/>
    <hyperlink r:id="rId263" ref="E166"/>
    <hyperlink r:id="rId264" ref="E167"/>
    <hyperlink r:id="rId265" ref="E168"/>
    <hyperlink r:id="rId266" ref="E169"/>
    <hyperlink r:id="rId267" ref="E170"/>
    <hyperlink r:id="rId268" ref="E171"/>
    <hyperlink r:id="rId269" ref="E173"/>
    <hyperlink r:id="rId270" ref="E174"/>
    <hyperlink r:id="rId271" ref="E175"/>
    <hyperlink r:id="rId272" ref="D176"/>
    <hyperlink r:id="rId273" ref="E176"/>
    <hyperlink r:id="rId274" ref="D177"/>
    <hyperlink r:id="rId275" ref="E177"/>
    <hyperlink r:id="rId276" ref="E178"/>
    <hyperlink r:id="rId277" ref="E179"/>
    <hyperlink r:id="rId278" ref="E180"/>
    <hyperlink r:id="rId279" ref="E181"/>
    <hyperlink r:id="rId280" ref="E182"/>
    <hyperlink r:id="rId281" ref="E183"/>
    <hyperlink r:id="rId282" ref="E184"/>
    <hyperlink r:id="rId283" ref="E186"/>
    <hyperlink r:id="rId284" location="Medical_Supplies" ref="E187"/>
    <hyperlink r:id="rId285" ref="E188"/>
    <hyperlink r:id="rId286" ref="E189"/>
    <hyperlink r:id="rId287" ref="E191"/>
    <hyperlink r:id="rId288" ref="E192"/>
    <hyperlink r:id="rId289" ref="E193"/>
    <hyperlink r:id="rId290" ref="E194"/>
    <hyperlink r:id="rId291" ref="E195"/>
    <hyperlink r:id="rId292" ref="E197"/>
    <hyperlink r:id="rId293" ref="E198"/>
    <hyperlink r:id="rId294" ref="E199"/>
    <hyperlink r:id="rId295" ref="E201"/>
    <hyperlink r:id="rId296" ref="D202"/>
    <hyperlink r:id="rId297" ref="E202"/>
    <hyperlink r:id="rId298" ref="E203"/>
    <hyperlink r:id="rId299" ref="E204"/>
    <hyperlink r:id="rId300" ref="E205"/>
    <hyperlink r:id="rId301" ref="E206"/>
    <hyperlink r:id="rId302" ref="E207"/>
    <hyperlink r:id="rId303" ref="E208"/>
    <hyperlink r:id="rId304" ref="E209"/>
    <hyperlink r:id="rId305" ref="E211"/>
    <hyperlink r:id="rId306" ref="E212"/>
    <hyperlink r:id="rId307" ref="E213"/>
    <hyperlink r:id="rId308" ref="E214"/>
    <hyperlink r:id="rId309" ref="E215"/>
    <hyperlink r:id="rId310" ref="D216"/>
    <hyperlink r:id="rId311" ref="E217"/>
    <hyperlink r:id="rId312" ref="E218"/>
    <hyperlink r:id="rId313" ref="E219"/>
    <hyperlink r:id="rId314" ref="E220"/>
    <hyperlink r:id="rId315" ref="E221"/>
    <hyperlink r:id="rId316" ref="E222"/>
    <hyperlink r:id="rId317" ref="E223"/>
    <hyperlink r:id="rId318" ref="E224"/>
    <hyperlink r:id="rId319" ref="E225"/>
    <hyperlink r:id="rId320" ref="E226"/>
    <hyperlink r:id="rId321" ref="E227"/>
    <hyperlink r:id="rId322" ref="E228"/>
    <hyperlink r:id="rId323" ref="E229"/>
    <hyperlink r:id="rId324" location="Medical_Supplies" ref="E230"/>
    <hyperlink r:id="rId325" ref="E231"/>
    <hyperlink r:id="rId326" ref="E232"/>
    <hyperlink r:id="rId327" ref="E233"/>
    <hyperlink r:id="rId328" ref="E234"/>
    <hyperlink r:id="rId329" ref="E235"/>
    <hyperlink r:id="rId330" ref="E236"/>
    <hyperlink r:id="rId331" ref="E237"/>
    <hyperlink r:id="rId332" ref="E238"/>
    <hyperlink r:id="rId333" ref="E239"/>
    <hyperlink r:id="rId334" ref="E240"/>
    <hyperlink r:id="rId335" ref="E241"/>
    <hyperlink r:id="rId336" ref="E246"/>
    <hyperlink r:id="rId337" ref="E247"/>
    <hyperlink r:id="rId338" ref="E248"/>
    <hyperlink r:id="rId339" ref="E249"/>
    <hyperlink r:id="rId340" ref="E250"/>
    <hyperlink r:id="rId341" ref="E251"/>
    <hyperlink r:id="rId342" ref="E252"/>
    <hyperlink r:id="rId343" ref="E253"/>
    <hyperlink r:id="rId344" ref="E254"/>
    <hyperlink r:id="rId345" ref="E256"/>
    <hyperlink r:id="rId346" ref="E257"/>
    <hyperlink r:id="rId347" ref="E258"/>
    <hyperlink r:id="rId348" ref="E259"/>
    <hyperlink r:id="rId349" ref="E260"/>
    <hyperlink r:id="rId350" ref="E261"/>
    <hyperlink r:id="rId351" ref="E262"/>
    <hyperlink r:id="rId352" ref="E263"/>
    <hyperlink r:id="rId353" ref="E265"/>
    <hyperlink r:id="rId354" ref="E266"/>
    <hyperlink r:id="rId355" ref="E268"/>
    <hyperlink r:id="rId356" ref="E269"/>
    <hyperlink r:id="rId357" ref="E270"/>
    <hyperlink r:id="rId358" ref="E271"/>
    <hyperlink r:id="rId359" ref="E272"/>
    <hyperlink r:id="rId360" ref="E273"/>
    <hyperlink r:id="rId361" ref="E274"/>
    <hyperlink r:id="rId362" ref="E275"/>
    <hyperlink r:id="rId363" ref="E277"/>
    <hyperlink r:id="rId364" ref="E278"/>
    <hyperlink r:id="rId365" ref="E279"/>
    <hyperlink r:id="rId366" ref="E280"/>
    <hyperlink r:id="rId367" ref="E281"/>
    <hyperlink r:id="rId368" ref="E282"/>
    <hyperlink r:id="rId369" ref="E283"/>
    <hyperlink r:id="rId370" ref="E284"/>
    <hyperlink r:id="rId371" ref="D285"/>
    <hyperlink r:id="rId372" ref="E285"/>
    <hyperlink r:id="rId373" ref="D286"/>
    <hyperlink r:id="rId374" ref="E286"/>
    <hyperlink r:id="rId375" ref="E287"/>
    <hyperlink r:id="rId376" ref="E288"/>
    <hyperlink r:id="rId377" ref="E289"/>
    <hyperlink r:id="rId378" ref="E290"/>
    <hyperlink r:id="rId379" ref="E291"/>
    <hyperlink r:id="rId380" ref="E293"/>
    <hyperlink r:id="rId381" ref="E294"/>
    <hyperlink r:id="rId382" ref="E295"/>
    <hyperlink r:id="rId383" ref="E296"/>
    <hyperlink r:id="rId384" ref="E297"/>
    <hyperlink r:id="rId385" ref="E298"/>
    <hyperlink r:id="rId386" ref="E299"/>
    <hyperlink r:id="rId387" ref="E300"/>
    <hyperlink r:id="rId388" ref="E301"/>
    <hyperlink r:id="rId389" ref="E303"/>
    <hyperlink r:id="rId390" ref="E304"/>
    <hyperlink r:id="rId391" ref="E305"/>
    <hyperlink r:id="rId392" ref="E306"/>
    <hyperlink r:id="rId393" ref="E307"/>
    <hyperlink r:id="rId394" ref="E308"/>
    <hyperlink r:id="rId395" ref="E309"/>
    <hyperlink r:id="rId396" ref="E310"/>
    <hyperlink r:id="rId397" ref="E311"/>
    <hyperlink r:id="rId398" ref="E312"/>
    <hyperlink r:id="rId399" ref="E313"/>
    <hyperlink r:id="rId400" ref="E314"/>
    <hyperlink r:id="rId401" ref="E315"/>
    <hyperlink r:id="rId402" ref="E316"/>
    <hyperlink r:id="rId403" ref="E318"/>
    <hyperlink r:id="rId404" ref="E319"/>
    <hyperlink r:id="rId405" ref="E320"/>
    <hyperlink r:id="rId406" ref="E321"/>
    <hyperlink r:id="rId407" ref="E322"/>
    <hyperlink r:id="rId408" ref="E323"/>
    <hyperlink r:id="rId409" ref="E324"/>
    <hyperlink r:id="rId410" ref="E325"/>
    <hyperlink r:id="rId411" ref="E326"/>
    <hyperlink r:id="rId412" ref="E327"/>
    <hyperlink r:id="rId413" ref="E328"/>
    <hyperlink r:id="rId414" ref="D333"/>
    <hyperlink r:id="rId415" ref="D334"/>
    <hyperlink r:id="rId416" ref="D335"/>
    <hyperlink r:id="rId417" ref="D336"/>
    <hyperlink r:id="rId418" ref="D337"/>
    <hyperlink r:id="rId419" ref="D338"/>
    <hyperlink r:id="rId420" ref="D340"/>
    <hyperlink r:id="rId421" ref="D341"/>
    <hyperlink r:id="rId422" ref="D342"/>
    <hyperlink r:id="rId423" ref="D343"/>
    <hyperlink r:id="rId424" ref="D344"/>
    <hyperlink r:id="rId425" ref="D345"/>
    <hyperlink r:id="rId426" ref="D346"/>
    <hyperlink r:id="rId427" ref="D347"/>
  </hyperlinks>
  <drawing r:id="rId4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0.38"/>
    <col customWidth="1" min="3" max="3" width="20.38"/>
    <col customWidth="1" min="4" max="4" width="20.5"/>
    <col customWidth="1" min="5" max="5" width="22.0"/>
    <col customWidth="1" min="8" max="8" width="46.13"/>
    <col customWidth="1" min="9" max="9" width="26.63"/>
  </cols>
  <sheetData>
    <row r="1">
      <c r="A1" s="1" t="s">
        <v>0</v>
      </c>
      <c r="B1" s="2" t="s">
        <v>1</v>
      </c>
      <c r="C1" s="3"/>
      <c r="D1" s="4" t="s">
        <v>2</v>
      </c>
      <c r="E1" s="3"/>
      <c r="F1" s="4" t="s">
        <v>3</v>
      </c>
      <c r="G1" s="5"/>
      <c r="H1" s="3"/>
      <c r="I1" s="6" t="s">
        <v>4</v>
      </c>
      <c r="J1" s="7"/>
      <c r="K1" s="7"/>
      <c r="L1" s="7"/>
      <c r="M1" s="7"/>
      <c r="N1" s="7"/>
      <c r="O1" s="7"/>
    </row>
    <row r="2">
      <c r="A2" s="8" t="s">
        <v>5</v>
      </c>
      <c r="B2" s="9" t="s">
        <v>6</v>
      </c>
      <c r="C2" s="10"/>
      <c r="D2" s="11" t="s">
        <v>7</v>
      </c>
      <c r="E2" s="10"/>
      <c r="F2" s="12" t="s">
        <v>1766</v>
      </c>
      <c r="G2" s="13"/>
      <c r="H2" s="10"/>
      <c r="I2" s="14"/>
      <c r="J2" s="7"/>
      <c r="K2" s="7"/>
      <c r="L2" s="7"/>
      <c r="M2" s="7"/>
      <c r="N2" s="7">
        <f t="shared" ref="N2:N123" si="1"> IF(ISBLANK(F2), 0, 1)</f>
        <v>1</v>
      </c>
      <c r="O2" s="7"/>
    </row>
    <row r="3" ht="16.5" customHeight="1">
      <c r="A3" s="8" t="s">
        <v>9</v>
      </c>
      <c r="B3" s="9" t="s">
        <v>10</v>
      </c>
      <c r="C3" s="10"/>
      <c r="D3" s="11" t="s">
        <v>11</v>
      </c>
      <c r="E3" s="10"/>
      <c r="F3" s="12" t="s">
        <v>13</v>
      </c>
      <c r="G3" s="13"/>
      <c r="H3" s="10"/>
      <c r="I3" s="14"/>
      <c r="J3" s="7"/>
      <c r="K3" s="7"/>
      <c r="L3" s="7"/>
      <c r="M3" s="7"/>
      <c r="N3" s="7">
        <f t="shared" si="1"/>
        <v>1</v>
      </c>
      <c r="O3" s="7"/>
    </row>
    <row r="4">
      <c r="A4" s="8" t="s">
        <v>14</v>
      </c>
      <c r="B4" s="9" t="s">
        <v>15</v>
      </c>
      <c r="C4" s="10"/>
      <c r="D4" s="15" t="s">
        <v>16</v>
      </c>
      <c r="E4" s="10"/>
      <c r="F4" s="16"/>
      <c r="G4" s="13"/>
      <c r="H4" s="10"/>
      <c r="I4" s="14"/>
      <c r="J4" s="7"/>
      <c r="K4" s="7"/>
      <c r="L4" s="7"/>
      <c r="M4" s="7"/>
      <c r="N4" s="7">
        <f t="shared" si="1"/>
        <v>0</v>
      </c>
      <c r="O4" s="7"/>
    </row>
    <row r="5">
      <c r="A5" s="8" t="s">
        <v>17</v>
      </c>
      <c r="B5" s="9" t="s">
        <v>18</v>
      </c>
      <c r="C5" s="10"/>
      <c r="D5" s="11" t="s">
        <v>7</v>
      </c>
      <c r="E5" s="10"/>
      <c r="F5" s="12" t="s">
        <v>19</v>
      </c>
      <c r="G5" s="13"/>
      <c r="H5" s="10"/>
      <c r="I5" s="17" t="s">
        <v>20</v>
      </c>
      <c r="J5" s="7"/>
      <c r="K5" s="7"/>
      <c r="L5" s="7"/>
      <c r="M5" s="7"/>
      <c r="N5" s="7">
        <f t="shared" si="1"/>
        <v>1</v>
      </c>
      <c r="O5" s="7"/>
    </row>
    <row r="6">
      <c r="A6" s="8" t="s">
        <v>21</v>
      </c>
      <c r="B6" s="9" t="s">
        <v>22</v>
      </c>
      <c r="C6" s="10"/>
      <c r="D6" s="18" t="s">
        <v>23</v>
      </c>
      <c r="E6" s="10"/>
      <c r="F6" s="12" t="s">
        <v>24</v>
      </c>
      <c r="G6" s="13"/>
      <c r="H6" s="10"/>
      <c r="I6" s="14"/>
      <c r="J6" s="7"/>
      <c r="K6" s="7"/>
      <c r="L6" s="7"/>
      <c r="M6" s="7"/>
      <c r="N6" s="7">
        <f t="shared" si="1"/>
        <v>1</v>
      </c>
      <c r="O6" s="7"/>
    </row>
    <row r="7">
      <c r="A7" s="8" t="s">
        <v>25</v>
      </c>
      <c r="B7" s="9" t="s">
        <v>26</v>
      </c>
      <c r="C7" s="10"/>
      <c r="D7" s="11" t="s">
        <v>7</v>
      </c>
      <c r="E7" s="10"/>
      <c r="F7" s="12" t="s">
        <v>27</v>
      </c>
      <c r="G7" s="13"/>
      <c r="H7" s="10"/>
      <c r="I7" s="14"/>
      <c r="J7" s="7"/>
      <c r="K7" s="7"/>
      <c r="L7" s="7"/>
      <c r="M7" s="7"/>
      <c r="N7" s="7">
        <f t="shared" si="1"/>
        <v>1</v>
      </c>
      <c r="O7" s="7"/>
    </row>
    <row r="8">
      <c r="A8" s="8" t="s">
        <v>28</v>
      </c>
      <c r="B8" s="9" t="s">
        <v>29</v>
      </c>
      <c r="C8" s="10"/>
      <c r="D8" s="11" t="s">
        <v>30</v>
      </c>
      <c r="E8" s="10"/>
      <c r="F8" s="12" t="s">
        <v>31</v>
      </c>
      <c r="G8" s="13"/>
      <c r="H8" s="10"/>
      <c r="I8" s="14"/>
      <c r="J8" s="7"/>
      <c r="K8" s="7"/>
      <c r="L8" s="7"/>
      <c r="M8" s="7"/>
      <c r="N8" s="7">
        <f t="shared" si="1"/>
        <v>1</v>
      </c>
      <c r="O8" s="7"/>
    </row>
    <row r="9">
      <c r="A9" s="8" t="s">
        <v>32</v>
      </c>
      <c r="B9" s="9" t="s">
        <v>33</v>
      </c>
      <c r="C9" s="10"/>
      <c r="D9" s="9" t="s">
        <v>34</v>
      </c>
      <c r="E9" s="10"/>
      <c r="F9" s="16"/>
      <c r="G9" s="13"/>
      <c r="H9" s="10"/>
      <c r="I9" s="14"/>
      <c r="J9" s="7"/>
      <c r="K9" s="7"/>
      <c r="L9" s="7"/>
      <c r="M9" s="7"/>
      <c r="N9" s="7">
        <f t="shared" si="1"/>
        <v>0</v>
      </c>
      <c r="O9" s="7"/>
    </row>
    <row r="10">
      <c r="A10" s="8" t="s">
        <v>35</v>
      </c>
      <c r="B10" s="15" t="s">
        <v>36</v>
      </c>
      <c r="C10" s="10"/>
      <c r="D10" s="19" t="s">
        <v>1769</v>
      </c>
      <c r="E10" s="10"/>
      <c r="F10" s="12" t="s">
        <v>38</v>
      </c>
      <c r="G10" s="13"/>
      <c r="H10" s="10"/>
      <c r="I10" s="17" t="s">
        <v>39</v>
      </c>
      <c r="J10" s="7"/>
      <c r="K10" s="7"/>
      <c r="L10" s="7"/>
      <c r="M10" s="7"/>
      <c r="N10" s="7">
        <f t="shared" si="1"/>
        <v>1</v>
      </c>
      <c r="O10" s="7"/>
    </row>
    <row r="11">
      <c r="A11" s="8" t="s">
        <v>40</v>
      </c>
      <c r="B11" s="9" t="s">
        <v>42</v>
      </c>
      <c r="C11" s="10"/>
      <c r="D11" s="11" t="s">
        <v>7</v>
      </c>
      <c r="E11" s="10"/>
      <c r="F11" s="12" t="s">
        <v>43</v>
      </c>
      <c r="G11" s="13"/>
      <c r="H11" s="10"/>
      <c r="I11" s="14"/>
      <c r="J11" s="7"/>
      <c r="K11" s="7"/>
      <c r="L11" s="7"/>
      <c r="M11" s="7"/>
      <c r="N11" s="7">
        <f t="shared" si="1"/>
        <v>1</v>
      </c>
      <c r="O11" s="7"/>
    </row>
    <row r="12">
      <c r="A12" s="8" t="s">
        <v>44</v>
      </c>
      <c r="B12" s="9" t="s">
        <v>45</v>
      </c>
      <c r="C12" s="10"/>
      <c r="D12" s="19" t="s">
        <v>1770</v>
      </c>
      <c r="E12" s="10"/>
      <c r="F12" s="12" t="s">
        <v>47</v>
      </c>
      <c r="G12" s="13"/>
      <c r="H12" s="10"/>
      <c r="I12" s="14"/>
      <c r="J12" s="7"/>
      <c r="K12" s="7"/>
      <c r="L12" s="7"/>
      <c r="M12" s="7"/>
      <c r="N12" s="7">
        <f t="shared" si="1"/>
        <v>1</v>
      </c>
      <c r="O12" s="7"/>
    </row>
    <row r="13">
      <c r="A13" s="8" t="s">
        <v>48</v>
      </c>
      <c r="B13" s="9" t="s">
        <v>49</v>
      </c>
      <c r="C13" s="10"/>
      <c r="D13" s="18" t="s">
        <v>50</v>
      </c>
      <c r="E13" s="10"/>
      <c r="F13" s="12" t="s">
        <v>51</v>
      </c>
      <c r="G13" s="13"/>
      <c r="H13" s="10"/>
      <c r="I13" s="17" t="s">
        <v>52</v>
      </c>
      <c r="J13" s="7"/>
      <c r="K13" s="7"/>
      <c r="L13" s="7"/>
      <c r="M13" s="7"/>
      <c r="N13" s="7">
        <f t="shared" si="1"/>
        <v>1</v>
      </c>
      <c r="O13" s="7"/>
    </row>
    <row r="14">
      <c r="A14" s="8" t="s">
        <v>53</v>
      </c>
      <c r="B14" s="15" t="s">
        <v>54</v>
      </c>
      <c r="C14" s="10"/>
      <c r="D14" s="19" t="s">
        <v>1772</v>
      </c>
      <c r="E14" s="10"/>
      <c r="F14" s="12" t="s">
        <v>57</v>
      </c>
      <c r="G14" s="13"/>
      <c r="H14" s="10"/>
      <c r="I14" s="14"/>
      <c r="J14" s="7"/>
      <c r="K14" s="7"/>
      <c r="L14" s="7"/>
      <c r="M14" s="7"/>
      <c r="N14" s="7">
        <f t="shared" si="1"/>
        <v>1</v>
      </c>
      <c r="O14" s="7"/>
    </row>
    <row r="15">
      <c r="A15" s="8" t="s">
        <v>59</v>
      </c>
      <c r="B15" s="9" t="s">
        <v>60</v>
      </c>
      <c r="C15" s="10"/>
      <c r="D15" s="11" t="s">
        <v>7</v>
      </c>
      <c r="E15" s="10"/>
      <c r="F15" s="12" t="s">
        <v>61</v>
      </c>
      <c r="G15" s="13"/>
      <c r="H15" s="10"/>
      <c r="I15" s="14"/>
      <c r="J15" s="7"/>
      <c r="K15" s="7"/>
      <c r="L15" s="7"/>
      <c r="M15" s="7"/>
      <c r="N15" s="7">
        <f t="shared" si="1"/>
        <v>1</v>
      </c>
      <c r="O15" s="7"/>
    </row>
    <row r="16">
      <c r="A16" s="8" t="s">
        <v>63</v>
      </c>
      <c r="B16" s="9" t="s">
        <v>64</v>
      </c>
      <c r="C16" s="10"/>
      <c r="D16" s="11" t="s">
        <v>7</v>
      </c>
      <c r="E16" s="10"/>
      <c r="F16" s="12" t="s">
        <v>65</v>
      </c>
      <c r="G16" s="13"/>
      <c r="H16" s="10"/>
      <c r="I16" s="14"/>
      <c r="J16" s="7"/>
      <c r="K16" s="7"/>
      <c r="L16" s="7"/>
      <c r="M16" s="7"/>
      <c r="N16" s="7">
        <f t="shared" si="1"/>
        <v>1</v>
      </c>
      <c r="O16" s="7"/>
    </row>
    <row r="17">
      <c r="A17" s="8" t="s">
        <v>67</v>
      </c>
      <c r="B17" s="9" t="s">
        <v>68</v>
      </c>
      <c r="C17" s="10"/>
      <c r="D17" s="18" t="s">
        <v>70</v>
      </c>
      <c r="E17" s="10"/>
      <c r="F17" s="12" t="s">
        <v>72</v>
      </c>
      <c r="G17" s="13"/>
      <c r="H17" s="10"/>
      <c r="I17" s="14"/>
      <c r="J17" s="7"/>
      <c r="K17" s="7"/>
      <c r="L17" s="7"/>
      <c r="M17" s="7"/>
      <c r="N17" s="7">
        <f t="shared" si="1"/>
        <v>1</v>
      </c>
      <c r="O17" s="7"/>
    </row>
    <row r="18">
      <c r="A18" s="8" t="s">
        <v>73</v>
      </c>
      <c r="B18" s="9" t="s">
        <v>75</v>
      </c>
      <c r="C18" s="10"/>
      <c r="D18" s="18" t="s">
        <v>76</v>
      </c>
      <c r="E18" s="10"/>
      <c r="F18" s="12" t="s">
        <v>77</v>
      </c>
      <c r="G18" s="13"/>
      <c r="H18" s="10"/>
      <c r="I18" s="14"/>
      <c r="J18" s="7"/>
      <c r="K18" s="7"/>
      <c r="L18" s="7"/>
      <c r="M18" s="7"/>
      <c r="N18" s="7">
        <f t="shared" si="1"/>
        <v>1</v>
      </c>
      <c r="O18" s="7"/>
    </row>
    <row r="19">
      <c r="A19" s="20" t="s">
        <v>78</v>
      </c>
      <c r="B19" s="9" t="s">
        <v>79</v>
      </c>
      <c r="C19" s="10"/>
      <c r="D19" s="11" t="s">
        <v>7</v>
      </c>
      <c r="E19" s="10"/>
      <c r="F19" s="12" t="s">
        <v>80</v>
      </c>
      <c r="G19" s="13"/>
      <c r="H19" s="10"/>
      <c r="I19" s="17" t="s">
        <v>82</v>
      </c>
      <c r="J19" s="7"/>
      <c r="K19" s="7"/>
      <c r="L19" s="7"/>
      <c r="M19" s="7"/>
      <c r="N19" s="7">
        <f t="shared" si="1"/>
        <v>1</v>
      </c>
      <c r="O19" s="7"/>
    </row>
    <row r="20">
      <c r="A20" s="8" t="s">
        <v>83</v>
      </c>
      <c r="B20" s="15" t="s">
        <v>86</v>
      </c>
      <c r="C20" s="10"/>
      <c r="D20" s="19" t="s">
        <v>1779</v>
      </c>
      <c r="E20" s="10"/>
      <c r="F20" s="12" t="s">
        <v>88</v>
      </c>
      <c r="G20" s="13"/>
      <c r="H20" s="10"/>
      <c r="I20" s="14"/>
      <c r="J20" s="7"/>
      <c r="K20" s="7"/>
      <c r="L20" s="7"/>
      <c r="M20" s="7"/>
      <c r="N20" s="7">
        <f t="shared" si="1"/>
        <v>1</v>
      </c>
      <c r="O20" s="7"/>
    </row>
    <row r="21">
      <c r="A21" s="8" t="s">
        <v>89</v>
      </c>
      <c r="B21" s="15" t="s">
        <v>90</v>
      </c>
      <c r="C21" s="10"/>
      <c r="D21" s="18" t="s">
        <v>91</v>
      </c>
      <c r="E21" s="10"/>
      <c r="F21" s="12" t="s">
        <v>92</v>
      </c>
      <c r="G21" s="13"/>
      <c r="H21" s="10"/>
      <c r="I21" s="14"/>
      <c r="J21" s="7"/>
      <c r="K21" s="7"/>
      <c r="L21" s="7"/>
      <c r="M21" s="7"/>
      <c r="N21" s="7">
        <f t="shared" si="1"/>
        <v>1</v>
      </c>
      <c r="O21" s="7"/>
    </row>
    <row r="22">
      <c r="A22" s="8" t="s">
        <v>93</v>
      </c>
      <c r="B22" s="9" t="s">
        <v>94</v>
      </c>
      <c r="C22" s="10"/>
      <c r="D22" s="11" t="s">
        <v>7</v>
      </c>
      <c r="E22" s="10"/>
      <c r="F22" s="16"/>
      <c r="G22" s="13"/>
      <c r="H22" s="10"/>
      <c r="I22" s="14"/>
      <c r="J22" s="7"/>
      <c r="K22" s="7"/>
      <c r="L22" s="7"/>
      <c r="M22" s="7"/>
      <c r="N22" s="7">
        <f t="shared" si="1"/>
        <v>0</v>
      </c>
      <c r="O22" s="7"/>
    </row>
    <row r="23">
      <c r="A23" s="8" t="s">
        <v>95</v>
      </c>
      <c r="B23" s="9" t="s">
        <v>96</v>
      </c>
      <c r="C23" s="10"/>
      <c r="D23" s="19" t="s">
        <v>1782</v>
      </c>
      <c r="E23" s="10"/>
      <c r="F23" s="12" t="s">
        <v>99</v>
      </c>
      <c r="G23" s="13"/>
      <c r="H23" s="10"/>
      <c r="I23" s="14"/>
      <c r="J23" s="7"/>
      <c r="K23" s="7"/>
      <c r="L23" s="7"/>
      <c r="M23" s="7"/>
      <c r="N23" s="7">
        <f t="shared" si="1"/>
        <v>1</v>
      </c>
      <c r="O23" s="7"/>
    </row>
    <row r="24">
      <c r="A24" s="8" t="s">
        <v>100</v>
      </c>
      <c r="B24" s="15" t="s">
        <v>101</v>
      </c>
      <c r="C24" s="10"/>
      <c r="D24" s="19" t="s">
        <v>1784</v>
      </c>
      <c r="E24" s="10"/>
      <c r="F24" s="12" t="s">
        <v>103</v>
      </c>
      <c r="G24" s="13"/>
      <c r="H24" s="10"/>
      <c r="I24" s="14"/>
      <c r="J24" s="7"/>
      <c r="K24" s="7"/>
      <c r="L24" s="7"/>
      <c r="M24" s="7"/>
      <c r="N24" s="7">
        <f t="shared" si="1"/>
        <v>1</v>
      </c>
      <c r="O24" s="7"/>
    </row>
    <row r="25">
      <c r="A25" s="8" t="s">
        <v>104</v>
      </c>
      <c r="B25" s="9" t="s">
        <v>105</v>
      </c>
      <c r="C25" s="10"/>
      <c r="D25" s="19" t="s">
        <v>1785</v>
      </c>
      <c r="E25" s="10"/>
      <c r="F25" s="16"/>
      <c r="G25" s="13"/>
      <c r="H25" s="10"/>
      <c r="I25" s="14"/>
      <c r="J25" s="7"/>
      <c r="K25" s="7"/>
      <c r="L25" s="7"/>
      <c r="M25" s="7"/>
      <c r="N25" s="7">
        <f t="shared" si="1"/>
        <v>0</v>
      </c>
      <c r="O25" s="7"/>
    </row>
    <row r="26">
      <c r="A26" s="8" t="s">
        <v>107</v>
      </c>
      <c r="B26" s="15" t="s">
        <v>109</v>
      </c>
      <c r="C26" s="10"/>
      <c r="D26" s="9" t="s">
        <v>110</v>
      </c>
      <c r="E26" s="10"/>
      <c r="F26" s="12" t="s">
        <v>111</v>
      </c>
      <c r="G26" s="13"/>
      <c r="H26" s="10"/>
      <c r="I26" s="14"/>
      <c r="J26" s="7"/>
      <c r="K26" s="7"/>
      <c r="L26" s="7"/>
      <c r="M26" s="7"/>
      <c r="N26" s="7">
        <f t="shared" si="1"/>
        <v>1</v>
      </c>
      <c r="O26" s="7"/>
    </row>
    <row r="27">
      <c r="A27" s="8" t="s">
        <v>112</v>
      </c>
      <c r="B27" s="9" t="s">
        <v>113</v>
      </c>
      <c r="C27" s="10"/>
      <c r="D27" s="11" t="s">
        <v>114</v>
      </c>
      <c r="E27" s="10"/>
      <c r="F27" s="16"/>
      <c r="G27" s="13"/>
      <c r="H27" s="10"/>
      <c r="I27" s="14"/>
      <c r="J27" s="7"/>
      <c r="K27" s="7"/>
      <c r="L27" s="7"/>
      <c r="M27" s="7"/>
      <c r="N27" s="7">
        <f t="shared" si="1"/>
        <v>0</v>
      </c>
      <c r="O27" s="7"/>
    </row>
    <row r="28">
      <c r="A28" s="8" t="s">
        <v>115</v>
      </c>
      <c r="B28" s="9" t="s">
        <v>117</v>
      </c>
      <c r="C28" s="10"/>
      <c r="D28" s="21" t="s">
        <v>1786</v>
      </c>
      <c r="E28" s="10"/>
      <c r="F28" s="12" t="s">
        <v>121</v>
      </c>
      <c r="G28" s="13"/>
      <c r="H28" s="10"/>
      <c r="I28" s="17" t="s">
        <v>122</v>
      </c>
      <c r="J28" s="7"/>
      <c r="K28" s="7"/>
      <c r="L28" s="7"/>
      <c r="M28" s="7"/>
      <c r="N28" s="7">
        <f t="shared" si="1"/>
        <v>1</v>
      </c>
      <c r="O28" s="7"/>
    </row>
    <row r="29">
      <c r="A29" s="20" t="s">
        <v>123</v>
      </c>
      <c r="B29" s="9" t="s">
        <v>124</v>
      </c>
      <c r="C29" s="10"/>
      <c r="D29" s="19" t="s">
        <v>1788</v>
      </c>
      <c r="E29" s="10"/>
      <c r="F29" s="12" t="s">
        <v>1789</v>
      </c>
      <c r="G29" s="13"/>
      <c r="H29" s="10"/>
      <c r="I29" s="17" t="s">
        <v>127</v>
      </c>
      <c r="J29" s="7"/>
      <c r="K29" s="7"/>
      <c r="L29" s="7"/>
      <c r="M29" s="7"/>
      <c r="N29" s="7">
        <f t="shared" si="1"/>
        <v>1</v>
      </c>
      <c r="O29" s="7"/>
    </row>
    <row r="30">
      <c r="A30" s="8" t="s">
        <v>128</v>
      </c>
      <c r="B30" s="9" t="s">
        <v>130</v>
      </c>
      <c r="C30" s="10"/>
      <c r="D30" s="18" t="s">
        <v>131</v>
      </c>
      <c r="E30" s="10"/>
      <c r="F30" s="12" t="s">
        <v>132</v>
      </c>
      <c r="G30" s="13"/>
      <c r="H30" s="10"/>
      <c r="I30" s="14"/>
      <c r="J30" s="7"/>
      <c r="K30" s="7"/>
      <c r="L30" s="7"/>
      <c r="M30" s="7"/>
      <c r="N30" s="7">
        <f t="shared" si="1"/>
        <v>1</v>
      </c>
      <c r="O30" s="7"/>
    </row>
    <row r="31">
      <c r="A31" s="8" t="s">
        <v>133</v>
      </c>
      <c r="B31" s="15" t="s">
        <v>134</v>
      </c>
      <c r="C31" s="10"/>
      <c r="D31" s="19" t="s">
        <v>1792</v>
      </c>
      <c r="E31" s="10"/>
      <c r="F31" s="12"/>
      <c r="G31" s="13"/>
      <c r="H31" s="10"/>
      <c r="I31" s="14"/>
      <c r="J31" s="7"/>
      <c r="K31" s="7"/>
      <c r="L31" s="7"/>
      <c r="M31" s="7"/>
      <c r="N31" s="7">
        <f t="shared" si="1"/>
        <v>0</v>
      </c>
      <c r="O31" s="7"/>
    </row>
    <row r="32">
      <c r="A32" s="8" t="s">
        <v>139</v>
      </c>
      <c r="B32" s="9" t="s">
        <v>140</v>
      </c>
      <c r="C32" s="10"/>
      <c r="D32" s="11" t="s">
        <v>141</v>
      </c>
      <c r="E32" s="10"/>
      <c r="F32" s="12" t="s">
        <v>144</v>
      </c>
      <c r="G32" s="13"/>
      <c r="H32" s="10"/>
      <c r="I32" s="14"/>
      <c r="J32" s="7"/>
      <c r="K32" s="7"/>
      <c r="L32" s="7"/>
      <c r="M32" s="7"/>
      <c r="N32" s="7">
        <f t="shared" si="1"/>
        <v>1</v>
      </c>
      <c r="O32" s="7"/>
    </row>
    <row r="33">
      <c r="A33" s="8" t="s">
        <v>145</v>
      </c>
      <c r="B33" s="15" t="s">
        <v>147</v>
      </c>
      <c r="C33" s="10"/>
      <c r="D33" s="11" t="s">
        <v>7</v>
      </c>
      <c r="E33" s="10"/>
      <c r="F33" s="12" t="s">
        <v>148</v>
      </c>
      <c r="G33" s="13"/>
      <c r="H33" s="10"/>
      <c r="I33" s="14"/>
      <c r="J33" s="7"/>
      <c r="K33" s="7"/>
      <c r="L33" s="7"/>
      <c r="M33" s="7"/>
      <c r="N33" s="7">
        <f t="shared" si="1"/>
        <v>1</v>
      </c>
      <c r="O33" s="7"/>
    </row>
    <row r="34">
      <c r="A34" s="8" t="s">
        <v>150</v>
      </c>
      <c r="B34" s="9" t="s">
        <v>151</v>
      </c>
      <c r="C34" s="10"/>
      <c r="D34" s="18" t="s">
        <v>152</v>
      </c>
      <c r="E34" s="10"/>
      <c r="F34" s="12" t="s">
        <v>154</v>
      </c>
      <c r="G34" s="13"/>
      <c r="H34" s="10"/>
      <c r="I34" s="14"/>
      <c r="J34" s="7"/>
      <c r="K34" s="7"/>
      <c r="L34" s="7"/>
      <c r="M34" s="7"/>
      <c r="N34" s="7">
        <f t="shared" si="1"/>
        <v>1</v>
      </c>
      <c r="O34" s="7"/>
    </row>
    <row r="35">
      <c r="A35" s="8" t="s">
        <v>155</v>
      </c>
      <c r="B35" s="9" t="s">
        <v>156</v>
      </c>
      <c r="C35" s="10"/>
      <c r="D35" s="11" t="s">
        <v>7</v>
      </c>
      <c r="E35" s="10"/>
      <c r="F35" s="16"/>
      <c r="G35" s="13"/>
      <c r="H35" s="10"/>
      <c r="I35" s="14"/>
      <c r="J35" s="7"/>
      <c r="K35" s="7"/>
      <c r="L35" s="7"/>
      <c r="M35" s="7"/>
      <c r="N35" s="7">
        <f t="shared" si="1"/>
        <v>0</v>
      </c>
      <c r="O35" s="7"/>
    </row>
    <row r="36">
      <c r="A36" s="8" t="s">
        <v>157</v>
      </c>
      <c r="B36" s="15" t="s">
        <v>159</v>
      </c>
      <c r="C36" s="10"/>
      <c r="D36" s="11" t="s">
        <v>7</v>
      </c>
      <c r="E36" s="10"/>
      <c r="F36" s="12" t="s">
        <v>161</v>
      </c>
      <c r="G36" s="13"/>
      <c r="H36" s="10"/>
      <c r="I36" s="14"/>
      <c r="J36" s="7"/>
      <c r="K36" s="7"/>
      <c r="L36" s="7"/>
      <c r="M36" s="7"/>
      <c r="N36" s="7">
        <f t="shared" si="1"/>
        <v>1</v>
      </c>
      <c r="O36" s="7"/>
    </row>
    <row r="37">
      <c r="A37" s="8" t="s">
        <v>162</v>
      </c>
      <c r="B37" s="9" t="s">
        <v>163</v>
      </c>
      <c r="C37" s="10"/>
      <c r="D37" s="11" t="s">
        <v>7</v>
      </c>
      <c r="E37" s="10"/>
      <c r="F37" s="16"/>
      <c r="G37" s="13"/>
      <c r="H37" s="10"/>
      <c r="I37" s="14"/>
      <c r="J37" s="7"/>
      <c r="K37" s="7"/>
      <c r="L37" s="7"/>
      <c r="M37" s="22" t="s">
        <v>166</v>
      </c>
      <c r="N37" s="7">
        <f t="shared" si="1"/>
        <v>0</v>
      </c>
      <c r="O37" s="7"/>
    </row>
    <row r="38">
      <c r="A38" s="8" t="s">
        <v>169</v>
      </c>
      <c r="B38" s="9" t="s">
        <v>170</v>
      </c>
      <c r="C38" s="10"/>
      <c r="D38" s="18" t="s">
        <v>171</v>
      </c>
      <c r="E38" s="10"/>
      <c r="F38" s="12" t="s">
        <v>173</v>
      </c>
      <c r="G38" s="13"/>
      <c r="H38" s="10"/>
      <c r="I38" s="14"/>
      <c r="J38" s="7"/>
      <c r="K38" s="7"/>
      <c r="L38" s="7"/>
      <c r="M38" s="7"/>
      <c r="N38" s="7">
        <f t="shared" si="1"/>
        <v>1</v>
      </c>
      <c r="O38" s="7"/>
    </row>
    <row r="39">
      <c r="A39" s="8" t="s">
        <v>174</v>
      </c>
      <c r="B39" s="9" t="s">
        <v>175</v>
      </c>
      <c r="C39" s="10"/>
      <c r="D39" s="18" t="s">
        <v>176</v>
      </c>
      <c r="E39" s="10"/>
      <c r="F39" s="16"/>
      <c r="G39" s="13"/>
      <c r="H39" s="10"/>
      <c r="I39" s="14"/>
      <c r="J39" s="7"/>
      <c r="K39" s="7"/>
      <c r="L39" s="7"/>
      <c r="M39" s="7"/>
      <c r="N39" s="7">
        <f t="shared" si="1"/>
        <v>0</v>
      </c>
      <c r="O39" s="7"/>
    </row>
    <row r="40">
      <c r="A40" s="8" t="s">
        <v>178</v>
      </c>
      <c r="B40" s="9" t="s">
        <v>181</v>
      </c>
      <c r="C40" s="10"/>
      <c r="D40" s="11" t="s">
        <v>7</v>
      </c>
      <c r="E40" s="10"/>
      <c r="F40" s="12" t="s">
        <v>182</v>
      </c>
      <c r="G40" s="13"/>
      <c r="H40" s="10"/>
      <c r="I40" s="14"/>
      <c r="J40" s="7"/>
      <c r="K40" s="7"/>
      <c r="L40" s="7"/>
      <c r="M40" s="7"/>
      <c r="N40" s="7">
        <f t="shared" si="1"/>
        <v>1</v>
      </c>
      <c r="O40" s="7"/>
    </row>
    <row r="41">
      <c r="A41" s="8" t="s">
        <v>183</v>
      </c>
      <c r="B41" s="9" t="s">
        <v>184</v>
      </c>
      <c r="C41" s="10"/>
      <c r="D41" s="18" t="s">
        <v>185</v>
      </c>
      <c r="E41" s="10"/>
      <c r="F41" s="16"/>
      <c r="G41" s="13"/>
      <c r="H41" s="10"/>
      <c r="I41" s="14"/>
      <c r="J41" s="7"/>
      <c r="K41" s="7"/>
      <c r="L41" s="7"/>
      <c r="M41" s="7"/>
      <c r="N41" s="7">
        <f t="shared" si="1"/>
        <v>0</v>
      </c>
      <c r="O41" s="7"/>
    </row>
    <row r="42">
      <c r="A42" s="8" t="s">
        <v>186</v>
      </c>
      <c r="B42" s="9" t="s">
        <v>187</v>
      </c>
      <c r="C42" s="10"/>
      <c r="D42" s="11" t="s">
        <v>7</v>
      </c>
      <c r="E42" s="10"/>
      <c r="F42" s="12" t="s">
        <v>188</v>
      </c>
      <c r="G42" s="13"/>
      <c r="H42" s="10"/>
      <c r="I42" s="14"/>
      <c r="J42" s="7"/>
      <c r="K42" s="7"/>
      <c r="L42" s="7"/>
      <c r="M42" s="7"/>
      <c r="N42" s="7">
        <f t="shared" si="1"/>
        <v>1</v>
      </c>
      <c r="O42" s="7"/>
    </row>
    <row r="43">
      <c r="A43" s="8" t="s">
        <v>186</v>
      </c>
      <c r="B43" s="9" t="s">
        <v>189</v>
      </c>
      <c r="C43" s="10"/>
      <c r="D43" s="11" t="s">
        <v>7</v>
      </c>
      <c r="E43" s="10"/>
      <c r="F43" s="12"/>
      <c r="G43" s="13"/>
      <c r="H43" s="10"/>
      <c r="I43" s="14"/>
      <c r="J43" s="7"/>
      <c r="K43" s="7"/>
      <c r="L43" s="7"/>
      <c r="M43" s="7"/>
      <c r="N43" s="7">
        <f t="shared" si="1"/>
        <v>0</v>
      </c>
      <c r="O43" s="7"/>
    </row>
    <row r="44">
      <c r="A44" s="8" t="s">
        <v>186</v>
      </c>
      <c r="B44" s="9" t="s">
        <v>190</v>
      </c>
      <c r="C44" s="10"/>
      <c r="D44" s="11" t="s">
        <v>7</v>
      </c>
      <c r="E44" s="10"/>
      <c r="F44" s="12"/>
      <c r="G44" s="13"/>
      <c r="H44" s="10"/>
      <c r="I44" s="14"/>
      <c r="J44" s="7"/>
      <c r="K44" s="7"/>
      <c r="L44" s="7"/>
      <c r="M44" s="7"/>
      <c r="N44" s="7">
        <f t="shared" si="1"/>
        <v>0</v>
      </c>
      <c r="O44" s="7"/>
    </row>
    <row r="45">
      <c r="A45" s="8" t="s">
        <v>192</v>
      </c>
      <c r="B45" s="9" t="s">
        <v>193</v>
      </c>
      <c r="C45" s="10"/>
      <c r="D45" s="18" t="s">
        <v>194</v>
      </c>
      <c r="E45" s="10"/>
      <c r="F45" s="16"/>
      <c r="G45" s="13"/>
      <c r="H45" s="10"/>
      <c r="I45" s="14"/>
      <c r="J45" s="7"/>
      <c r="K45" s="7"/>
      <c r="L45" s="7"/>
      <c r="M45" s="7"/>
      <c r="N45" s="7">
        <f t="shared" si="1"/>
        <v>0</v>
      </c>
      <c r="O45" s="7"/>
    </row>
    <row r="46">
      <c r="A46" s="8" t="s">
        <v>195</v>
      </c>
      <c r="B46" s="9" t="s">
        <v>196</v>
      </c>
      <c r="C46" s="10"/>
      <c r="D46" s="23" t="s">
        <v>197</v>
      </c>
      <c r="E46" s="10"/>
      <c r="F46" s="16"/>
      <c r="G46" s="13"/>
      <c r="H46" s="10"/>
      <c r="I46" s="14"/>
      <c r="J46" s="7"/>
      <c r="K46" s="7"/>
      <c r="L46" s="7"/>
      <c r="M46" s="7"/>
      <c r="N46" s="7">
        <f t="shared" si="1"/>
        <v>0</v>
      </c>
      <c r="O46" s="7"/>
    </row>
    <row r="47">
      <c r="A47" s="8" t="s">
        <v>198</v>
      </c>
      <c r="B47" s="15" t="s">
        <v>199</v>
      </c>
      <c r="C47" s="10"/>
      <c r="D47" s="18" t="s">
        <v>200</v>
      </c>
      <c r="E47" s="10"/>
      <c r="F47" s="12" t="s">
        <v>201</v>
      </c>
      <c r="G47" s="13"/>
      <c r="H47" s="10"/>
      <c r="I47" s="14"/>
      <c r="J47" s="7"/>
      <c r="K47" s="7"/>
      <c r="L47" s="7"/>
      <c r="M47" s="7"/>
      <c r="N47" s="7">
        <f t="shared" si="1"/>
        <v>1</v>
      </c>
      <c r="O47" s="7"/>
    </row>
    <row r="48">
      <c r="A48" s="8" t="s">
        <v>203</v>
      </c>
      <c r="B48" s="15" t="s">
        <v>204</v>
      </c>
      <c r="C48" s="10"/>
      <c r="D48" s="18" t="s">
        <v>205</v>
      </c>
      <c r="E48" s="10"/>
      <c r="F48" s="12" t="s">
        <v>206</v>
      </c>
      <c r="G48" s="13"/>
      <c r="H48" s="10"/>
      <c r="I48" s="14"/>
      <c r="J48" s="7"/>
      <c r="K48" s="7"/>
      <c r="L48" s="7"/>
      <c r="M48" s="7"/>
      <c r="N48" s="7">
        <f t="shared" si="1"/>
        <v>1</v>
      </c>
      <c r="O48" s="7"/>
    </row>
    <row r="49">
      <c r="A49" s="8" t="s">
        <v>207</v>
      </c>
      <c r="B49" s="9" t="s">
        <v>208</v>
      </c>
      <c r="C49" s="10"/>
      <c r="D49" s="11" t="s">
        <v>209</v>
      </c>
      <c r="E49" s="10"/>
      <c r="F49" s="16"/>
      <c r="G49" s="13"/>
      <c r="H49" s="10"/>
      <c r="I49" s="14"/>
      <c r="J49" s="7"/>
      <c r="K49" s="7"/>
      <c r="L49" s="7"/>
      <c r="M49" s="7"/>
      <c r="N49" s="7">
        <f t="shared" si="1"/>
        <v>0</v>
      </c>
      <c r="O49" s="7"/>
    </row>
    <row r="50">
      <c r="A50" s="8" t="s">
        <v>211</v>
      </c>
      <c r="B50" s="9" t="s">
        <v>212</v>
      </c>
      <c r="C50" s="10"/>
      <c r="D50" s="19" t="s">
        <v>1802</v>
      </c>
      <c r="E50" s="10"/>
      <c r="F50" s="12" t="s">
        <v>215</v>
      </c>
      <c r="G50" s="13"/>
      <c r="H50" s="10"/>
      <c r="I50" s="14"/>
      <c r="J50" s="7"/>
      <c r="K50" s="7"/>
      <c r="L50" s="7"/>
      <c r="M50" s="7"/>
      <c r="N50" s="7">
        <f t="shared" si="1"/>
        <v>1</v>
      </c>
      <c r="O50" s="7"/>
    </row>
    <row r="51">
      <c r="A51" s="8" t="s">
        <v>216</v>
      </c>
      <c r="B51" s="9" t="s">
        <v>217</v>
      </c>
      <c r="C51" s="10"/>
      <c r="D51" s="19" t="s">
        <v>1803</v>
      </c>
      <c r="E51" s="10"/>
      <c r="F51" s="12" t="s">
        <v>219</v>
      </c>
      <c r="G51" s="13"/>
      <c r="H51" s="10"/>
      <c r="I51" s="14"/>
      <c r="J51" s="7"/>
      <c r="K51" s="7"/>
      <c r="L51" s="7"/>
      <c r="M51" s="7"/>
      <c r="N51" s="7">
        <f t="shared" si="1"/>
        <v>1</v>
      </c>
      <c r="O51" s="7"/>
    </row>
    <row r="52">
      <c r="A52" s="8" t="s">
        <v>220</v>
      </c>
      <c r="B52" s="9" t="s">
        <v>221</v>
      </c>
      <c r="C52" s="10"/>
      <c r="D52" s="18" t="s">
        <v>222</v>
      </c>
      <c r="E52" s="10"/>
      <c r="F52" s="16"/>
      <c r="G52" s="13"/>
      <c r="H52" s="10"/>
      <c r="I52" s="14"/>
      <c r="J52" s="7"/>
      <c r="K52" s="7"/>
      <c r="L52" s="7"/>
      <c r="M52" s="7"/>
      <c r="N52" s="7">
        <f t="shared" si="1"/>
        <v>0</v>
      </c>
      <c r="O52" s="7"/>
    </row>
    <row r="53">
      <c r="A53" s="8" t="s">
        <v>224</v>
      </c>
      <c r="B53" s="9" t="s">
        <v>225</v>
      </c>
      <c r="C53" s="10"/>
      <c r="D53" s="18" t="s">
        <v>226</v>
      </c>
      <c r="E53" s="10"/>
      <c r="F53" s="12" t="s">
        <v>227</v>
      </c>
      <c r="G53" s="13"/>
      <c r="H53" s="10"/>
      <c r="I53" s="14"/>
      <c r="J53" s="7"/>
      <c r="K53" s="7"/>
      <c r="L53" s="7"/>
      <c r="M53" s="7"/>
      <c r="N53" s="7">
        <f t="shared" si="1"/>
        <v>1</v>
      </c>
      <c r="O53" s="7"/>
    </row>
    <row r="54">
      <c r="A54" s="8" t="s">
        <v>228</v>
      </c>
      <c r="B54" s="9" t="s">
        <v>229</v>
      </c>
      <c r="C54" s="10"/>
      <c r="D54" s="11" t="s">
        <v>230</v>
      </c>
      <c r="E54" s="10"/>
      <c r="F54" s="12" t="s">
        <v>231</v>
      </c>
      <c r="G54" s="13"/>
      <c r="H54" s="10"/>
      <c r="I54" s="17"/>
      <c r="J54" s="7"/>
      <c r="K54" s="7"/>
      <c r="L54" s="7"/>
      <c r="M54" s="7"/>
      <c r="N54" s="7">
        <f t="shared" si="1"/>
        <v>1</v>
      </c>
      <c r="O54" s="7"/>
    </row>
    <row r="55">
      <c r="A55" s="8" t="s">
        <v>232</v>
      </c>
      <c r="B55" s="9" t="s">
        <v>229</v>
      </c>
      <c r="C55" s="10"/>
      <c r="D55" s="11" t="s">
        <v>233</v>
      </c>
      <c r="E55" s="10"/>
      <c r="F55" s="12" t="s">
        <v>234</v>
      </c>
      <c r="G55" s="13"/>
      <c r="H55" s="10"/>
      <c r="I55" s="14"/>
      <c r="J55" s="7"/>
      <c r="K55" s="7"/>
      <c r="L55" s="7"/>
      <c r="M55" s="7"/>
      <c r="N55" s="7">
        <f t="shared" si="1"/>
        <v>1</v>
      </c>
      <c r="O55" s="7"/>
    </row>
    <row r="56">
      <c r="A56" s="8" t="s">
        <v>236</v>
      </c>
      <c r="B56" s="9" t="s">
        <v>237</v>
      </c>
      <c r="C56" s="10"/>
      <c r="D56" s="9" t="s">
        <v>238</v>
      </c>
      <c r="E56" s="10"/>
      <c r="F56" s="12" t="s">
        <v>239</v>
      </c>
      <c r="G56" s="13"/>
      <c r="H56" s="10"/>
      <c r="I56" s="14"/>
      <c r="J56" s="7"/>
      <c r="K56" s="7"/>
      <c r="L56" s="7"/>
      <c r="M56" s="7"/>
      <c r="N56" s="7">
        <f t="shared" si="1"/>
        <v>1</v>
      </c>
      <c r="O56" s="7"/>
    </row>
    <row r="57">
      <c r="A57" s="8" t="s">
        <v>240</v>
      </c>
      <c r="B57" s="9" t="s">
        <v>241</v>
      </c>
      <c r="C57" s="10"/>
      <c r="D57" s="11" t="s">
        <v>7</v>
      </c>
      <c r="E57" s="10"/>
      <c r="F57" s="16"/>
      <c r="G57" s="13"/>
      <c r="H57" s="10"/>
      <c r="I57" s="14"/>
      <c r="J57" s="7"/>
      <c r="K57" s="7"/>
      <c r="L57" s="7"/>
      <c r="M57" s="7"/>
      <c r="N57" s="7">
        <f t="shared" si="1"/>
        <v>0</v>
      </c>
      <c r="O57" s="7"/>
    </row>
    <row r="58" ht="15.75" customHeight="1">
      <c r="A58" s="8" t="s">
        <v>242</v>
      </c>
      <c r="B58" s="9" t="s">
        <v>244</v>
      </c>
      <c r="C58" s="10"/>
      <c r="D58" s="19" t="s">
        <v>1811</v>
      </c>
      <c r="E58" s="10"/>
      <c r="F58" s="12" t="s">
        <v>246</v>
      </c>
      <c r="G58" s="13"/>
      <c r="H58" s="10"/>
      <c r="I58" s="17" t="s">
        <v>247</v>
      </c>
      <c r="J58" s="7"/>
      <c r="K58" s="7"/>
      <c r="L58" s="7"/>
      <c r="M58" s="7"/>
      <c r="N58" s="7">
        <f t="shared" si="1"/>
        <v>1</v>
      </c>
      <c r="O58" s="7"/>
    </row>
    <row r="59">
      <c r="A59" s="8" t="s">
        <v>248</v>
      </c>
      <c r="B59" s="9" t="s">
        <v>250</v>
      </c>
      <c r="C59" s="10"/>
      <c r="D59" s="19" t="s">
        <v>1813</v>
      </c>
      <c r="E59" s="10"/>
      <c r="F59" s="12" t="s">
        <v>253</v>
      </c>
      <c r="G59" s="13"/>
      <c r="H59" s="10"/>
      <c r="I59" s="17" t="s">
        <v>254</v>
      </c>
      <c r="J59" s="7"/>
      <c r="K59" s="7"/>
      <c r="L59" s="7"/>
      <c r="M59" s="7"/>
      <c r="N59" s="7">
        <f t="shared" si="1"/>
        <v>1</v>
      </c>
      <c r="O59" s="7"/>
    </row>
    <row r="60">
      <c r="A60" s="8" t="s">
        <v>255</v>
      </c>
      <c r="B60" s="9" t="s">
        <v>256</v>
      </c>
      <c r="C60" s="10"/>
      <c r="D60" s="18" t="s">
        <v>257</v>
      </c>
      <c r="E60" s="10"/>
      <c r="F60" s="12" t="s">
        <v>258</v>
      </c>
      <c r="G60" s="13"/>
      <c r="H60" s="10"/>
      <c r="I60" s="17" t="s">
        <v>260</v>
      </c>
      <c r="J60" s="7"/>
      <c r="K60" s="7"/>
      <c r="L60" s="7"/>
      <c r="M60" s="7"/>
      <c r="N60" s="7">
        <f t="shared" si="1"/>
        <v>1</v>
      </c>
      <c r="O60" s="7"/>
    </row>
    <row r="61">
      <c r="A61" s="8" t="s">
        <v>261</v>
      </c>
      <c r="B61" s="9" t="s">
        <v>262</v>
      </c>
      <c r="C61" s="10"/>
      <c r="D61" s="21" t="s">
        <v>1815</v>
      </c>
      <c r="E61" s="10"/>
      <c r="F61" s="12" t="s">
        <v>265</v>
      </c>
      <c r="G61" s="13"/>
      <c r="H61" s="10"/>
      <c r="I61" s="14"/>
      <c r="J61" s="7"/>
      <c r="K61" s="7"/>
      <c r="L61" s="7"/>
      <c r="M61" s="7"/>
      <c r="N61" s="7">
        <f t="shared" si="1"/>
        <v>1</v>
      </c>
      <c r="O61" s="7"/>
    </row>
    <row r="62">
      <c r="A62" s="8" t="s">
        <v>266</v>
      </c>
      <c r="B62" s="9" t="s">
        <v>269</v>
      </c>
      <c r="C62" s="10"/>
      <c r="D62" s="18" t="s">
        <v>270</v>
      </c>
      <c r="E62" s="10"/>
      <c r="F62" s="12" t="s">
        <v>271</v>
      </c>
      <c r="G62" s="13"/>
      <c r="H62" s="10"/>
      <c r="I62" s="14"/>
      <c r="J62" s="7"/>
      <c r="K62" s="7"/>
      <c r="L62" s="7"/>
      <c r="M62" s="7"/>
      <c r="N62" s="7">
        <f t="shared" si="1"/>
        <v>1</v>
      </c>
      <c r="O62" s="7"/>
    </row>
    <row r="63">
      <c r="A63" s="8" t="s">
        <v>272</v>
      </c>
      <c r="B63" s="9" t="s">
        <v>274</v>
      </c>
      <c r="C63" s="10"/>
      <c r="D63" s="18" t="s">
        <v>257</v>
      </c>
      <c r="E63" s="10"/>
      <c r="F63" s="12" t="s">
        <v>275</v>
      </c>
      <c r="G63" s="13"/>
      <c r="H63" s="10"/>
      <c r="I63" s="14"/>
      <c r="J63" s="7"/>
      <c r="K63" s="7"/>
      <c r="L63" s="7"/>
      <c r="M63" s="7"/>
      <c r="N63" s="7">
        <f t="shared" si="1"/>
        <v>1</v>
      </c>
      <c r="O63" s="7"/>
    </row>
    <row r="64">
      <c r="A64" s="8" t="s">
        <v>276</v>
      </c>
      <c r="B64" s="9" t="s">
        <v>277</v>
      </c>
      <c r="C64" s="10"/>
      <c r="D64" s="18" t="s">
        <v>278</v>
      </c>
      <c r="E64" s="10"/>
      <c r="F64" s="12" t="s">
        <v>279</v>
      </c>
      <c r="G64" s="13"/>
      <c r="H64" s="10"/>
      <c r="I64" s="17" t="s">
        <v>280</v>
      </c>
      <c r="J64" s="7"/>
      <c r="K64" s="7"/>
      <c r="L64" s="7"/>
      <c r="M64" s="7"/>
      <c r="N64" s="7">
        <f t="shared" si="1"/>
        <v>1</v>
      </c>
      <c r="O64" s="7"/>
    </row>
    <row r="65">
      <c r="A65" s="8" t="s">
        <v>281</v>
      </c>
      <c r="B65" s="9" t="s">
        <v>282</v>
      </c>
      <c r="C65" s="10"/>
      <c r="D65" s="18" t="s">
        <v>283</v>
      </c>
      <c r="E65" s="10"/>
      <c r="F65" s="12" t="s">
        <v>284</v>
      </c>
      <c r="G65" s="13"/>
      <c r="H65" s="10"/>
      <c r="I65" s="14"/>
      <c r="J65" s="7"/>
      <c r="K65" s="7"/>
      <c r="L65" s="7"/>
      <c r="M65" s="7"/>
      <c r="N65" s="7">
        <f t="shared" si="1"/>
        <v>1</v>
      </c>
      <c r="O65" s="7"/>
    </row>
    <row r="66">
      <c r="A66" s="8" t="s">
        <v>285</v>
      </c>
      <c r="B66" s="9" t="s">
        <v>287</v>
      </c>
      <c r="C66" s="10"/>
      <c r="D66" s="18" t="s">
        <v>288</v>
      </c>
      <c r="E66" s="10"/>
      <c r="F66" s="12" t="s">
        <v>289</v>
      </c>
      <c r="G66" s="13"/>
      <c r="H66" s="10"/>
      <c r="I66" s="17" t="s">
        <v>290</v>
      </c>
      <c r="J66" s="7"/>
      <c r="K66" s="7"/>
      <c r="L66" s="7"/>
      <c r="M66" s="7"/>
      <c r="N66" s="7">
        <f t="shared" si="1"/>
        <v>1</v>
      </c>
      <c r="O66" s="7"/>
    </row>
    <row r="67">
      <c r="A67" s="8" t="s">
        <v>291</v>
      </c>
      <c r="B67" s="9" t="s">
        <v>293</v>
      </c>
      <c r="C67" s="10"/>
      <c r="D67" s="9" t="s">
        <v>294</v>
      </c>
      <c r="E67" s="10"/>
      <c r="F67" s="12" t="s">
        <v>295</v>
      </c>
      <c r="G67" s="13"/>
      <c r="H67" s="10"/>
      <c r="I67" s="14"/>
      <c r="J67" s="7"/>
      <c r="K67" s="7"/>
      <c r="L67" s="7"/>
      <c r="M67" s="7"/>
      <c r="N67" s="7">
        <f t="shared" si="1"/>
        <v>1</v>
      </c>
      <c r="O67" s="7"/>
    </row>
    <row r="68">
      <c r="A68" s="8" t="s">
        <v>296</v>
      </c>
      <c r="B68" s="9" t="s">
        <v>298</v>
      </c>
      <c r="C68" s="10"/>
      <c r="D68" s="11" t="s">
        <v>299</v>
      </c>
      <c r="E68" s="10"/>
      <c r="F68" s="12" t="s">
        <v>300</v>
      </c>
      <c r="G68" s="13"/>
      <c r="H68" s="10"/>
      <c r="I68" s="14"/>
      <c r="J68" s="7"/>
      <c r="K68" s="7"/>
      <c r="L68" s="7"/>
      <c r="M68" s="7"/>
      <c r="N68" s="7">
        <f t="shared" si="1"/>
        <v>1</v>
      </c>
      <c r="O68" s="7"/>
    </row>
    <row r="69">
      <c r="A69" s="8" t="s">
        <v>301</v>
      </c>
      <c r="B69" s="15" t="s">
        <v>302</v>
      </c>
      <c r="C69" s="10"/>
      <c r="D69" s="11" t="s">
        <v>7</v>
      </c>
      <c r="E69" s="10"/>
      <c r="F69" s="12" t="s">
        <v>305</v>
      </c>
      <c r="G69" s="13"/>
      <c r="H69" s="10"/>
      <c r="I69" s="14"/>
      <c r="J69" s="7"/>
      <c r="K69" s="7"/>
      <c r="L69" s="7"/>
      <c r="M69" s="7"/>
      <c r="N69" s="7">
        <f t="shared" si="1"/>
        <v>1</v>
      </c>
      <c r="O69" s="7"/>
    </row>
    <row r="70">
      <c r="A70" s="8" t="s">
        <v>306</v>
      </c>
      <c r="B70" s="9" t="s">
        <v>307</v>
      </c>
      <c r="C70" s="10"/>
      <c r="D70" s="21" t="s">
        <v>1826</v>
      </c>
      <c r="E70" s="10"/>
      <c r="F70" s="12" t="s">
        <v>309</v>
      </c>
      <c r="G70" s="13"/>
      <c r="H70" s="10"/>
      <c r="I70" s="14"/>
      <c r="J70" s="7"/>
      <c r="K70" s="7"/>
      <c r="L70" s="7"/>
      <c r="M70" s="7"/>
      <c r="N70" s="7">
        <f t="shared" si="1"/>
        <v>1</v>
      </c>
      <c r="O70" s="7"/>
    </row>
    <row r="71">
      <c r="A71" s="8" t="s">
        <v>310</v>
      </c>
      <c r="B71" s="9" t="s">
        <v>312</v>
      </c>
      <c r="C71" s="10"/>
      <c r="D71" s="11" t="s">
        <v>313</v>
      </c>
      <c r="E71" s="10"/>
      <c r="F71" s="12" t="s">
        <v>315</v>
      </c>
      <c r="G71" s="13"/>
      <c r="H71" s="10"/>
      <c r="I71" s="14"/>
      <c r="J71" s="7"/>
      <c r="K71" s="7"/>
      <c r="L71" s="7"/>
      <c r="M71" s="7"/>
      <c r="N71" s="7">
        <f t="shared" si="1"/>
        <v>1</v>
      </c>
      <c r="O71" s="7"/>
    </row>
    <row r="72">
      <c r="A72" s="8" t="s">
        <v>316</v>
      </c>
      <c r="B72" s="9" t="s">
        <v>317</v>
      </c>
      <c r="C72" s="10"/>
      <c r="D72" s="9" t="s">
        <v>318</v>
      </c>
      <c r="E72" s="10"/>
      <c r="F72" s="16"/>
      <c r="G72" s="13"/>
      <c r="H72" s="10"/>
      <c r="I72" s="14"/>
      <c r="J72" s="7"/>
      <c r="K72" s="7"/>
      <c r="L72" s="7"/>
      <c r="M72" s="7"/>
      <c r="N72" s="7">
        <f t="shared" si="1"/>
        <v>0</v>
      </c>
      <c r="O72" s="7"/>
    </row>
    <row r="73">
      <c r="A73" s="24" t="s">
        <v>319</v>
      </c>
      <c r="B73" s="15" t="s">
        <v>322</v>
      </c>
      <c r="C73" s="10"/>
      <c r="D73" s="11" t="s">
        <v>7</v>
      </c>
      <c r="E73" s="10"/>
      <c r="F73" s="12" t="s">
        <v>323</v>
      </c>
      <c r="G73" s="13"/>
      <c r="H73" s="10"/>
      <c r="I73" s="17" t="s">
        <v>324</v>
      </c>
      <c r="J73" s="7"/>
      <c r="K73" s="7"/>
      <c r="L73" s="7"/>
      <c r="M73" s="7"/>
      <c r="N73" s="7">
        <f t="shared" si="1"/>
        <v>1</v>
      </c>
      <c r="O73" s="7"/>
    </row>
    <row r="74">
      <c r="A74" s="8" t="s">
        <v>325</v>
      </c>
      <c r="B74" s="15" t="s">
        <v>326</v>
      </c>
      <c r="C74" s="10"/>
      <c r="D74" s="11" t="s">
        <v>327</v>
      </c>
      <c r="E74" s="10"/>
      <c r="F74" s="12" t="s">
        <v>328</v>
      </c>
      <c r="G74" s="13"/>
      <c r="H74" s="10"/>
      <c r="I74" s="14"/>
      <c r="J74" s="7"/>
      <c r="K74" s="7"/>
      <c r="L74" s="7"/>
      <c r="M74" s="7"/>
      <c r="N74" s="7">
        <f t="shared" si="1"/>
        <v>1</v>
      </c>
      <c r="O74" s="7"/>
    </row>
    <row r="75">
      <c r="A75" s="8" t="s">
        <v>329</v>
      </c>
      <c r="B75" s="9" t="s">
        <v>331</v>
      </c>
      <c r="C75" s="10"/>
      <c r="D75" s="18" t="s">
        <v>332</v>
      </c>
      <c r="E75" s="10"/>
      <c r="F75" s="12" t="s">
        <v>333</v>
      </c>
      <c r="G75" s="13"/>
      <c r="H75" s="10"/>
      <c r="I75" s="14"/>
      <c r="J75" s="7"/>
      <c r="K75" s="7"/>
      <c r="L75" s="7"/>
      <c r="M75" s="7"/>
      <c r="N75" s="7">
        <f t="shared" si="1"/>
        <v>1</v>
      </c>
      <c r="O75" s="7"/>
    </row>
    <row r="76">
      <c r="A76" s="8" t="s">
        <v>334</v>
      </c>
      <c r="B76" s="9" t="s">
        <v>335</v>
      </c>
      <c r="C76" s="10"/>
      <c r="D76" s="11" t="s">
        <v>7</v>
      </c>
      <c r="E76" s="10"/>
      <c r="F76" s="12"/>
      <c r="G76" s="13"/>
      <c r="H76" s="10"/>
      <c r="I76" s="14"/>
      <c r="J76" s="7"/>
      <c r="K76" s="7"/>
      <c r="L76" s="7"/>
      <c r="M76" s="7"/>
      <c r="N76" s="7">
        <f t="shared" si="1"/>
        <v>0</v>
      </c>
      <c r="O76" s="7"/>
    </row>
    <row r="77">
      <c r="A77" s="8" t="s">
        <v>336</v>
      </c>
      <c r="B77" s="9" t="s">
        <v>337</v>
      </c>
      <c r="C77" s="10"/>
      <c r="D77" s="11" t="s">
        <v>338</v>
      </c>
      <c r="E77" s="10"/>
      <c r="F77" s="12" t="s">
        <v>339</v>
      </c>
      <c r="G77" s="13"/>
      <c r="H77" s="10"/>
      <c r="I77" s="14"/>
      <c r="J77" s="7"/>
      <c r="K77" s="7"/>
      <c r="L77" s="7"/>
      <c r="M77" s="7"/>
      <c r="N77" s="7">
        <f t="shared" si="1"/>
        <v>1</v>
      </c>
      <c r="O77" s="7"/>
    </row>
    <row r="78">
      <c r="A78" s="8" t="s">
        <v>340</v>
      </c>
      <c r="B78" s="9" t="s">
        <v>341</v>
      </c>
      <c r="C78" s="10"/>
      <c r="D78" s="11" t="s">
        <v>342</v>
      </c>
      <c r="E78" s="10"/>
      <c r="F78" s="12" t="s">
        <v>343</v>
      </c>
      <c r="G78" s="13"/>
      <c r="H78" s="10"/>
      <c r="I78" s="17" t="s">
        <v>344</v>
      </c>
      <c r="J78" s="7"/>
      <c r="K78" s="7"/>
      <c r="L78" s="7"/>
      <c r="M78" s="7"/>
      <c r="N78" s="7">
        <f t="shared" si="1"/>
        <v>1</v>
      </c>
      <c r="O78" s="7"/>
    </row>
    <row r="79">
      <c r="A79" s="8" t="s">
        <v>345</v>
      </c>
      <c r="B79" s="9" t="s">
        <v>347</v>
      </c>
      <c r="C79" s="10"/>
      <c r="D79" s="19" t="s">
        <v>1836</v>
      </c>
      <c r="E79" s="10"/>
      <c r="F79" s="12" t="s">
        <v>349</v>
      </c>
      <c r="G79" s="13"/>
      <c r="H79" s="10"/>
      <c r="I79" s="17" t="s">
        <v>351</v>
      </c>
      <c r="J79" s="7"/>
      <c r="K79" s="7"/>
      <c r="L79" s="7"/>
      <c r="M79" s="7"/>
      <c r="N79" s="7">
        <f t="shared" si="1"/>
        <v>1</v>
      </c>
      <c r="O79" s="7"/>
    </row>
    <row r="80">
      <c r="A80" s="8" t="s">
        <v>352</v>
      </c>
      <c r="B80" s="9" t="s">
        <v>353</v>
      </c>
      <c r="C80" s="10"/>
      <c r="D80" s="18" t="s">
        <v>354</v>
      </c>
      <c r="E80" s="10"/>
      <c r="F80" s="12" t="s">
        <v>355</v>
      </c>
      <c r="G80" s="13"/>
      <c r="H80" s="10"/>
      <c r="I80" s="17" t="s">
        <v>356</v>
      </c>
      <c r="J80" s="7"/>
      <c r="K80" s="7"/>
      <c r="L80" s="7"/>
      <c r="M80" s="7"/>
      <c r="N80" s="7">
        <f t="shared" si="1"/>
        <v>1</v>
      </c>
      <c r="O80" s="7"/>
    </row>
    <row r="81">
      <c r="A81" s="8" t="s">
        <v>357</v>
      </c>
      <c r="B81" s="9" t="s">
        <v>358</v>
      </c>
      <c r="C81" s="10"/>
      <c r="D81" s="11" t="s">
        <v>359</v>
      </c>
      <c r="E81" s="10"/>
      <c r="F81" s="12" t="s">
        <v>360</v>
      </c>
      <c r="G81" s="13"/>
      <c r="H81" s="10"/>
      <c r="I81" s="14"/>
      <c r="J81" s="7"/>
      <c r="K81" s="7"/>
      <c r="L81" s="7"/>
      <c r="M81" s="7"/>
      <c r="N81" s="7">
        <f t="shared" si="1"/>
        <v>1</v>
      </c>
      <c r="O81" s="7"/>
    </row>
    <row r="82">
      <c r="A82" s="8" t="s">
        <v>361</v>
      </c>
      <c r="B82" s="9" t="s">
        <v>362</v>
      </c>
      <c r="C82" s="10"/>
      <c r="D82" s="11" t="s">
        <v>7</v>
      </c>
      <c r="E82" s="10"/>
      <c r="F82" s="12" t="s">
        <v>363</v>
      </c>
      <c r="G82" s="13"/>
      <c r="H82" s="10"/>
      <c r="I82" s="14"/>
      <c r="J82" s="7"/>
      <c r="K82" s="7"/>
      <c r="L82" s="7"/>
      <c r="M82" s="7"/>
      <c r="N82" s="7">
        <f t="shared" si="1"/>
        <v>1</v>
      </c>
      <c r="O82" s="7"/>
    </row>
    <row r="83">
      <c r="A83" s="8" t="s">
        <v>364</v>
      </c>
      <c r="B83" s="9" t="s">
        <v>366</v>
      </c>
      <c r="C83" s="10"/>
      <c r="D83" s="11" t="s">
        <v>7</v>
      </c>
      <c r="E83" s="10"/>
      <c r="F83" s="12" t="s">
        <v>367</v>
      </c>
      <c r="G83" s="13"/>
      <c r="H83" s="10"/>
      <c r="I83" s="14"/>
      <c r="J83" s="7"/>
      <c r="K83" s="7"/>
      <c r="L83" s="7"/>
      <c r="M83" s="7"/>
      <c r="N83" s="7">
        <f t="shared" si="1"/>
        <v>1</v>
      </c>
      <c r="O83" s="7"/>
    </row>
    <row r="84">
      <c r="A84" s="8" t="s">
        <v>368</v>
      </c>
      <c r="B84" s="9" t="s">
        <v>370</v>
      </c>
      <c r="C84" s="10"/>
      <c r="D84" s="11" t="s">
        <v>7</v>
      </c>
      <c r="E84" s="10"/>
      <c r="F84" s="16"/>
      <c r="G84" s="13"/>
      <c r="H84" s="10"/>
      <c r="I84" s="14"/>
      <c r="J84" s="7"/>
      <c r="K84" s="7"/>
      <c r="L84" s="7"/>
      <c r="M84" s="7"/>
      <c r="N84" s="7">
        <f t="shared" si="1"/>
        <v>0</v>
      </c>
      <c r="O84" s="7"/>
    </row>
    <row r="85">
      <c r="A85" s="8" t="s">
        <v>371</v>
      </c>
      <c r="B85" s="9" t="s">
        <v>372</v>
      </c>
      <c r="C85" s="10"/>
      <c r="D85" s="11" t="s">
        <v>7</v>
      </c>
      <c r="E85" s="10"/>
      <c r="F85" s="12" t="s">
        <v>373</v>
      </c>
      <c r="G85" s="13"/>
      <c r="H85" s="10"/>
      <c r="I85" s="17" t="s">
        <v>374</v>
      </c>
      <c r="J85" s="7"/>
      <c r="K85" s="7"/>
      <c r="L85" s="7"/>
      <c r="M85" s="7"/>
      <c r="N85" s="7">
        <f t="shared" si="1"/>
        <v>1</v>
      </c>
      <c r="O85" s="7"/>
    </row>
    <row r="86">
      <c r="A86" s="8" t="s">
        <v>375</v>
      </c>
      <c r="B86" s="9" t="s">
        <v>376</v>
      </c>
      <c r="C86" s="10"/>
      <c r="D86" s="18" t="s">
        <v>377</v>
      </c>
      <c r="E86" s="10"/>
      <c r="F86" s="16"/>
      <c r="G86" s="13"/>
      <c r="H86" s="10"/>
      <c r="I86" s="14"/>
      <c r="J86" s="7"/>
      <c r="K86" s="7"/>
      <c r="L86" s="7"/>
      <c r="M86" s="7"/>
      <c r="N86" s="7">
        <f t="shared" si="1"/>
        <v>0</v>
      </c>
      <c r="O86" s="7"/>
    </row>
    <row r="87">
      <c r="A87" s="8" t="s">
        <v>379</v>
      </c>
      <c r="B87" s="9" t="s">
        <v>381</v>
      </c>
      <c r="C87" s="10"/>
      <c r="D87" s="11" t="s">
        <v>7</v>
      </c>
      <c r="E87" s="10"/>
      <c r="F87" s="16"/>
      <c r="G87" s="13"/>
      <c r="H87" s="10"/>
      <c r="I87" s="14"/>
      <c r="J87" s="7"/>
      <c r="K87" s="7"/>
      <c r="L87" s="7"/>
      <c r="M87" s="7"/>
      <c r="N87" s="7">
        <f t="shared" si="1"/>
        <v>0</v>
      </c>
      <c r="O87" s="7"/>
    </row>
    <row r="88">
      <c r="A88" s="8" t="s">
        <v>382</v>
      </c>
      <c r="B88" s="9" t="s">
        <v>383</v>
      </c>
      <c r="C88" s="10"/>
      <c r="D88" s="18" t="s">
        <v>385</v>
      </c>
      <c r="E88" s="10"/>
      <c r="F88" s="12" t="s">
        <v>386</v>
      </c>
      <c r="G88" s="13"/>
      <c r="H88" s="10"/>
      <c r="I88" s="17"/>
      <c r="J88" s="7"/>
      <c r="K88" s="7"/>
      <c r="L88" s="7"/>
      <c r="M88" s="7"/>
      <c r="N88" s="7">
        <f t="shared" si="1"/>
        <v>1</v>
      </c>
      <c r="O88" s="7"/>
    </row>
    <row r="89">
      <c r="A89" s="24" t="s">
        <v>387</v>
      </c>
      <c r="B89" s="9" t="s">
        <v>388</v>
      </c>
      <c r="C89" s="10"/>
      <c r="D89" s="18" t="s">
        <v>389</v>
      </c>
      <c r="E89" s="10"/>
      <c r="F89" s="12" t="s">
        <v>390</v>
      </c>
      <c r="G89" s="13"/>
      <c r="H89" s="10"/>
      <c r="I89" s="17" t="s">
        <v>391</v>
      </c>
      <c r="J89" s="7"/>
      <c r="K89" s="7"/>
      <c r="L89" s="7"/>
      <c r="M89" s="7"/>
      <c r="N89" s="7">
        <f t="shared" si="1"/>
        <v>1</v>
      </c>
      <c r="O89" s="7"/>
    </row>
    <row r="90">
      <c r="A90" s="8" t="s">
        <v>392</v>
      </c>
      <c r="B90" s="9" t="s">
        <v>393</v>
      </c>
      <c r="C90" s="10"/>
      <c r="D90" s="18" t="s">
        <v>394</v>
      </c>
      <c r="E90" s="10"/>
      <c r="F90" s="12" t="s">
        <v>395</v>
      </c>
      <c r="G90" s="13"/>
      <c r="H90" s="10"/>
      <c r="I90" s="14"/>
      <c r="J90" s="7"/>
      <c r="K90" s="7"/>
      <c r="L90" s="7"/>
      <c r="M90" s="7"/>
      <c r="N90" s="7">
        <f t="shared" si="1"/>
        <v>1</v>
      </c>
      <c r="O90" s="7"/>
    </row>
    <row r="91">
      <c r="A91" s="8" t="s">
        <v>396</v>
      </c>
      <c r="B91" s="9" t="s">
        <v>397</v>
      </c>
      <c r="C91" s="10"/>
      <c r="D91" s="19" t="s">
        <v>1841</v>
      </c>
      <c r="E91" s="10"/>
      <c r="F91" s="12" t="s">
        <v>399</v>
      </c>
      <c r="G91" s="13"/>
      <c r="H91" s="10"/>
      <c r="I91" s="14"/>
      <c r="J91" s="7"/>
      <c r="K91" s="7"/>
      <c r="L91" s="7"/>
      <c r="M91" s="7"/>
      <c r="N91" s="7">
        <f t="shared" si="1"/>
        <v>1</v>
      </c>
      <c r="O91" s="7"/>
    </row>
    <row r="92">
      <c r="A92" s="8" t="s">
        <v>400</v>
      </c>
      <c r="B92" s="9" t="s">
        <v>401</v>
      </c>
      <c r="C92" s="10"/>
      <c r="D92" s="11" t="s">
        <v>7</v>
      </c>
      <c r="E92" s="10"/>
      <c r="F92" s="12" t="s">
        <v>402</v>
      </c>
      <c r="G92" s="13"/>
      <c r="H92" s="10"/>
      <c r="I92" s="17" t="s">
        <v>403</v>
      </c>
      <c r="J92" s="7"/>
      <c r="K92" s="7"/>
      <c r="L92" s="7"/>
      <c r="M92" s="7"/>
      <c r="N92" s="7">
        <f t="shared" si="1"/>
        <v>1</v>
      </c>
      <c r="O92" s="7"/>
    </row>
    <row r="93">
      <c r="A93" s="8" t="s">
        <v>404</v>
      </c>
      <c r="B93" s="9" t="s">
        <v>405</v>
      </c>
      <c r="C93" s="10"/>
      <c r="D93" s="11" t="s">
        <v>406</v>
      </c>
      <c r="E93" s="10"/>
      <c r="F93" s="12" t="s">
        <v>407</v>
      </c>
      <c r="G93" s="13"/>
      <c r="H93" s="10"/>
      <c r="I93" s="14"/>
      <c r="J93" s="7"/>
      <c r="K93" s="7"/>
      <c r="L93" s="7"/>
      <c r="M93" s="7"/>
      <c r="N93" s="7">
        <f t="shared" si="1"/>
        <v>1</v>
      </c>
      <c r="O93" s="7"/>
    </row>
    <row r="94">
      <c r="A94" s="8" t="s">
        <v>408</v>
      </c>
      <c r="B94" s="9" t="s">
        <v>410</v>
      </c>
      <c r="C94" s="10"/>
      <c r="D94" s="11" t="s">
        <v>411</v>
      </c>
      <c r="E94" s="10"/>
      <c r="F94" s="12" t="s">
        <v>144</v>
      </c>
      <c r="G94" s="13"/>
      <c r="H94" s="10"/>
      <c r="I94" s="14"/>
      <c r="J94" s="7"/>
      <c r="K94" s="7"/>
      <c r="L94" s="7"/>
      <c r="M94" s="7"/>
      <c r="N94" s="7">
        <f t="shared" si="1"/>
        <v>1</v>
      </c>
      <c r="O94" s="7"/>
    </row>
    <row r="95">
      <c r="A95" s="8" t="s">
        <v>412</v>
      </c>
      <c r="B95" s="9" t="s">
        <v>413</v>
      </c>
      <c r="C95" s="10"/>
      <c r="D95" s="18" t="s">
        <v>414</v>
      </c>
      <c r="E95" s="10"/>
      <c r="F95" s="16"/>
      <c r="G95" s="13"/>
      <c r="H95" s="10"/>
      <c r="I95" s="14"/>
      <c r="J95" s="7"/>
      <c r="K95" s="7"/>
      <c r="L95" s="7"/>
      <c r="M95" s="7"/>
      <c r="N95" s="7">
        <f t="shared" si="1"/>
        <v>0</v>
      </c>
      <c r="O95" s="7"/>
    </row>
    <row r="96">
      <c r="A96" s="8" t="s">
        <v>415</v>
      </c>
      <c r="B96" s="9" t="s">
        <v>417</v>
      </c>
      <c r="C96" s="10"/>
      <c r="D96" s="18" t="s">
        <v>418</v>
      </c>
      <c r="E96" s="10"/>
      <c r="F96" s="12" t="s">
        <v>419</v>
      </c>
      <c r="G96" s="13"/>
      <c r="H96" s="10"/>
      <c r="I96" s="17" t="s">
        <v>420</v>
      </c>
      <c r="J96" s="7"/>
      <c r="K96" s="7"/>
      <c r="L96" s="7"/>
      <c r="M96" s="7"/>
      <c r="N96" s="7">
        <f t="shared" si="1"/>
        <v>1</v>
      </c>
      <c r="O96" s="7"/>
    </row>
    <row r="97">
      <c r="A97" s="8" t="s">
        <v>421</v>
      </c>
      <c r="B97" s="9" t="s">
        <v>422</v>
      </c>
      <c r="C97" s="10"/>
      <c r="D97" s="11" t="s">
        <v>141</v>
      </c>
      <c r="E97" s="10"/>
      <c r="F97" s="12" t="s">
        <v>144</v>
      </c>
      <c r="G97" s="13"/>
      <c r="H97" s="10"/>
      <c r="I97" s="14"/>
      <c r="J97" s="7"/>
      <c r="K97" s="7"/>
      <c r="L97" s="7"/>
      <c r="M97" s="7"/>
      <c r="N97" s="7">
        <f t="shared" si="1"/>
        <v>1</v>
      </c>
      <c r="O97" s="7"/>
    </row>
    <row r="98">
      <c r="A98" s="8" t="s">
        <v>423</v>
      </c>
      <c r="B98" s="9" t="s">
        <v>424</v>
      </c>
      <c r="C98" s="10"/>
      <c r="D98" s="18" t="s">
        <v>257</v>
      </c>
      <c r="E98" s="10"/>
      <c r="F98" s="12" t="s">
        <v>425</v>
      </c>
      <c r="G98" s="13"/>
      <c r="H98" s="10"/>
      <c r="I98" s="17" t="s">
        <v>427</v>
      </c>
      <c r="J98" s="7"/>
      <c r="K98" s="7"/>
      <c r="L98" s="7"/>
      <c r="M98" s="7"/>
      <c r="N98" s="7">
        <f t="shared" si="1"/>
        <v>1</v>
      </c>
      <c r="O98" s="7"/>
    </row>
    <row r="99">
      <c r="A99" s="8" t="s">
        <v>429</v>
      </c>
      <c r="B99" s="9" t="s">
        <v>430</v>
      </c>
      <c r="C99" s="10"/>
      <c r="D99" s="11" t="s">
        <v>431</v>
      </c>
      <c r="E99" s="10"/>
      <c r="F99" s="16"/>
      <c r="G99" s="13"/>
      <c r="H99" s="10"/>
      <c r="I99" s="14"/>
      <c r="J99" s="7"/>
      <c r="K99" s="7"/>
      <c r="L99" s="7"/>
      <c r="M99" s="7"/>
      <c r="N99" s="7">
        <f t="shared" si="1"/>
        <v>0</v>
      </c>
      <c r="O99" s="7"/>
    </row>
    <row r="100">
      <c r="A100" s="8" t="s">
        <v>432</v>
      </c>
      <c r="B100" s="9" t="s">
        <v>433</v>
      </c>
      <c r="C100" s="10"/>
      <c r="D100" s="11" t="s">
        <v>434</v>
      </c>
      <c r="E100" s="10"/>
      <c r="F100" s="12" t="s">
        <v>435</v>
      </c>
      <c r="G100" s="13"/>
      <c r="H100" s="10"/>
      <c r="I100" s="14"/>
      <c r="J100" s="7"/>
      <c r="K100" s="7"/>
      <c r="L100" s="7"/>
      <c r="M100" s="7"/>
      <c r="N100" s="7">
        <f t="shared" si="1"/>
        <v>1</v>
      </c>
      <c r="O100" s="7"/>
    </row>
    <row r="101">
      <c r="A101" s="8" t="s">
        <v>436</v>
      </c>
      <c r="B101" s="9" t="s">
        <v>437</v>
      </c>
      <c r="C101" s="10"/>
      <c r="D101" s="11" t="s">
        <v>438</v>
      </c>
      <c r="E101" s="10"/>
      <c r="F101" s="12" t="s">
        <v>144</v>
      </c>
      <c r="G101" s="13"/>
      <c r="H101" s="10"/>
      <c r="I101" s="14"/>
      <c r="J101" s="7"/>
      <c r="K101" s="7"/>
      <c r="L101" s="7"/>
      <c r="M101" s="7"/>
      <c r="N101" s="7">
        <f t="shared" si="1"/>
        <v>1</v>
      </c>
      <c r="O101" s="7"/>
    </row>
    <row r="102">
      <c r="A102" s="8" t="s">
        <v>440</v>
      </c>
      <c r="B102" s="9" t="s">
        <v>442</v>
      </c>
      <c r="C102" s="10"/>
      <c r="D102" s="18" t="s">
        <v>443</v>
      </c>
      <c r="E102" s="10"/>
      <c r="F102" s="12" t="s">
        <v>444</v>
      </c>
      <c r="G102" s="13"/>
      <c r="H102" s="10"/>
      <c r="I102" s="17" t="s">
        <v>445</v>
      </c>
      <c r="J102" s="7"/>
      <c r="K102" s="7"/>
      <c r="L102" s="7"/>
      <c r="M102" s="7"/>
      <c r="N102" s="7">
        <f t="shared" si="1"/>
        <v>1</v>
      </c>
      <c r="O102" s="7"/>
    </row>
    <row r="103">
      <c r="A103" s="8" t="s">
        <v>446</v>
      </c>
      <c r="B103" s="9" t="s">
        <v>447</v>
      </c>
      <c r="C103" s="10"/>
      <c r="D103" s="18" t="s">
        <v>448</v>
      </c>
      <c r="E103" s="10"/>
      <c r="F103" s="12" t="s">
        <v>77</v>
      </c>
      <c r="G103" s="13"/>
      <c r="H103" s="10"/>
      <c r="I103" s="14"/>
      <c r="J103" s="7"/>
      <c r="K103" s="7"/>
      <c r="L103" s="7"/>
      <c r="M103" s="7"/>
      <c r="N103" s="7">
        <f t="shared" si="1"/>
        <v>1</v>
      </c>
      <c r="O103" s="7"/>
    </row>
    <row r="104">
      <c r="A104" s="8" t="s">
        <v>449</v>
      </c>
      <c r="B104" s="9" t="s">
        <v>451</v>
      </c>
      <c r="C104" s="10"/>
      <c r="D104" s="9" t="s">
        <v>452</v>
      </c>
      <c r="E104" s="10"/>
      <c r="F104" s="16"/>
      <c r="G104" s="13"/>
      <c r="H104" s="10"/>
      <c r="I104" s="14"/>
      <c r="J104" s="7"/>
      <c r="K104" s="7"/>
      <c r="L104" s="7"/>
      <c r="M104" s="7"/>
      <c r="N104" s="7">
        <f t="shared" si="1"/>
        <v>0</v>
      </c>
      <c r="O104" s="7"/>
    </row>
    <row r="105">
      <c r="A105" s="8" t="s">
        <v>453</v>
      </c>
      <c r="B105" s="9" t="s">
        <v>454</v>
      </c>
      <c r="C105" s="10"/>
      <c r="D105" s="19" t="s">
        <v>1848</v>
      </c>
      <c r="E105" s="10"/>
      <c r="F105" s="12" t="s">
        <v>456</v>
      </c>
      <c r="G105" s="13"/>
      <c r="H105" s="10"/>
      <c r="I105" s="14"/>
      <c r="J105" s="7"/>
      <c r="K105" s="7"/>
      <c r="L105" s="7"/>
      <c r="M105" s="7"/>
      <c r="N105" s="7">
        <f t="shared" si="1"/>
        <v>1</v>
      </c>
      <c r="O105" s="7"/>
    </row>
    <row r="106">
      <c r="A106" s="20" t="s">
        <v>457</v>
      </c>
      <c r="B106" s="9" t="s">
        <v>458</v>
      </c>
      <c r="C106" s="10"/>
      <c r="D106" s="18" t="s">
        <v>459</v>
      </c>
      <c r="E106" s="10"/>
      <c r="F106" s="12" t="s">
        <v>460</v>
      </c>
      <c r="G106" s="13"/>
      <c r="H106" s="10"/>
      <c r="I106" s="17" t="s">
        <v>461</v>
      </c>
      <c r="J106" s="7"/>
      <c r="K106" s="7"/>
      <c r="L106" s="7"/>
      <c r="M106" s="7"/>
      <c r="N106" s="7">
        <f t="shared" si="1"/>
        <v>1</v>
      </c>
      <c r="O106" s="7"/>
    </row>
    <row r="107">
      <c r="A107" s="8" t="s">
        <v>462</v>
      </c>
      <c r="B107" s="9" t="s">
        <v>463</v>
      </c>
      <c r="C107" s="10"/>
      <c r="D107" s="18" t="s">
        <v>464</v>
      </c>
      <c r="E107" s="10"/>
      <c r="F107" s="12" t="s">
        <v>465</v>
      </c>
      <c r="G107" s="13"/>
      <c r="H107" s="10"/>
      <c r="I107" s="17" t="s">
        <v>466</v>
      </c>
      <c r="J107" s="7"/>
      <c r="K107" s="7"/>
      <c r="L107" s="7"/>
      <c r="M107" s="7"/>
      <c r="N107" s="7">
        <f t="shared" si="1"/>
        <v>1</v>
      </c>
      <c r="O107" s="7"/>
    </row>
    <row r="108">
      <c r="A108" s="8" t="s">
        <v>467</v>
      </c>
      <c r="B108" s="9" t="s">
        <v>468</v>
      </c>
      <c r="C108" s="10"/>
      <c r="D108" s="19" t="s">
        <v>1849</v>
      </c>
      <c r="E108" s="10"/>
      <c r="F108" s="12" t="s">
        <v>470</v>
      </c>
      <c r="G108" s="13"/>
      <c r="H108" s="10"/>
      <c r="I108" s="14"/>
      <c r="J108" s="7"/>
      <c r="K108" s="7"/>
      <c r="L108" s="7"/>
      <c r="M108" s="7"/>
      <c r="N108" s="7">
        <f t="shared" si="1"/>
        <v>1</v>
      </c>
      <c r="O108" s="7"/>
    </row>
    <row r="109">
      <c r="A109" s="8" t="s">
        <v>471</v>
      </c>
      <c r="B109" s="9" t="s">
        <v>472</v>
      </c>
      <c r="C109" s="10"/>
      <c r="D109" s="18" t="s">
        <v>473</v>
      </c>
      <c r="E109" s="10"/>
      <c r="F109" s="16"/>
      <c r="G109" s="13"/>
      <c r="H109" s="10"/>
      <c r="I109" s="14"/>
      <c r="J109" s="7"/>
      <c r="K109" s="7"/>
      <c r="L109" s="7"/>
      <c r="M109" s="7"/>
      <c r="N109" s="7">
        <f t="shared" si="1"/>
        <v>0</v>
      </c>
      <c r="O109" s="7"/>
    </row>
    <row r="110">
      <c r="A110" s="8" t="s">
        <v>476</v>
      </c>
      <c r="B110" s="9" t="s">
        <v>478</v>
      </c>
      <c r="C110" s="10"/>
      <c r="D110" s="19" t="s">
        <v>1851</v>
      </c>
      <c r="E110" s="10"/>
      <c r="F110" s="12" t="s">
        <v>480</v>
      </c>
      <c r="G110" s="13"/>
      <c r="H110" s="10"/>
      <c r="I110" s="14"/>
      <c r="J110" s="7"/>
      <c r="K110" s="7"/>
      <c r="L110" s="7"/>
      <c r="M110" s="7"/>
      <c r="N110" s="7">
        <f t="shared" si="1"/>
        <v>1</v>
      </c>
      <c r="O110" s="7"/>
    </row>
    <row r="111">
      <c r="A111" s="8" t="s">
        <v>482</v>
      </c>
      <c r="B111" s="9" t="s">
        <v>483</v>
      </c>
      <c r="C111" s="10"/>
      <c r="D111" s="11" t="s">
        <v>7</v>
      </c>
      <c r="E111" s="10"/>
      <c r="F111" s="12" t="s">
        <v>484</v>
      </c>
      <c r="G111" s="13"/>
      <c r="H111" s="10"/>
      <c r="I111" s="14"/>
      <c r="J111" s="7"/>
      <c r="K111" s="7"/>
      <c r="L111" s="7"/>
      <c r="M111" s="7"/>
      <c r="N111" s="7">
        <f t="shared" si="1"/>
        <v>1</v>
      </c>
      <c r="O111" s="7"/>
    </row>
    <row r="112">
      <c r="A112" s="8" t="s">
        <v>485</v>
      </c>
      <c r="B112" s="9" t="s">
        <v>487</v>
      </c>
      <c r="C112" s="10"/>
      <c r="D112" s="9" t="s">
        <v>488</v>
      </c>
      <c r="E112" s="10"/>
      <c r="F112" s="16"/>
      <c r="G112" s="13"/>
      <c r="H112" s="10"/>
      <c r="I112" s="14"/>
      <c r="J112" s="7"/>
      <c r="K112" s="7"/>
      <c r="L112" s="7"/>
      <c r="M112" s="7"/>
      <c r="N112" s="7">
        <f t="shared" si="1"/>
        <v>0</v>
      </c>
      <c r="O112" s="7"/>
    </row>
    <row r="113">
      <c r="A113" s="8" t="s">
        <v>489</v>
      </c>
      <c r="B113" s="15" t="s">
        <v>490</v>
      </c>
      <c r="C113" s="10"/>
      <c r="D113" s="11" t="s">
        <v>491</v>
      </c>
      <c r="E113" s="10"/>
      <c r="F113" s="12" t="s">
        <v>493</v>
      </c>
      <c r="G113" s="13"/>
      <c r="H113" s="10"/>
      <c r="I113" s="14"/>
      <c r="J113" s="7"/>
      <c r="K113" s="7"/>
      <c r="L113" s="7"/>
      <c r="M113" s="7"/>
      <c r="N113" s="7">
        <f t="shared" si="1"/>
        <v>1</v>
      </c>
      <c r="O113" s="7"/>
    </row>
    <row r="114">
      <c r="A114" s="8" t="s">
        <v>494</v>
      </c>
      <c r="B114" s="9" t="s">
        <v>495</v>
      </c>
      <c r="C114" s="10"/>
      <c r="D114" s="18" t="s">
        <v>496</v>
      </c>
      <c r="E114" s="10"/>
      <c r="F114" s="16"/>
      <c r="G114" s="13"/>
      <c r="H114" s="10"/>
      <c r="I114" s="14"/>
      <c r="J114" s="7"/>
      <c r="K114" s="7"/>
      <c r="L114" s="7"/>
      <c r="M114" s="7"/>
      <c r="N114" s="7">
        <f t="shared" si="1"/>
        <v>0</v>
      </c>
      <c r="O114" s="7"/>
    </row>
    <row r="115">
      <c r="A115" s="8" t="s">
        <v>497</v>
      </c>
      <c r="B115" s="9" t="s">
        <v>498</v>
      </c>
      <c r="C115" s="10"/>
      <c r="D115" s="11" t="s">
        <v>141</v>
      </c>
      <c r="E115" s="10"/>
      <c r="F115" s="12" t="s">
        <v>144</v>
      </c>
      <c r="G115" s="13"/>
      <c r="H115" s="10"/>
      <c r="I115" s="14"/>
      <c r="J115" s="7"/>
      <c r="K115" s="7"/>
      <c r="L115" s="7"/>
      <c r="M115" s="7"/>
      <c r="N115" s="7">
        <f t="shared" si="1"/>
        <v>1</v>
      </c>
      <c r="O115" s="7"/>
    </row>
    <row r="116">
      <c r="A116" s="8" t="s">
        <v>499</v>
      </c>
      <c r="B116" s="9" t="s">
        <v>184</v>
      </c>
      <c r="C116" s="10"/>
      <c r="D116" s="18" t="s">
        <v>500</v>
      </c>
      <c r="E116" s="10"/>
      <c r="F116" s="16"/>
      <c r="G116" s="13"/>
      <c r="H116" s="10"/>
      <c r="I116" s="14"/>
      <c r="J116" s="7"/>
      <c r="K116" s="7"/>
      <c r="L116" s="7"/>
      <c r="M116" s="7"/>
      <c r="N116" s="7">
        <f t="shared" si="1"/>
        <v>0</v>
      </c>
      <c r="O116" s="7"/>
    </row>
    <row r="117">
      <c r="A117" s="8" t="s">
        <v>501</v>
      </c>
      <c r="B117" s="9" t="s">
        <v>502</v>
      </c>
      <c r="C117" s="10"/>
      <c r="D117" s="19" t="s">
        <v>1860</v>
      </c>
      <c r="E117" s="10"/>
      <c r="F117" s="12" t="s">
        <v>504</v>
      </c>
      <c r="G117" s="13"/>
      <c r="H117" s="10"/>
      <c r="I117" s="14"/>
      <c r="J117" s="7"/>
      <c r="K117" s="7"/>
      <c r="L117" s="7"/>
      <c r="M117" s="7"/>
      <c r="N117" s="7">
        <f t="shared" si="1"/>
        <v>1</v>
      </c>
      <c r="O117" s="7"/>
    </row>
    <row r="118">
      <c r="A118" s="8" t="s">
        <v>505</v>
      </c>
      <c r="B118" s="9" t="s">
        <v>506</v>
      </c>
      <c r="C118" s="10"/>
      <c r="D118" s="11" t="s">
        <v>7</v>
      </c>
      <c r="E118" s="10"/>
      <c r="F118" s="12" t="s">
        <v>507</v>
      </c>
      <c r="G118" s="13"/>
      <c r="H118" s="10"/>
      <c r="I118" s="14"/>
      <c r="J118" s="7"/>
      <c r="K118" s="7"/>
      <c r="L118" s="7"/>
      <c r="M118" s="7"/>
      <c r="N118" s="7">
        <f t="shared" si="1"/>
        <v>1</v>
      </c>
      <c r="O118" s="7"/>
    </row>
    <row r="119">
      <c r="A119" s="8" t="s">
        <v>508</v>
      </c>
      <c r="B119" s="9" t="s">
        <v>510</v>
      </c>
      <c r="C119" s="10"/>
      <c r="D119" s="11" t="s">
        <v>7</v>
      </c>
      <c r="E119" s="10"/>
      <c r="F119" s="12" t="s">
        <v>512</v>
      </c>
      <c r="G119" s="13"/>
      <c r="H119" s="10"/>
      <c r="I119" s="14"/>
      <c r="J119" s="7"/>
      <c r="K119" s="7"/>
      <c r="L119" s="7"/>
      <c r="M119" s="7"/>
      <c r="N119" s="7">
        <f t="shared" si="1"/>
        <v>1</v>
      </c>
      <c r="O119" s="7"/>
    </row>
    <row r="120">
      <c r="A120" s="8" t="s">
        <v>513</v>
      </c>
      <c r="B120" s="9" t="s">
        <v>514</v>
      </c>
      <c r="C120" s="10"/>
      <c r="D120" s="18" t="s">
        <v>464</v>
      </c>
      <c r="E120" s="10"/>
      <c r="F120" s="12" t="s">
        <v>515</v>
      </c>
      <c r="G120" s="13"/>
      <c r="H120" s="10"/>
      <c r="I120" s="14"/>
      <c r="J120" s="7"/>
      <c r="K120" s="7"/>
      <c r="L120" s="7"/>
      <c r="M120" s="7"/>
      <c r="N120" s="7">
        <f t="shared" si="1"/>
        <v>1</v>
      </c>
      <c r="O120" s="7"/>
    </row>
    <row r="121">
      <c r="A121" s="8" t="s">
        <v>516</v>
      </c>
      <c r="B121" s="9" t="s">
        <v>517</v>
      </c>
      <c r="C121" s="10"/>
      <c r="D121" s="21" t="s">
        <v>1863</v>
      </c>
      <c r="E121" s="10"/>
      <c r="F121" s="12" t="s">
        <v>519</v>
      </c>
      <c r="G121" s="13"/>
      <c r="H121" s="10"/>
      <c r="I121" s="17" t="s">
        <v>520</v>
      </c>
      <c r="J121" s="7"/>
      <c r="K121" s="7"/>
      <c r="L121" s="7"/>
      <c r="M121" s="7"/>
      <c r="N121" s="7">
        <f t="shared" si="1"/>
        <v>1</v>
      </c>
      <c r="O121" s="7"/>
    </row>
    <row r="122">
      <c r="A122" s="8" t="s">
        <v>521</v>
      </c>
      <c r="B122" s="9" t="s">
        <v>522</v>
      </c>
      <c r="C122" s="10"/>
      <c r="D122" s="18" t="s">
        <v>523</v>
      </c>
      <c r="E122" s="10"/>
      <c r="F122" s="12" t="s">
        <v>524</v>
      </c>
      <c r="G122" s="13"/>
      <c r="H122" s="10"/>
      <c r="I122" s="14"/>
      <c r="J122" s="7"/>
      <c r="K122" s="7"/>
      <c r="L122" s="7"/>
      <c r="M122" s="7"/>
      <c r="N122" s="7">
        <f t="shared" si="1"/>
        <v>1</v>
      </c>
      <c r="O122" s="7"/>
    </row>
    <row r="123">
      <c r="A123" s="8" t="s">
        <v>156</v>
      </c>
      <c r="B123" s="9" t="s">
        <v>156</v>
      </c>
      <c r="C123" s="10"/>
      <c r="D123" s="18" t="s">
        <v>573</v>
      </c>
      <c r="E123" s="10"/>
      <c r="F123" s="12" t="s">
        <v>1864</v>
      </c>
      <c r="G123" s="13"/>
      <c r="H123" s="10"/>
      <c r="I123" s="14"/>
      <c r="J123" s="7"/>
      <c r="K123" s="7"/>
      <c r="L123" s="7"/>
      <c r="M123" s="7"/>
      <c r="N123" s="7">
        <f t="shared" si="1"/>
        <v>1</v>
      </c>
      <c r="O123" s="7"/>
    </row>
    <row r="124">
      <c r="A124" s="7"/>
      <c r="B124" s="7"/>
      <c r="C124" s="7"/>
      <c r="D124" s="7"/>
      <c r="E124" s="7"/>
      <c r="F124" s="7"/>
      <c r="G124" s="7"/>
      <c r="H124" s="7"/>
      <c r="I124" s="7"/>
      <c r="J124" s="7"/>
      <c r="K124" s="7"/>
      <c r="L124" s="7"/>
      <c r="M124" s="7"/>
      <c r="N124" s="7"/>
      <c r="O124" s="7">
        <f>SUM(N3:N124)</f>
        <v>92</v>
      </c>
      <c r="P124" s="7"/>
      <c r="Q124" s="7"/>
      <c r="R124" s="7"/>
      <c r="S124" s="7"/>
      <c r="T124" s="7"/>
      <c r="U124" s="7"/>
      <c r="V124" s="7"/>
      <c r="W124" s="7"/>
      <c r="X124" s="7"/>
      <c r="Y124" s="7"/>
      <c r="Z124" s="7"/>
    </row>
    <row r="125">
      <c r="A125" s="25" t="s">
        <v>576</v>
      </c>
      <c r="B125" s="25" t="s">
        <v>577</v>
      </c>
      <c r="C125" s="25" t="s">
        <v>578</v>
      </c>
      <c r="D125" s="25" t="s">
        <v>579</v>
      </c>
      <c r="E125" s="25" t="s">
        <v>580</v>
      </c>
      <c r="F125" s="25" t="s">
        <v>581</v>
      </c>
      <c r="G125" s="25"/>
      <c r="H125" s="25"/>
      <c r="I125" s="25" t="s">
        <v>4</v>
      </c>
      <c r="J125" s="7"/>
      <c r="K125" s="7"/>
      <c r="L125" s="7"/>
      <c r="M125" s="7"/>
      <c r="N125" s="7"/>
      <c r="O125" s="7"/>
    </row>
    <row r="126">
      <c r="A126" s="26" t="s">
        <v>582</v>
      </c>
      <c r="B126" s="26" t="s">
        <v>583</v>
      </c>
      <c r="C126" s="26" t="s">
        <v>584</v>
      </c>
      <c r="D126" s="27"/>
      <c r="E126" s="28" t="s">
        <v>585</v>
      </c>
      <c r="F126" s="29"/>
      <c r="G126" s="13"/>
      <c r="H126" s="10"/>
      <c r="I126" s="29"/>
      <c r="J126" s="7"/>
      <c r="K126" s="7"/>
      <c r="L126" s="7"/>
      <c r="M126" s="7"/>
      <c r="N126" s="7">
        <f t="shared" ref="N126:N320" si="2"> IF(ISBLANK(F126), 0, 1)</f>
        <v>0</v>
      </c>
      <c r="O126" s="7"/>
    </row>
    <row r="127">
      <c r="A127" s="26" t="s">
        <v>587</v>
      </c>
      <c r="B127" s="26" t="s">
        <v>588</v>
      </c>
      <c r="C127" s="26" t="s">
        <v>589</v>
      </c>
      <c r="D127" s="27"/>
      <c r="E127" s="28" t="s">
        <v>591</v>
      </c>
      <c r="F127" s="30" t="s">
        <v>592</v>
      </c>
      <c r="G127" s="13"/>
      <c r="H127" s="10"/>
      <c r="I127" s="29"/>
      <c r="J127" s="7"/>
      <c r="K127" s="7"/>
      <c r="L127" s="7"/>
      <c r="M127" s="7"/>
      <c r="N127" s="7">
        <f t="shared" si="2"/>
        <v>1</v>
      </c>
      <c r="O127" s="7"/>
    </row>
    <row r="128">
      <c r="A128" s="26" t="s">
        <v>596</v>
      </c>
      <c r="B128" s="26" t="s">
        <v>597</v>
      </c>
      <c r="C128" s="26" t="s">
        <v>589</v>
      </c>
      <c r="D128" s="26" t="s">
        <v>598</v>
      </c>
      <c r="E128" s="28" t="s">
        <v>599</v>
      </c>
      <c r="F128" s="29"/>
      <c r="G128" s="13"/>
      <c r="H128" s="10"/>
      <c r="I128" s="29"/>
      <c r="J128" s="7"/>
      <c r="K128" s="7"/>
      <c r="L128" s="7"/>
      <c r="M128" s="7"/>
      <c r="N128" s="7">
        <f t="shared" si="2"/>
        <v>0</v>
      </c>
      <c r="O128" s="7"/>
    </row>
    <row r="129">
      <c r="A129" s="26" t="s">
        <v>602</v>
      </c>
      <c r="B129" s="31" t="s">
        <v>603</v>
      </c>
      <c r="C129" s="26" t="s">
        <v>589</v>
      </c>
      <c r="D129" s="27"/>
      <c r="E129" s="32" t="s">
        <v>604</v>
      </c>
      <c r="F129" s="30" t="s">
        <v>605</v>
      </c>
      <c r="G129" s="13"/>
      <c r="H129" s="10"/>
      <c r="I129" s="30" t="s">
        <v>520</v>
      </c>
      <c r="J129" s="7"/>
      <c r="K129" s="7"/>
      <c r="L129" s="7"/>
      <c r="M129" s="7"/>
      <c r="N129" s="7">
        <f t="shared" si="2"/>
        <v>1</v>
      </c>
      <c r="O129" s="7"/>
    </row>
    <row r="130">
      <c r="A130" s="26" t="s">
        <v>606</v>
      </c>
      <c r="B130" s="26" t="s">
        <v>607</v>
      </c>
      <c r="C130" s="26" t="s">
        <v>584</v>
      </c>
      <c r="D130" s="27"/>
      <c r="E130" s="32" t="s">
        <v>608</v>
      </c>
      <c r="F130" s="30" t="s">
        <v>609</v>
      </c>
      <c r="G130" s="13"/>
      <c r="H130" s="10"/>
      <c r="I130" s="29"/>
      <c r="J130" s="7"/>
      <c r="K130" s="7"/>
      <c r="L130" s="7"/>
      <c r="M130" s="7"/>
      <c r="N130" s="7">
        <f t="shared" si="2"/>
        <v>1</v>
      </c>
      <c r="O130" s="7"/>
    </row>
    <row r="131">
      <c r="A131" s="26" t="s">
        <v>610</v>
      </c>
      <c r="B131" s="31" t="s">
        <v>611</v>
      </c>
      <c r="C131" s="26" t="s">
        <v>589</v>
      </c>
      <c r="D131" s="27"/>
      <c r="E131" s="28" t="s">
        <v>612</v>
      </c>
      <c r="F131" s="30" t="s">
        <v>613</v>
      </c>
      <c r="G131" s="13"/>
      <c r="H131" s="10"/>
      <c r="I131" s="29"/>
      <c r="J131" s="7"/>
      <c r="K131" s="7"/>
      <c r="L131" s="7"/>
      <c r="M131" s="7"/>
      <c r="N131" s="7">
        <f t="shared" si="2"/>
        <v>1</v>
      </c>
      <c r="O131" s="7"/>
    </row>
    <row r="132">
      <c r="A132" s="26" t="s">
        <v>614</v>
      </c>
      <c r="B132" s="31" t="s">
        <v>615</v>
      </c>
      <c r="C132" s="26" t="s">
        <v>589</v>
      </c>
      <c r="D132" s="27"/>
      <c r="E132" s="28" t="s">
        <v>616</v>
      </c>
      <c r="F132" s="30" t="s">
        <v>617</v>
      </c>
      <c r="G132" s="13"/>
      <c r="H132" s="10"/>
      <c r="I132" s="29"/>
      <c r="J132" s="7"/>
      <c r="K132" s="7"/>
      <c r="L132" s="7"/>
      <c r="M132" s="7"/>
      <c r="N132" s="7">
        <f t="shared" si="2"/>
        <v>1</v>
      </c>
      <c r="O132" s="7"/>
    </row>
    <row r="133">
      <c r="A133" s="31" t="s">
        <v>614</v>
      </c>
      <c r="B133" s="26" t="s">
        <v>618</v>
      </c>
      <c r="C133" s="26" t="s">
        <v>589</v>
      </c>
      <c r="D133" s="27"/>
      <c r="E133" s="28" t="s">
        <v>619</v>
      </c>
      <c r="F133" s="30" t="s">
        <v>617</v>
      </c>
      <c r="G133" s="13"/>
      <c r="H133" s="10"/>
      <c r="I133" s="29"/>
      <c r="J133" s="7"/>
      <c r="K133" s="7"/>
      <c r="L133" s="7"/>
      <c r="M133" s="7"/>
      <c r="N133" s="7">
        <f t="shared" si="2"/>
        <v>1</v>
      </c>
      <c r="O133" s="7"/>
    </row>
    <row r="134">
      <c r="A134" s="31" t="s">
        <v>614</v>
      </c>
      <c r="B134" s="26" t="s">
        <v>615</v>
      </c>
      <c r="C134" s="26" t="s">
        <v>589</v>
      </c>
      <c r="D134" s="27"/>
      <c r="E134" s="28" t="s">
        <v>620</v>
      </c>
      <c r="F134" s="30" t="s">
        <v>617</v>
      </c>
      <c r="G134" s="13"/>
      <c r="H134" s="10"/>
      <c r="I134" s="29"/>
      <c r="J134" s="7"/>
      <c r="K134" s="7"/>
      <c r="L134" s="7"/>
      <c r="M134" s="7"/>
      <c r="N134" s="7">
        <f t="shared" si="2"/>
        <v>1</v>
      </c>
      <c r="O134" s="7"/>
    </row>
    <row r="135">
      <c r="A135" s="26" t="s">
        <v>623</v>
      </c>
      <c r="B135" s="26" t="s">
        <v>624</v>
      </c>
      <c r="C135" s="26" t="s">
        <v>584</v>
      </c>
      <c r="D135" s="33" t="s">
        <v>1870</v>
      </c>
      <c r="E135" s="28" t="s">
        <v>626</v>
      </c>
      <c r="F135" s="30" t="s">
        <v>627</v>
      </c>
      <c r="G135" s="13"/>
      <c r="H135" s="10"/>
      <c r="I135" s="29"/>
      <c r="J135" s="7"/>
      <c r="K135" s="7"/>
      <c r="L135" s="7"/>
      <c r="M135" s="7"/>
      <c r="N135" s="7">
        <f t="shared" si="2"/>
        <v>1</v>
      </c>
      <c r="O135" s="7"/>
    </row>
    <row r="136">
      <c r="A136" s="26" t="s">
        <v>628</v>
      </c>
      <c r="B136" s="26" t="s">
        <v>629</v>
      </c>
      <c r="C136" s="26" t="s">
        <v>589</v>
      </c>
      <c r="D136" s="27"/>
      <c r="E136" s="28" t="s">
        <v>630</v>
      </c>
      <c r="F136" s="30" t="s">
        <v>632</v>
      </c>
      <c r="G136" s="13"/>
      <c r="H136" s="10"/>
      <c r="I136" s="29"/>
      <c r="J136" s="7"/>
      <c r="K136" s="7"/>
      <c r="L136" s="7"/>
      <c r="M136" s="7"/>
      <c r="N136" s="7">
        <f t="shared" si="2"/>
        <v>1</v>
      </c>
      <c r="O136" s="7"/>
    </row>
    <row r="137">
      <c r="A137" s="26" t="s">
        <v>633</v>
      </c>
      <c r="B137" s="26" t="s">
        <v>634</v>
      </c>
      <c r="C137" s="26" t="s">
        <v>584</v>
      </c>
      <c r="D137" s="26" t="s">
        <v>635</v>
      </c>
      <c r="E137" s="28" t="s">
        <v>636</v>
      </c>
      <c r="F137" s="29"/>
      <c r="G137" s="13"/>
      <c r="H137" s="10"/>
      <c r="I137" s="29"/>
      <c r="J137" s="7"/>
      <c r="K137" s="7"/>
      <c r="L137" s="7"/>
      <c r="M137" s="7"/>
      <c r="N137" s="7">
        <f t="shared" si="2"/>
        <v>0</v>
      </c>
      <c r="O137" s="7"/>
    </row>
    <row r="138">
      <c r="A138" s="31" t="s">
        <v>637</v>
      </c>
      <c r="B138" s="26" t="s">
        <v>638</v>
      </c>
      <c r="C138" s="26" t="s">
        <v>589</v>
      </c>
      <c r="D138" s="27"/>
      <c r="E138" s="33" t="s">
        <v>1873</v>
      </c>
      <c r="F138" s="30" t="s">
        <v>640</v>
      </c>
      <c r="G138" s="13"/>
      <c r="H138" s="10"/>
      <c r="I138" s="29"/>
      <c r="J138" s="7"/>
      <c r="K138" s="7"/>
      <c r="L138" s="7"/>
      <c r="M138" s="7"/>
      <c r="N138" s="7">
        <f t="shared" si="2"/>
        <v>1</v>
      </c>
      <c r="O138" s="7"/>
    </row>
    <row r="139">
      <c r="A139" s="26" t="s">
        <v>641</v>
      </c>
      <c r="B139" s="26" t="s">
        <v>642</v>
      </c>
      <c r="C139" s="26" t="s">
        <v>589</v>
      </c>
      <c r="D139" s="27"/>
      <c r="E139" s="28" t="s">
        <v>643</v>
      </c>
      <c r="F139" s="30" t="s">
        <v>645</v>
      </c>
      <c r="G139" s="13"/>
      <c r="H139" s="10"/>
      <c r="I139" s="29"/>
      <c r="J139" s="7"/>
      <c r="K139" s="7"/>
      <c r="L139" s="7"/>
      <c r="M139" s="7"/>
      <c r="N139" s="7">
        <f t="shared" si="2"/>
        <v>1</v>
      </c>
      <c r="O139" s="7"/>
    </row>
    <row r="140">
      <c r="A140" s="26" t="s">
        <v>646</v>
      </c>
      <c r="B140" s="26" t="s">
        <v>647</v>
      </c>
      <c r="C140" s="26" t="s">
        <v>648</v>
      </c>
      <c r="D140" s="27"/>
      <c r="E140" s="28" t="s">
        <v>649</v>
      </c>
      <c r="F140" s="29"/>
      <c r="G140" s="13"/>
      <c r="H140" s="10"/>
      <c r="I140" s="29"/>
      <c r="J140" s="7"/>
      <c r="K140" s="7"/>
      <c r="L140" s="7"/>
      <c r="M140" s="7"/>
      <c r="N140" s="7">
        <f t="shared" si="2"/>
        <v>0</v>
      </c>
      <c r="O140" s="7"/>
    </row>
    <row r="141">
      <c r="A141" s="26" t="s">
        <v>650</v>
      </c>
      <c r="B141" s="26" t="s">
        <v>651</v>
      </c>
      <c r="C141" s="26" t="s">
        <v>589</v>
      </c>
      <c r="D141" s="27"/>
      <c r="E141" s="28" t="s">
        <v>652</v>
      </c>
      <c r="F141" s="29"/>
      <c r="G141" s="13"/>
      <c r="H141" s="10"/>
      <c r="I141" s="29"/>
      <c r="J141" s="7"/>
      <c r="K141" s="7"/>
      <c r="L141" s="7"/>
      <c r="M141" s="7"/>
      <c r="N141" s="7">
        <f t="shared" si="2"/>
        <v>0</v>
      </c>
      <c r="O141" s="7"/>
    </row>
    <row r="142">
      <c r="A142" s="26" t="s">
        <v>654</v>
      </c>
      <c r="B142" s="26" t="s">
        <v>655</v>
      </c>
      <c r="C142" s="26" t="s">
        <v>589</v>
      </c>
      <c r="D142" s="26" t="s">
        <v>635</v>
      </c>
      <c r="E142" s="28" t="s">
        <v>656</v>
      </c>
      <c r="F142" s="29"/>
      <c r="G142" s="13"/>
      <c r="H142" s="10"/>
      <c r="I142" s="29"/>
      <c r="J142" s="7"/>
      <c r="K142" s="7"/>
      <c r="L142" s="7"/>
      <c r="M142" s="7"/>
      <c r="N142" s="7">
        <f t="shared" si="2"/>
        <v>0</v>
      </c>
      <c r="O142" s="7"/>
    </row>
    <row r="143">
      <c r="A143" s="26" t="s">
        <v>657</v>
      </c>
      <c r="B143" s="26" t="s">
        <v>658</v>
      </c>
      <c r="C143" s="26" t="s">
        <v>589</v>
      </c>
      <c r="D143" s="27"/>
      <c r="E143" s="28" t="s">
        <v>659</v>
      </c>
      <c r="F143" s="29"/>
      <c r="G143" s="13"/>
      <c r="H143" s="10"/>
      <c r="I143" s="29"/>
      <c r="J143" s="7"/>
      <c r="K143" s="7"/>
      <c r="L143" s="7"/>
      <c r="M143" s="7"/>
      <c r="N143" s="7">
        <f t="shared" si="2"/>
        <v>0</v>
      </c>
      <c r="O143" s="7"/>
    </row>
    <row r="144">
      <c r="A144" s="26" t="s">
        <v>660</v>
      </c>
      <c r="B144" s="26" t="s">
        <v>661</v>
      </c>
      <c r="C144" s="26" t="s">
        <v>589</v>
      </c>
      <c r="D144" s="27"/>
      <c r="E144" s="33" t="s">
        <v>1878</v>
      </c>
      <c r="F144" s="30" t="s">
        <v>663</v>
      </c>
      <c r="G144" s="13"/>
      <c r="H144" s="10"/>
      <c r="I144" s="29"/>
      <c r="J144" s="7"/>
      <c r="K144" s="7"/>
      <c r="L144" s="7"/>
      <c r="M144" s="7"/>
      <c r="N144" s="7">
        <f t="shared" si="2"/>
        <v>1</v>
      </c>
      <c r="O144" s="7"/>
    </row>
    <row r="145">
      <c r="A145" s="26" t="s">
        <v>664</v>
      </c>
      <c r="B145" s="26" t="s">
        <v>665</v>
      </c>
      <c r="C145" s="26" t="s">
        <v>589</v>
      </c>
      <c r="D145" s="27"/>
      <c r="E145" s="28" t="s">
        <v>666</v>
      </c>
      <c r="F145" s="30" t="s">
        <v>667</v>
      </c>
      <c r="G145" s="13"/>
      <c r="H145" s="10"/>
      <c r="I145" s="29"/>
      <c r="J145" s="7"/>
      <c r="K145" s="7"/>
      <c r="L145" s="7"/>
      <c r="M145" s="7"/>
      <c r="N145" s="7">
        <f t="shared" si="2"/>
        <v>1</v>
      </c>
      <c r="O145" s="7"/>
    </row>
    <row r="146">
      <c r="A146" s="26" t="s">
        <v>668</v>
      </c>
      <c r="B146" s="26" t="s">
        <v>669</v>
      </c>
      <c r="C146" s="26" t="s">
        <v>589</v>
      </c>
      <c r="D146" s="26" t="s">
        <v>598</v>
      </c>
      <c r="E146" s="28" t="s">
        <v>670</v>
      </c>
      <c r="F146" s="30" t="s">
        <v>671</v>
      </c>
      <c r="G146" s="13"/>
      <c r="H146" s="10"/>
      <c r="I146" s="29"/>
      <c r="J146" s="7"/>
      <c r="K146" s="7"/>
      <c r="L146" s="7"/>
      <c r="M146" s="7"/>
      <c r="N146" s="7">
        <f t="shared" si="2"/>
        <v>1</v>
      </c>
      <c r="O146" s="7"/>
    </row>
    <row r="147">
      <c r="A147" s="26" t="s">
        <v>672</v>
      </c>
      <c r="B147" s="26" t="s">
        <v>673</v>
      </c>
      <c r="C147" s="26" t="s">
        <v>589</v>
      </c>
      <c r="D147" s="27"/>
      <c r="E147" s="28" t="s">
        <v>674</v>
      </c>
      <c r="F147" s="29"/>
      <c r="G147" s="13"/>
      <c r="H147" s="10"/>
      <c r="I147" s="29"/>
      <c r="J147" s="7"/>
      <c r="K147" s="7"/>
      <c r="L147" s="7"/>
      <c r="M147" s="7"/>
      <c r="N147" s="7">
        <f t="shared" si="2"/>
        <v>0</v>
      </c>
      <c r="O147" s="7"/>
    </row>
    <row r="148">
      <c r="A148" s="26" t="s">
        <v>676</v>
      </c>
      <c r="B148" s="26" t="s">
        <v>677</v>
      </c>
      <c r="C148" s="26" t="s">
        <v>589</v>
      </c>
      <c r="D148" s="27"/>
      <c r="E148" s="28" t="s">
        <v>678</v>
      </c>
      <c r="F148" s="30" t="s">
        <v>680</v>
      </c>
      <c r="G148" s="13"/>
      <c r="H148" s="10"/>
      <c r="I148" s="29"/>
      <c r="J148" s="7"/>
      <c r="K148" s="7"/>
      <c r="L148" s="7"/>
      <c r="M148" s="7"/>
      <c r="N148" s="7">
        <f t="shared" si="2"/>
        <v>1</v>
      </c>
      <c r="O148" s="7"/>
    </row>
    <row r="149">
      <c r="A149" s="26" t="s">
        <v>681</v>
      </c>
      <c r="B149" s="26" t="s">
        <v>682</v>
      </c>
      <c r="C149" s="26" t="s">
        <v>589</v>
      </c>
      <c r="D149" s="27"/>
      <c r="E149" s="28" t="s">
        <v>683</v>
      </c>
      <c r="F149" s="29"/>
      <c r="G149" s="13"/>
      <c r="H149" s="10"/>
      <c r="I149" s="29"/>
      <c r="J149" s="7"/>
      <c r="K149" s="7"/>
      <c r="L149" s="7"/>
      <c r="M149" s="7"/>
      <c r="N149" s="7">
        <f t="shared" si="2"/>
        <v>0</v>
      </c>
      <c r="O149" s="7"/>
    </row>
    <row r="150">
      <c r="A150" s="31" t="s">
        <v>684</v>
      </c>
      <c r="B150" s="26" t="s">
        <v>685</v>
      </c>
      <c r="C150" s="26" t="s">
        <v>584</v>
      </c>
      <c r="D150" s="27"/>
      <c r="E150" s="31" t="s">
        <v>686</v>
      </c>
      <c r="F150" s="30" t="s">
        <v>687</v>
      </c>
      <c r="G150" s="13"/>
      <c r="H150" s="10"/>
      <c r="I150" s="29"/>
      <c r="J150" s="7"/>
      <c r="K150" s="7"/>
      <c r="L150" s="7"/>
      <c r="M150" s="7"/>
      <c r="N150" s="7">
        <f t="shared" si="2"/>
        <v>1</v>
      </c>
      <c r="O150" s="7"/>
    </row>
    <row r="151">
      <c r="A151" s="26" t="s">
        <v>688</v>
      </c>
      <c r="B151" s="31" t="s">
        <v>689</v>
      </c>
      <c r="C151" s="26" t="s">
        <v>589</v>
      </c>
      <c r="D151" s="27"/>
      <c r="E151" s="28" t="s">
        <v>690</v>
      </c>
      <c r="F151" s="30" t="s">
        <v>691</v>
      </c>
      <c r="G151" s="13"/>
      <c r="H151" s="10"/>
      <c r="I151" s="29"/>
      <c r="J151" s="7"/>
      <c r="K151" s="7"/>
      <c r="L151" s="7"/>
      <c r="M151" s="7"/>
      <c r="N151" s="7">
        <f t="shared" si="2"/>
        <v>1</v>
      </c>
      <c r="O151" s="7"/>
    </row>
    <row r="152">
      <c r="A152" s="31" t="s">
        <v>692</v>
      </c>
      <c r="B152" s="26" t="s">
        <v>693</v>
      </c>
      <c r="C152" s="26" t="s">
        <v>589</v>
      </c>
      <c r="D152" s="27"/>
      <c r="E152" s="28" t="s">
        <v>694</v>
      </c>
      <c r="F152" s="30" t="s">
        <v>695</v>
      </c>
      <c r="G152" s="13"/>
      <c r="H152" s="10"/>
      <c r="I152" s="29"/>
      <c r="J152" s="7"/>
      <c r="K152" s="7"/>
      <c r="L152" s="7"/>
      <c r="M152" s="7"/>
      <c r="N152" s="7">
        <f t="shared" si="2"/>
        <v>1</v>
      </c>
      <c r="O152" s="7"/>
    </row>
    <row r="153">
      <c r="A153" s="31" t="s">
        <v>696</v>
      </c>
      <c r="B153" s="31" t="s">
        <v>697</v>
      </c>
      <c r="C153" s="26" t="s">
        <v>589</v>
      </c>
      <c r="D153" s="27"/>
      <c r="E153" s="28" t="s">
        <v>698</v>
      </c>
      <c r="F153" s="30" t="s">
        <v>699</v>
      </c>
      <c r="G153" s="13"/>
      <c r="H153" s="10"/>
      <c r="I153" s="29"/>
      <c r="J153" s="7"/>
      <c r="K153" s="7"/>
      <c r="L153" s="7"/>
      <c r="M153" s="7"/>
      <c r="N153" s="7">
        <f t="shared" si="2"/>
        <v>1</v>
      </c>
      <c r="O153" s="7"/>
    </row>
    <row r="154">
      <c r="A154" s="26" t="s">
        <v>700</v>
      </c>
      <c r="B154" s="26" t="s">
        <v>701</v>
      </c>
      <c r="C154" s="26" t="s">
        <v>584</v>
      </c>
      <c r="D154" s="27"/>
      <c r="E154" s="28" t="s">
        <v>702</v>
      </c>
      <c r="F154" s="29"/>
      <c r="G154" s="13"/>
      <c r="H154" s="10"/>
      <c r="I154" s="29"/>
      <c r="J154" s="7"/>
      <c r="K154" s="7"/>
      <c r="L154" s="7"/>
      <c r="M154" s="7"/>
      <c r="N154" s="7">
        <f t="shared" si="2"/>
        <v>0</v>
      </c>
      <c r="O154" s="7"/>
    </row>
    <row r="155">
      <c r="A155" s="26" t="s">
        <v>703</v>
      </c>
      <c r="B155" s="26" t="s">
        <v>704</v>
      </c>
      <c r="C155" s="26" t="s">
        <v>589</v>
      </c>
      <c r="D155" s="27"/>
      <c r="E155" s="28" t="s">
        <v>705</v>
      </c>
      <c r="F155" s="30" t="s">
        <v>706</v>
      </c>
      <c r="G155" s="13"/>
      <c r="H155" s="10"/>
      <c r="I155" s="29"/>
      <c r="J155" s="7"/>
      <c r="K155" s="7"/>
      <c r="L155" s="7"/>
      <c r="M155" s="7"/>
      <c r="N155" s="7">
        <f t="shared" si="2"/>
        <v>1</v>
      </c>
      <c r="O155" s="7"/>
    </row>
    <row r="156">
      <c r="A156" s="26" t="s">
        <v>707</v>
      </c>
      <c r="B156" s="26" t="s">
        <v>708</v>
      </c>
      <c r="C156" s="26" t="s">
        <v>589</v>
      </c>
      <c r="D156" s="26" t="s">
        <v>635</v>
      </c>
      <c r="E156" s="28" t="s">
        <v>709</v>
      </c>
      <c r="F156" s="30" t="s">
        <v>710</v>
      </c>
      <c r="G156" s="13"/>
      <c r="H156" s="10"/>
      <c r="I156" s="30"/>
      <c r="J156" s="7"/>
      <c r="K156" s="7"/>
      <c r="L156" s="7"/>
      <c r="M156" s="7"/>
      <c r="N156" s="7">
        <f t="shared" si="2"/>
        <v>1</v>
      </c>
      <c r="O156" s="7"/>
    </row>
    <row r="157">
      <c r="A157" s="26" t="s">
        <v>711</v>
      </c>
      <c r="B157" s="26" t="s">
        <v>712</v>
      </c>
      <c r="C157" s="26" t="s">
        <v>589</v>
      </c>
      <c r="D157" s="27"/>
      <c r="E157" s="28" t="s">
        <v>713</v>
      </c>
      <c r="F157" s="29"/>
      <c r="G157" s="13"/>
      <c r="H157" s="10"/>
      <c r="I157" s="30" t="s">
        <v>466</v>
      </c>
      <c r="J157" s="7"/>
      <c r="K157" s="7"/>
      <c r="L157" s="7"/>
      <c r="M157" s="7"/>
      <c r="N157" s="7">
        <f t="shared" si="2"/>
        <v>0</v>
      </c>
      <c r="O157" s="7"/>
    </row>
    <row r="158">
      <c r="A158" s="31" t="s">
        <v>714</v>
      </c>
      <c r="B158" s="26" t="s">
        <v>715</v>
      </c>
      <c r="C158" s="26" t="s">
        <v>589</v>
      </c>
      <c r="D158" s="27"/>
      <c r="E158" s="28" t="s">
        <v>716</v>
      </c>
      <c r="F158" s="30" t="s">
        <v>718</v>
      </c>
      <c r="G158" s="13"/>
      <c r="H158" s="10"/>
      <c r="I158" s="29"/>
      <c r="J158" s="7"/>
      <c r="K158" s="7"/>
      <c r="L158" s="7"/>
      <c r="M158" s="7"/>
      <c r="N158" s="7">
        <f t="shared" si="2"/>
        <v>1</v>
      </c>
      <c r="O158" s="7"/>
    </row>
    <row r="159">
      <c r="A159" s="26" t="s">
        <v>719</v>
      </c>
      <c r="B159" s="26" t="s">
        <v>720</v>
      </c>
      <c r="C159" s="26" t="s">
        <v>589</v>
      </c>
      <c r="D159" s="26" t="s">
        <v>598</v>
      </c>
      <c r="E159" s="28" t="s">
        <v>721</v>
      </c>
      <c r="F159" s="30" t="s">
        <v>722</v>
      </c>
      <c r="G159" s="13"/>
      <c r="H159" s="10"/>
      <c r="I159" s="29"/>
      <c r="J159" s="7"/>
      <c r="K159" s="7"/>
      <c r="L159" s="7"/>
      <c r="M159" s="7"/>
      <c r="N159" s="7">
        <f t="shared" si="2"/>
        <v>1</v>
      </c>
      <c r="O159" s="7"/>
    </row>
    <row r="160">
      <c r="A160" s="26" t="s">
        <v>723</v>
      </c>
      <c r="B160" s="26" t="s">
        <v>724</v>
      </c>
      <c r="C160" s="26" t="s">
        <v>589</v>
      </c>
      <c r="D160" s="27"/>
      <c r="E160" s="28" t="s">
        <v>725</v>
      </c>
      <c r="F160" s="29"/>
      <c r="G160" s="13"/>
      <c r="H160" s="10"/>
      <c r="I160" s="29"/>
      <c r="J160" s="7"/>
      <c r="K160" s="7"/>
      <c r="L160" s="7"/>
      <c r="M160" s="7"/>
      <c r="N160" s="7">
        <f t="shared" si="2"/>
        <v>0</v>
      </c>
      <c r="O160" s="7"/>
    </row>
    <row r="161">
      <c r="A161" s="26" t="s">
        <v>726</v>
      </c>
      <c r="B161" s="26" t="s">
        <v>727</v>
      </c>
      <c r="C161" s="26" t="s">
        <v>584</v>
      </c>
      <c r="D161" s="27"/>
      <c r="E161" s="28" t="s">
        <v>728</v>
      </c>
      <c r="F161" s="29"/>
      <c r="G161" s="13"/>
      <c r="H161" s="10"/>
      <c r="I161" s="29"/>
      <c r="J161" s="7"/>
      <c r="K161" s="7"/>
      <c r="L161" s="7"/>
      <c r="M161" s="7"/>
      <c r="N161" s="7">
        <f t="shared" si="2"/>
        <v>0</v>
      </c>
      <c r="O161" s="7"/>
    </row>
    <row r="162">
      <c r="A162" s="26" t="s">
        <v>729</v>
      </c>
      <c r="B162" s="26" t="s">
        <v>730</v>
      </c>
      <c r="C162" s="26" t="s">
        <v>589</v>
      </c>
      <c r="D162" s="27"/>
      <c r="E162" s="28" t="s">
        <v>731</v>
      </c>
      <c r="F162" s="30" t="s">
        <v>733</v>
      </c>
      <c r="G162" s="13"/>
      <c r="H162" s="10"/>
      <c r="I162" s="29"/>
      <c r="J162" s="7"/>
      <c r="K162" s="7"/>
      <c r="L162" s="7"/>
      <c r="M162" s="7"/>
      <c r="N162" s="7">
        <f t="shared" si="2"/>
        <v>1</v>
      </c>
      <c r="O162" s="7"/>
    </row>
    <row r="163">
      <c r="A163" s="26" t="s">
        <v>734</v>
      </c>
      <c r="B163" s="26" t="s">
        <v>735</v>
      </c>
      <c r="C163" s="26" t="s">
        <v>736</v>
      </c>
      <c r="D163" s="27"/>
      <c r="E163" s="32" t="s">
        <v>737</v>
      </c>
      <c r="F163" s="30" t="s">
        <v>738</v>
      </c>
      <c r="G163" s="13"/>
      <c r="H163" s="10"/>
      <c r="I163" s="17" t="s">
        <v>445</v>
      </c>
      <c r="J163" s="7"/>
      <c r="K163" s="7"/>
      <c r="L163" s="7"/>
      <c r="M163" s="7"/>
      <c r="N163" s="7">
        <f t="shared" si="2"/>
        <v>1</v>
      </c>
      <c r="O163" s="7"/>
    </row>
    <row r="164">
      <c r="A164" s="26" t="s">
        <v>739</v>
      </c>
      <c r="B164" s="26" t="s">
        <v>740</v>
      </c>
      <c r="C164" s="26" t="s">
        <v>589</v>
      </c>
      <c r="D164" s="27"/>
      <c r="E164" s="28" t="s">
        <v>741</v>
      </c>
      <c r="F164" s="30" t="s">
        <v>742</v>
      </c>
      <c r="G164" s="13"/>
      <c r="H164" s="10"/>
      <c r="I164" s="29"/>
      <c r="J164" s="7"/>
      <c r="K164" s="7"/>
      <c r="L164" s="7"/>
      <c r="M164" s="7"/>
      <c r="N164" s="7">
        <f t="shared" si="2"/>
        <v>1</v>
      </c>
      <c r="O164" s="7"/>
    </row>
    <row r="165">
      <c r="A165" s="26" t="s">
        <v>743</v>
      </c>
      <c r="B165" s="26" t="s">
        <v>744</v>
      </c>
      <c r="C165" s="26" t="s">
        <v>584</v>
      </c>
      <c r="D165" s="26" t="s">
        <v>635</v>
      </c>
      <c r="E165" s="28" t="s">
        <v>745</v>
      </c>
      <c r="F165" s="29"/>
      <c r="G165" s="13"/>
      <c r="H165" s="10"/>
      <c r="I165" s="29"/>
      <c r="J165" s="7"/>
      <c r="K165" s="7"/>
      <c r="L165" s="7"/>
      <c r="M165" s="7"/>
      <c r="N165" s="7">
        <f t="shared" si="2"/>
        <v>0</v>
      </c>
      <c r="O165" s="7"/>
    </row>
    <row r="166">
      <c r="A166" s="26" t="s">
        <v>747</v>
      </c>
      <c r="B166" s="26" t="s">
        <v>748</v>
      </c>
      <c r="C166" s="26" t="s">
        <v>584</v>
      </c>
      <c r="D166" s="27"/>
      <c r="E166" s="28" t="s">
        <v>749</v>
      </c>
      <c r="F166" s="29"/>
      <c r="G166" s="13"/>
      <c r="H166" s="10"/>
      <c r="I166" s="29"/>
      <c r="J166" s="7"/>
      <c r="K166" s="7"/>
      <c r="L166" s="7"/>
      <c r="M166" s="7"/>
      <c r="N166" s="7">
        <f t="shared" si="2"/>
        <v>0</v>
      </c>
      <c r="O166" s="7"/>
    </row>
    <row r="167">
      <c r="A167" s="26" t="s">
        <v>750</v>
      </c>
      <c r="B167" s="26" t="s">
        <v>751</v>
      </c>
      <c r="C167" s="26" t="s">
        <v>752</v>
      </c>
      <c r="D167" s="28" t="s">
        <v>753</v>
      </c>
      <c r="E167" s="33" t="s">
        <v>1891</v>
      </c>
      <c r="F167" s="30" t="s">
        <v>755</v>
      </c>
      <c r="G167" s="13"/>
      <c r="H167" s="10"/>
      <c r="I167" s="29"/>
      <c r="J167" s="7"/>
      <c r="K167" s="7"/>
      <c r="L167" s="7"/>
      <c r="M167" s="7"/>
      <c r="N167" s="7">
        <f t="shared" si="2"/>
        <v>1</v>
      </c>
      <c r="O167" s="7"/>
    </row>
    <row r="168">
      <c r="A168" s="26" t="s">
        <v>756</v>
      </c>
      <c r="B168" s="26" t="s">
        <v>757</v>
      </c>
      <c r="C168" s="26" t="s">
        <v>758</v>
      </c>
      <c r="D168" s="28" t="s">
        <v>753</v>
      </c>
      <c r="E168" s="33" t="s">
        <v>1893</v>
      </c>
      <c r="F168" s="30" t="s">
        <v>761</v>
      </c>
      <c r="G168" s="13"/>
      <c r="H168" s="10"/>
      <c r="I168" s="29"/>
      <c r="J168" s="7"/>
      <c r="K168" s="7"/>
      <c r="L168" s="7"/>
      <c r="M168" s="7"/>
      <c r="N168" s="7">
        <f t="shared" si="2"/>
        <v>1</v>
      </c>
      <c r="O168" s="7"/>
    </row>
    <row r="169">
      <c r="A169" s="26" t="s">
        <v>762</v>
      </c>
      <c r="B169" s="26" t="s">
        <v>763</v>
      </c>
      <c r="C169" s="26" t="s">
        <v>589</v>
      </c>
      <c r="D169" s="27"/>
      <c r="E169" s="28" t="s">
        <v>764</v>
      </c>
      <c r="F169" s="29"/>
      <c r="G169" s="13"/>
      <c r="H169" s="10"/>
      <c r="I169" s="29"/>
      <c r="J169" s="7"/>
      <c r="K169" s="7"/>
      <c r="L169" s="7"/>
      <c r="M169" s="7"/>
      <c r="N169" s="7">
        <f t="shared" si="2"/>
        <v>0</v>
      </c>
      <c r="O169" s="7"/>
    </row>
    <row r="170">
      <c r="A170" s="26" t="s">
        <v>766</v>
      </c>
      <c r="B170" s="26" t="s">
        <v>767</v>
      </c>
      <c r="C170" s="26" t="s">
        <v>589</v>
      </c>
      <c r="D170" s="26" t="s">
        <v>598</v>
      </c>
      <c r="E170" s="28" t="s">
        <v>768</v>
      </c>
      <c r="F170" s="29"/>
      <c r="G170" s="13"/>
      <c r="H170" s="10"/>
      <c r="I170" s="29"/>
      <c r="J170" s="7"/>
      <c r="K170" s="7"/>
      <c r="L170" s="7"/>
      <c r="M170" s="7"/>
      <c r="N170" s="7">
        <f t="shared" si="2"/>
        <v>0</v>
      </c>
      <c r="O170" s="7"/>
    </row>
    <row r="171">
      <c r="A171" s="26" t="s">
        <v>770</v>
      </c>
      <c r="B171" s="26" t="s">
        <v>771</v>
      </c>
      <c r="C171" s="26" t="s">
        <v>772</v>
      </c>
      <c r="D171" s="27"/>
      <c r="E171" s="28" t="s">
        <v>773</v>
      </c>
      <c r="F171" s="30" t="s">
        <v>774</v>
      </c>
      <c r="G171" s="13"/>
      <c r="H171" s="10"/>
      <c r="I171" s="29"/>
      <c r="J171" s="7"/>
      <c r="K171" s="7"/>
      <c r="L171" s="7"/>
      <c r="M171" s="7"/>
      <c r="N171" s="7">
        <f t="shared" si="2"/>
        <v>1</v>
      </c>
      <c r="O171" s="7"/>
    </row>
    <row r="172">
      <c r="A172" s="26" t="s">
        <v>775</v>
      </c>
      <c r="B172" s="26" t="s">
        <v>776</v>
      </c>
      <c r="C172" s="26" t="s">
        <v>589</v>
      </c>
      <c r="D172" s="27"/>
      <c r="E172" s="28" t="s">
        <v>777</v>
      </c>
      <c r="F172" s="30" t="s">
        <v>779</v>
      </c>
      <c r="G172" s="13"/>
      <c r="H172" s="10"/>
      <c r="I172" s="30" t="s">
        <v>420</v>
      </c>
      <c r="J172" s="7"/>
      <c r="K172" s="7"/>
      <c r="L172" s="7"/>
      <c r="M172" s="7"/>
      <c r="N172" s="7">
        <f t="shared" si="2"/>
        <v>1</v>
      </c>
      <c r="O172" s="7"/>
    </row>
    <row r="173">
      <c r="A173" s="26" t="s">
        <v>780</v>
      </c>
      <c r="B173" s="26" t="s">
        <v>781</v>
      </c>
      <c r="C173" s="26" t="s">
        <v>589</v>
      </c>
      <c r="D173" s="27"/>
      <c r="E173" s="28" t="s">
        <v>782</v>
      </c>
      <c r="F173" s="29"/>
      <c r="G173" s="13"/>
      <c r="H173" s="10"/>
      <c r="I173" s="29"/>
      <c r="J173" s="7"/>
      <c r="K173" s="7"/>
      <c r="L173" s="7"/>
      <c r="M173" s="7"/>
      <c r="N173" s="7">
        <f t="shared" si="2"/>
        <v>0</v>
      </c>
      <c r="O173" s="7"/>
    </row>
    <row r="174">
      <c r="A174" s="26" t="s">
        <v>783</v>
      </c>
      <c r="B174" s="26" t="s">
        <v>784</v>
      </c>
      <c r="C174" s="26" t="s">
        <v>589</v>
      </c>
      <c r="D174" s="27"/>
      <c r="E174" s="28" t="s">
        <v>785</v>
      </c>
      <c r="F174" s="30" t="s">
        <v>786</v>
      </c>
      <c r="G174" s="13"/>
      <c r="H174" s="10"/>
      <c r="I174" s="29"/>
      <c r="J174" s="7"/>
      <c r="K174" s="7"/>
      <c r="L174" s="7"/>
      <c r="M174" s="7"/>
      <c r="N174" s="7">
        <f t="shared" si="2"/>
        <v>1</v>
      </c>
      <c r="O174" s="7"/>
    </row>
    <row r="175">
      <c r="A175" s="26" t="s">
        <v>787</v>
      </c>
      <c r="B175" s="26" t="s">
        <v>788</v>
      </c>
      <c r="C175" s="26" t="s">
        <v>589</v>
      </c>
      <c r="D175" s="27"/>
      <c r="E175" s="28" t="s">
        <v>790</v>
      </c>
      <c r="F175" s="29"/>
      <c r="G175" s="13"/>
      <c r="H175" s="10"/>
      <c r="I175" s="29"/>
      <c r="J175" s="7"/>
      <c r="K175" s="7"/>
      <c r="L175" s="7"/>
      <c r="M175" s="7"/>
      <c r="N175" s="7">
        <f t="shared" si="2"/>
        <v>0</v>
      </c>
      <c r="O175" s="7"/>
    </row>
    <row r="176">
      <c r="A176" s="26" t="s">
        <v>791</v>
      </c>
      <c r="B176" s="26" t="s">
        <v>792</v>
      </c>
      <c r="C176" s="26" t="s">
        <v>589</v>
      </c>
      <c r="D176" s="27"/>
      <c r="E176" s="31" t="s">
        <v>793</v>
      </c>
      <c r="F176" s="30" t="s">
        <v>794</v>
      </c>
      <c r="G176" s="13"/>
      <c r="H176" s="10"/>
      <c r="I176" s="29"/>
      <c r="J176" s="7"/>
      <c r="K176" s="7"/>
      <c r="L176" s="7"/>
      <c r="M176" s="7"/>
      <c r="N176" s="7">
        <f t="shared" si="2"/>
        <v>1</v>
      </c>
      <c r="O176" s="7"/>
    </row>
    <row r="177">
      <c r="A177" s="26" t="s">
        <v>795</v>
      </c>
      <c r="B177" s="26" t="s">
        <v>796</v>
      </c>
      <c r="C177" s="26" t="s">
        <v>589</v>
      </c>
      <c r="D177" s="27"/>
      <c r="E177" s="28" t="s">
        <v>797</v>
      </c>
      <c r="F177" s="29"/>
      <c r="G177" s="13"/>
      <c r="H177" s="10"/>
      <c r="I177" s="29"/>
      <c r="J177" s="7"/>
      <c r="K177" s="7"/>
      <c r="L177" s="7"/>
      <c r="M177" s="7"/>
      <c r="N177" s="7">
        <f t="shared" si="2"/>
        <v>0</v>
      </c>
      <c r="O177" s="7"/>
    </row>
    <row r="178">
      <c r="A178" s="26" t="s">
        <v>799</v>
      </c>
      <c r="B178" s="31" t="s">
        <v>800</v>
      </c>
      <c r="C178" s="26" t="s">
        <v>584</v>
      </c>
      <c r="D178" s="27"/>
      <c r="E178" s="34" t="s">
        <v>801</v>
      </c>
      <c r="F178" s="30" t="s">
        <v>802</v>
      </c>
      <c r="G178" s="13"/>
      <c r="H178" s="10"/>
      <c r="I178" s="29"/>
      <c r="J178" s="7"/>
      <c r="K178" s="7"/>
      <c r="L178" s="7"/>
      <c r="M178" s="7"/>
      <c r="N178" s="7">
        <f t="shared" si="2"/>
        <v>1</v>
      </c>
      <c r="O178" s="7"/>
    </row>
    <row r="179">
      <c r="A179" s="26" t="s">
        <v>803</v>
      </c>
      <c r="B179" s="26" t="s">
        <v>804</v>
      </c>
      <c r="C179" s="26" t="s">
        <v>589</v>
      </c>
      <c r="D179" s="26" t="s">
        <v>598</v>
      </c>
      <c r="E179" s="28" t="s">
        <v>806</v>
      </c>
      <c r="F179" s="29"/>
      <c r="G179" s="13"/>
      <c r="H179" s="10"/>
      <c r="I179" s="29"/>
      <c r="J179" s="7"/>
      <c r="K179" s="7"/>
      <c r="L179" s="7"/>
      <c r="M179" s="7"/>
      <c r="N179" s="7">
        <f t="shared" si="2"/>
        <v>0</v>
      </c>
      <c r="O179" s="7"/>
    </row>
    <row r="180">
      <c r="A180" s="26" t="s">
        <v>807</v>
      </c>
      <c r="B180" s="26" t="s">
        <v>808</v>
      </c>
      <c r="C180" s="26" t="s">
        <v>809</v>
      </c>
      <c r="D180" s="27"/>
      <c r="E180" s="33" t="s">
        <v>1903</v>
      </c>
      <c r="F180" s="30" t="s">
        <v>812</v>
      </c>
      <c r="G180" s="13"/>
      <c r="H180" s="10"/>
      <c r="I180" s="29"/>
      <c r="J180" s="7"/>
      <c r="K180" s="7"/>
      <c r="L180" s="7"/>
      <c r="M180" s="7"/>
      <c r="N180" s="7">
        <f t="shared" si="2"/>
        <v>1</v>
      </c>
      <c r="O180" s="7"/>
    </row>
    <row r="181">
      <c r="A181" s="26" t="s">
        <v>813</v>
      </c>
      <c r="B181" s="26" t="s">
        <v>814</v>
      </c>
      <c r="C181" s="26" t="s">
        <v>589</v>
      </c>
      <c r="D181" s="27"/>
      <c r="E181" s="31" t="s">
        <v>815</v>
      </c>
      <c r="F181" s="30" t="s">
        <v>816</v>
      </c>
      <c r="G181" s="13"/>
      <c r="H181" s="10"/>
      <c r="I181" s="30" t="s">
        <v>374</v>
      </c>
      <c r="J181" s="7"/>
      <c r="K181" s="7"/>
      <c r="L181" s="7"/>
      <c r="M181" s="7"/>
      <c r="N181" s="7">
        <f t="shared" si="2"/>
        <v>1</v>
      </c>
      <c r="O181" s="7"/>
    </row>
    <row r="182">
      <c r="A182" s="26" t="s">
        <v>817</v>
      </c>
      <c r="B182" s="26" t="s">
        <v>818</v>
      </c>
      <c r="C182" s="26" t="s">
        <v>589</v>
      </c>
      <c r="D182" s="27"/>
      <c r="E182" s="28" t="s">
        <v>819</v>
      </c>
      <c r="F182" s="30" t="s">
        <v>820</v>
      </c>
      <c r="G182" s="13"/>
      <c r="H182" s="10"/>
      <c r="I182" s="29"/>
      <c r="J182" s="7"/>
      <c r="K182" s="7"/>
      <c r="L182" s="7"/>
      <c r="M182" s="7"/>
      <c r="N182" s="7">
        <f t="shared" si="2"/>
        <v>1</v>
      </c>
      <c r="O182" s="7"/>
    </row>
    <row r="183">
      <c r="A183" s="26" t="s">
        <v>821</v>
      </c>
      <c r="B183" s="26" t="s">
        <v>822</v>
      </c>
      <c r="C183" s="26" t="s">
        <v>584</v>
      </c>
      <c r="D183" s="27"/>
      <c r="E183" s="28" t="s">
        <v>823</v>
      </c>
      <c r="F183" s="29"/>
      <c r="G183" s="13"/>
      <c r="H183" s="10"/>
      <c r="I183" s="29"/>
      <c r="J183" s="7"/>
      <c r="K183" s="7"/>
      <c r="L183" s="7"/>
      <c r="M183" s="7"/>
      <c r="N183" s="7">
        <f t="shared" si="2"/>
        <v>0</v>
      </c>
      <c r="O183" s="7"/>
    </row>
    <row r="184">
      <c r="A184" s="26" t="s">
        <v>824</v>
      </c>
      <c r="B184" s="26" t="s">
        <v>825</v>
      </c>
      <c r="C184" s="26" t="s">
        <v>589</v>
      </c>
      <c r="D184" s="27"/>
      <c r="E184" s="28" t="s">
        <v>826</v>
      </c>
      <c r="F184" s="30" t="s">
        <v>827</v>
      </c>
      <c r="G184" s="13"/>
      <c r="H184" s="10"/>
      <c r="I184" s="30" t="s">
        <v>828</v>
      </c>
      <c r="J184" s="7"/>
      <c r="K184" s="7"/>
      <c r="L184" s="7"/>
      <c r="M184" s="7"/>
      <c r="N184" s="7">
        <f t="shared" si="2"/>
        <v>1</v>
      </c>
      <c r="O184" s="7"/>
    </row>
    <row r="185">
      <c r="A185" s="26" t="s">
        <v>829</v>
      </c>
      <c r="B185" s="26" t="s">
        <v>830</v>
      </c>
      <c r="C185" s="26" t="s">
        <v>589</v>
      </c>
      <c r="D185" s="27"/>
      <c r="E185" s="28" t="s">
        <v>831</v>
      </c>
      <c r="F185" s="30" t="s">
        <v>832</v>
      </c>
      <c r="G185" s="13"/>
      <c r="H185" s="10"/>
      <c r="I185" s="29"/>
      <c r="J185" s="7"/>
      <c r="K185" s="7"/>
      <c r="L185" s="7"/>
      <c r="M185" s="7"/>
      <c r="N185" s="7">
        <f t="shared" si="2"/>
        <v>1</v>
      </c>
      <c r="O185" s="7"/>
    </row>
    <row r="186">
      <c r="A186" s="26" t="s">
        <v>833</v>
      </c>
      <c r="B186" s="26" t="s">
        <v>834</v>
      </c>
      <c r="C186" s="26" t="s">
        <v>835</v>
      </c>
      <c r="D186" s="26" t="s">
        <v>635</v>
      </c>
      <c r="E186" s="28" t="s">
        <v>836</v>
      </c>
      <c r="F186" s="30" t="s">
        <v>837</v>
      </c>
      <c r="G186" s="13"/>
      <c r="H186" s="10"/>
      <c r="I186" s="29"/>
      <c r="J186" s="7"/>
      <c r="K186" s="7"/>
      <c r="L186" s="7"/>
      <c r="M186" s="7"/>
      <c r="N186" s="7">
        <f t="shared" si="2"/>
        <v>1</v>
      </c>
      <c r="O186" s="7"/>
    </row>
    <row r="187">
      <c r="A187" s="26" t="s">
        <v>838</v>
      </c>
      <c r="B187" s="26" t="s">
        <v>839</v>
      </c>
      <c r="C187" s="26" t="s">
        <v>589</v>
      </c>
      <c r="D187" s="27"/>
      <c r="E187" s="32" t="s">
        <v>840</v>
      </c>
      <c r="F187" s="30" t="s">
        <v>841</v>
      </c>
      <c r="G187" s="13"/>
      <c r="H187" s="10"/>
      <c r="I187" s="29"/>
      <c r="J187" s="7"/>
      <c r="K187" s="7"/>
      <c r="L187" s="7"/>
      <c r="M187" s="7"/>
      <c r="N187" s="7">
        <f t="shared" si="2"/>
        <v>1</v>
      </c>
      <c r="O187" s="7"/>
    </row>
    <row r="188">
      <c r="A188" s="26" t="s">
        <v>842</v>
      </c>
      <c r="B188" s="26" t="s">
        <v>843</v>
      </c>
      <c r="C188" s="26" t="s">
        <v>589</v>
      </c>
      <c r="D188" s="27"/>
      <c r="E188" s="28" t="s">
        <v>844</v>
      </c>
      <c r="F188" s="30" t="s">
        <v>845</v>
      </c>
      <c r="G188" s="13"/>
      <c r="H188" s="10"/>
      <c r="I188" s="29"/>
      <c r="J188" s="7"/>
      <c r="K188" s="7"/>
      <c r="L188" s="7"/>
      <c r="M188" s="7"/>
      <c r="N188" s="7">
        <f t="shared" si="2"/>
        <v>1</v>
      </c>
      <c r="O188" s="7"/>
    </row>
    <row r="189">
      <c r="A189" s="26" t="s">
        <v>846</v>
      </c>
      <c r="B189" s="31" t="s">
        <v>848</v>
      </c>
      <c r="C189" s="26" t="s">
        <v>584</v>
      </c>
      <c r="D189" s="27"/>
      <c r="E189" s="28" t="s">
        <v>849</v>
      </c>
      <c r="F189" s="30" t="s">
        <v>1906</v>
      </c>
      <c r="G189" s="13"/>
      <c r="H189" s="10"/>
      <c r="I189" s="29"/>
      <c r="J189" s="7"/>
      <c r="K189" s="7"/>
      <c r="L189" s="7"/>
      <c r="M189" s="7"/>
      <c r="N189" s="7">
        <f t="shared" si="2"/>
        <v>1</v>
      </c>
      <c r="O189" s="7"/>
    </row>
    <row r="190">
      <c r="A190" s="26" t="s">
        <v>851</v>
      </c>
      <c r="B190" s="26" t="s">
        <v>852</v>
      </c>
      <c r="C190" s="26" t="s">
        <v>589</v>
      </c>
      <c r="D190" s="27"/>
      <c r="E190" s="28" t="s">
        <v>853</v>
      </c>
      <c r="F190" s="30" t="s">
        <v>854</v>
      </c>
      <c r="G190" s="13"/>
      <c r="H190" s="10"/>
      <c r="I190" s="29"/>
      <c r="J190" s="7"/>
      <c r="K190" s="7"/>
      <c r="L190" s="7"/>
      <c r="M190" s="7"/>
      <c r="N190" s="7">
        <f t="shared" si="2"/>
        <v>1</v>
      </c>
      <c r="O190" s="7"/>
    </row>
    <row r="191">
      <c r="A191" s="26" t="s">
        <v>855</v>
      </c>
      <c r="B191" s="26" t="s">
        <v>856</v>
      </c>
      <c r="C191" s="26" t="s">
        <v>584</v>
      </c>
      <c r="D191" s="27"/>
      <c r="E191" s="31" t="s">
        <v>857</v>
      </c>
      <c r="F191" s="30" t="s">
        <v>858</v>
      </c>
      <c r="G191" s="13"/>
      <c r="H191" s="10"/>
      <c r="I191" s="29"/>
      <c r="J191" s="7"/>
      <c r="K191" s="7"/>
      <c r="L191" s="7"/>
      <c r="M191" s="7"/>
      <c r="N191" s="7">
        <f t="shared" si="2"/>
        <v>1</v>
      </c>
      <c r="O191" s="7"/>
    </row>
    <row r="192">
      <c r="A192" s="26" t="s">
        <v>859</v>
      </c>
      <c r="B192" s="26" t="s">
        <v>860</v>
      </c>
      <c r="C192" s="26" t="s">
        <v>589</v>
      </c>
      <c r="D192" s="27"/>
      <c r="E192" s="28" t="s">
        <v>861</v>
      </c>
      <c r="F192" s="30" t="s">
        <v>862</v>
      </c>
      <c r="G192" s="13"/>
      <c r="H192" s="10"/>
      <c r="I192" s="29"/>
      <c r="J192" s="7"/>
      <c r="K192" s="7"/>
      <c r="L192" s="7"/>
      <c r="M192" s="7"/>
      <c r="N192" s="7">
        <f t="shared" si="2"/>
        <v>1</v>
      </c>
      <c r="O192" s="7"/>
    </row>
    <row r="193">
      <c r="A193" s="26" t="s">
        <v>863</v>
      </c>
      <c r="B193" s="26" t="s">
        <v>864</v>
      </c>
      <c r="C193" s="26" t="s">
        <v>589</v>
      </c>
      <c r="D193" s="28" t="s">
        <v>865</v>
      </c>
      <c r="E193" s="28" t="s">
        <v>866</v>
      </c>
      <c r="F193" s="30" t="s">
        <v>867</v>
      </c>
      <c r="G193" s="13"/>
      <c r="H193" s="10"/>
      <c r="I193" s="30" t="s">
        <v>82</v>
      </c>
      <c r="J193" s="7"/>
      <c r="K193" s="7"/>
      <c r="L193" s="7"/>
      <c r="M193" s="7"/>
      <c r="N193" s="7">
        <f t="shared" si="2"/>
        <v>1</v>
      </c>
      <c r="O193" s="7"/>
    </row>
    <row r="194">
      <c r="A194" s="26" t="s">
        <v>868</v>
      </c>
      <c r="B194" s="26" t="s">
        <v>869</v>
      </c>
      <c r="C194" s="26" t="s">
        <v>589</v>
      </c>
      <c r="D194" s="27"/>
      <c r="E194" s="28" t="s">
        <v>870</v>
      </c>
      <c r="F194" s="29"/>
      <c r="G194" s="13"/>
      <c r="H194" s="10"/>
      <c r="I194" s="29"/>
      <c r="J194" s="7"/>
      <c r="K194" s="7"/>
      <c r="L194" s="7"/>
      <c r="M194" s="7"/>
      <c r="N194" s="7">
        <f t="shared" si="2"/>
        <v>0</v>
      </c>
      <c r="O194" s="7"/>
    </row>
    <row r="195">
      <c r="A195" s="26" t="s">
        <v>871</v>
      </c>
      <c r="B195" s="26" t="s">
        <v>872</v>
      </c>
      <c r="C195" s="26" t="s">
        <v>589</v>
      </c>
      <c r="D195" s="27"/>
      <c r="E195" s="28" t="s">
        <v>874</v>
      </c>
      <c r="F195" s="30" t="s">
        <v>875</v>
      </c>
      <c r="G195" s="13"/>
      <c r="H195" s="10"/>
      <c r="I195" s="29"/>
      <c r="J195" s="7"/>
      <c r="K195" s="7"/>
      <c r="L195" s="7"/>
      <c r="M195" s="7"/>
      <c r="N195" s="7">
        <f t="shared" si="2"/>
        <v>1</v>
      </c>
      <c r="O195" s="7"/>
    </row>
    <row r="196">
      <c r="A196" s="26" t="s">
        <v>876</v>
      </c>
      <c r="B196" s="26" t="s">
        <v>877</v>
      </c>
      <c r="C196" s="26" t="s">
        <v>589</v>
      </c>
      <c r="D196" s="27"/>
      <c r="E196" s="28" t="s">
        <v>878</v>
      </c>
      <c r="F196" s="29"/>
      <c r="G196" s="13"/>
      <c r="H196" s="10"/>
      <c r="I196" s="29"/>
      <c r="J196" s="7"/>
      <c r="K196" s="7"/>
      <c r="L196" s="7"/>
      <c r="M196" s="7"/>
      <c r="N196" s="7">
        <f t="shared" si="2"/>
        <v>0</v>
      </c>
      <c r="O196" s="7"/>
    </row>
    <row r="197">
      <c r="A197" s="26" t="s">
        <v>880</v>
      </c>
      <c r="B197" s="26" t="s">
        <v>881</v>
      </c>
      <c r="C197" s="26" t="s">
        <v>589</v>
      </c>
      <c r="D197" s="26" t="s">
        <v>598</v>
      </c>
      <c r="E197" s="28" t="s">
        <v>882</v>
      </c>
      <c r="F197" s="30" t="s">
        <v>884</v>
      </c>
      <c r="G197" s="13"/>
      <c r="H197" s="10"/>
      <c r="I197" s="30"/>
      <c r="J197" s="7"/>
      <c r="K197" s="7"/>
      <c r="L197" s="7"/>
      <c r="M197" s="7"/>
      <c r="N197" s="7">
        <f t="shared" si="2"/>
        <v>1</v>
      </c>
      <c r="O197" s="7"/>
    </row>
    <row r="198">
      <c r="A198" s="26" t="s">
        <v>880</v>
      </c>
      <c r="B198" s="26" t="s">
        <v>885</v>
      </c>
      <c r="C198" s="26" t="s">
        <v>589</v>
      </c>
      <c r="D198" s="27"/>
      <c r="E198" s="28" t="s">
        <v>886</v>
      </c>
      <c r="F198" s="29"/>
      <c r="G198" s="13"/>
      <c r="H198" s="10"/>
      <c r="I198" s="30" t="s">
        <v>254</v>
      </c>
      <c r="J198" s="7"/>
      <c r="K198" s="7"/>
      <c r="L198" s="7"/>
      <c r="M198" s="7"/>
      <c r="N198" s="7">
        <f t="shared" si="2"/>
        <v>0</v>
      </c>
      <c r="O198" s="7"/>
    </row>
    <row r="199">
      <c r="A199" s="26" t="s">
        <v>887</v>
      </c>
      <c r="B199" s="26" t="s">
        <v>888</v>
      </c>
      <c r="C199" s="26" t="s">
        <v>648</v>
      </c>
      <c r="D199" s="27"/>
      <c r="E199" s="28" t="s">
        <v>889</v>
      </c>
      <c r="F199" s="29"/>
      <c r="G199" s="13"/>
      <c r="H199" s="10"/>
      <c r="I199" s="29"/>
      <c r="J199" s="7"/>
      <c r="K199" s="7"/>
      <c r="L199" s="7"/>
      <c r="M199" s="7"/>
      <c r="N199" s="7">
        <f t="shared" si="2"/>
        <v>0</v>
      </c>
      <c r="O199" s="7"/>
    </row>
    <row r="200">
      <c r="A200" s="26" t="s">
        <v>891</v>
      </c>
      <c r="B200" s="26" t="s">
        <v>892</v>
      </c>
      <c r="C200" s="26" t="s">
        <v>589</v>
      </c>
      <c r="D200" s="27"/>
      <c r="E200" s="28" t="s">
        <v>893</v>
      </c>
      <c r="F200" s="30"/>
      <c r="G200" s="13"/>
      <c r="H200" s="10"/>
      <c r="I200" s="29"/>
      <c r="J200" s="7"/>
      <c r="K200" s="7"/>
      <c r="L200" s="7"/>
      <c r="M200" s="7"/>
      <c r="N200" s="7">
        <f t="shared" si="2"/>
        <v>0</v>
      </c>
      <c r="O200" s="7"/>
    </row>
    <row r="201">
      <c r="A201" s="31" t="s">
        <v>894</v>
      </c>
      <c r="B201" s="31" t="s">
        <v>895</v>
      </c>
      <c r="C201" s="26" t="s">
        <v>835</v>
      </c>
      <c r="D201" s="27"/>
      <c r="E201" s="32" t="s">
        <v>896</v>
      </c>
      <c r="F201" s="30" t="s">
        <v>897</v>
      </c>
      <c r="G201" s="13"/>
      <c r="H201" s="10"/>
      <c r="I201" s="29"/>
      <c r="J201" s="7"/>
      <c r="K201" s="7"/>
      <c r="L201" s="7"/>
      <c r="M201" s="7"/>
      <c r="N201" s="7">
        <f t="shared" si="2"/>
        <v>1</v>
      </c>
      <c r="O201" s="7"/>
    </row>
    <row r="202">
      <c r="A202" s="26" t="s">
        <v>898</v>
      </c>
      <c r="B202" s="26" t="s">
        <v>899</v>
      </c>
      <c r="C202" s="26" t="s">
        <v>589</v>
      </c>
      <c r="D202" s="26" t="s">
        <v>598</v>
      </c>
      <c r="E202" s="28" t="s">
        <v>900</v>
      </c>
      <c r="F202" s="30" t="s">
        <v>154</v>
      </c>
      <c r="G202" s="13"/>
      <c r="H202" s="10"/>
      <c r="I202" s="29"/>
      <c r="J202" s="7"/>
      <c r="K202" s="7"/>
      <c r="L202" s="7"/>
      <c r="M202" s="7"/>
      <c r="N202" s="7">
        <f t="shared" si="2"/>
        <v>1</v>
      </c>
      <c r="O202" s="7"/>
    </row>
    <row r="203">
      <c r="A203" s="26" t="s">
        <v>901</v>
      </c>
      <c r="B203" s="26" t="s">
        <v>902</v>
      </c>
      <c r="C203" s="26" t="s">
        <v>589</v>
      </c>
      <c r="D203" s="27"/>
      <c r="E203" s="28" t="s">
        <v>903</v>
      </c>
      <c r="F203" s="30" t="s">
        <v>904</v>
      </c>
      <c r="G203" s="13"/>
      <c r="H203" s="10"/>
      <c r="I203" s="29"/>
      <c r="J203" s="7"/>
      <c r="K203" s="7"/>
      <c r="L203" s="7"/>
      <c r="M203" s="7"/>
      <c r="N203" s="7">
        <f t="shared" si="2"/>
        <v>1</v>
      </c>
      <c r="O203" s="7"/>
    </row>
    <row r="204">
      <c r="A204" s="26" t="s">
        <v>905</v>
      </c>
      <c r="B204" s="26" t="s">
        <v>906</v>
      </c>
      <c r="C204" s="26" t="s">
        <v>589</v>
      </c>
      <c r="D204" s="26" t="s">
        <v>598</v>
      </c>
      <c r="E204" s="28" t="s">
        <v>907</v>
      </c>
      <c r="F204" s="30" t="s">
        <v>908</v>
      </c>
      <c r="G204" s="13"/>
      <c r="H204" s="10"/>
      <c r="I204" s="30" t="s">
        <v>344</v>
      </c>
      <c r="J204" s="7"/>
      <c r="K204" s="7"/>
      <c r="L204" s="7"/>
      <c r="M204" s="7"/>
      <c r="N204" s="7">
        <f t="shared" si="2"/>
        <v>1</v>
      </c>
      <c r="O204" s="7"/>
    </row>
    <row r="205">
      <c r="A205" s="26" t="s">
        <v>909</v>
      </c>
      <c r="B205" s="26" t="s">
        <v>910</v>
      </c>
      <c r="C205" s="26" t="s">
        <v>589</v>
      </c>
      <c r="D205" s="26" t="s">
        <v>598</v>
      </c>
      <c r="E205" s="28" t="s">
        <v>911</v>
      </c>
      <c r="F205" s="30" t="s">
        <v>912</v>
      </c>
      <c r="G205" s="13"/>
      <c r="H205" s="10"/>
      <c r="I205" s="29"/>
      <c r="J205" s="7"/>
      <c r="K205" s="7"/>
      <c r="L205" s="7"/>
      <c r="M205" s="7"/>
      <c r="N205" s="7">
        <f t="shared" si="2"/>
        <v>1</v>
      </c>
      <c r="O205" s="7"/>
    </row>
    <row r="206">
      <c r="A206" s="26" t="s">
        <v>913</v>
      </c>
      <c r="B206" s="26" t="s">
        <v>914</v>
      </c>
      <c r="C206" s="26" t="s">
        <v>589</v>
      </c>
      <c r="D206" s="27"/>
      <c r="E206" s="28" t="s">
        <v>915</v>
      </c>
      <c r="F206" s="29"/>
      <c r="G206" s="13"/>
      <c r="H206" s="10"/>
      <c r="I206" s="29"/>
      <c r="J206" s="7"/>
      <c r="K206" s="7"/>
      <c r="L206" s="7"/>
      <c r="M206" s="7"/>
      <c r="N206" s="7">
        <f t="shared" si="2"/>
        <v>0</v>
      </c>
      <c r="O206" s="7"/>
    </row>
    <row r="207" ht="18.0" customHeight="1">
      <c r="A207" s="26" t="s">
        <v>916</v>
      </c>
      <c r="B207" s="26" t="s">
        <v>917</v>
      </c>
      <c r="C207" s="26" t="s">
        <v>589</v>
      </c>
      <c r="D207" s="28" t="s">
        <v>918</v>
      </c>
      <c r="E207" s="27"/>
      <c r="F207" s="29"/>
      <c r="G207" s="13"/>
      <c r="H207" s="10"/>
      <c r="I207" s="29"/>
      <c r="J207" s="7"/>
      <c r="K207" s="7"/>
      <c r="L207" s="7"/>
      <c r="M207" s="7"/>
      <c r="N207" s="7">
        <f t="shared" si="2"/>
        <v>0</v>
      </c>
      <c r="O207" s="7"/>
    </row>
    <row r="208">
      <c r="A208" s="26" t="s">
        <v>916</v>
      </c>
      <c r="B208" s="26" t="s">
        <v>917</v>
      </c>
      <c r="C208" s="26" t="s">
        <v>919</v>
      </c>
      <c r="D208" s="31" t="s">
        <v>920</v>
      </c>
      <c r="E208" s="28" t="s">
        <v>921</v>
      </c>
      <c r="F208" s="30" t="s">
        <v>923</v>
      </c>
      <c r="G208" s="13"/>
      <c r="H208" s="10"/>
      <c r="I208" s="29"/>
      <c r="J208" s="7"/>
      <c r="K208" s="7"/>
      <c r="L208" s="7"/>
      <c r="M208" s="7"/>
      <c r="N208" s="7">
        <f t="shared" si="2"/>
        <v>1</v>
      </c>
      <c r="O208" s="7"/>
    </row>
    <row r="209">
      <c r="A209" s="26" t="s">
        <v>925</v>
      </c>
      <c r="B209" s="26" t="s">
        <v>926</v>
      </c>
      <c r="C209" s="26" t="s">
        <v>589</v>
      </c>
      <c r="D209" s="27"/>
      <c r="E209" s="28" t="s">
        <v>927</v>
      </c>
      <c r="F209" s="30" t="s">
        <v>928</v>
      </c>
      <c r="G209" s="13"/>
      <c r="H209" s="10"/>
      <c r="I209" s="29"/>
      <c r="J209" s="7"/>
      <c r="K209" s="7"/>
      <c r="L209" s="7"/>
      <c r="M209" s="7"/>
      <c r="N209" s="7">
        <f t="shared" si="2"/>
        <v>1</v>
      </c>
      <c r="O209" s="7"/>
    </row>
    <row r="210">
      <c r="A210" s="26" t="s">
        <v>929</v>
      </c>
      <c r="B210" s="26" t="s">
        <v>930</v>
      </c>
      <c r="C210" s="26" t="s">
        <v>931</v>
      </c>
      <c r="D210" s="27"/>
      <c r="E210" s="28" t="s">
        <v>932</v>
      </c>
      <c r="F210" s="29"/>
      <c r="G210" s="13"/>
      <c r="H210" s="10"/>
      <c r="I210" s="29"/>
      <c r="J210" s="7"/>
      <c r="K210" s="7"/>
      <c r="L210" s="7"/>
      <c r="M210" s="7"/>
      <c r="N210" s="7">
        <f t="shared" si="2"/>
        <v>0</v>
      </c>
      <c r="O210" s="7"/>
    </row>
    <row r="211">
      <c r="A211" s="26" t="s">
        <v>929</v>
      </c>
      <c r="B211" s="26" t="s">
        <v>934</v>
      </c>
      <c r="C211" s="26" t="s">
        <v>935</v>
      </c>
      <c r="D211" s="27"/>
      <c r="E211" s="28" t="s">
        <v>936</v>
      </c>
      <c r="F211" s="29"/>
      <c r="G211" s="13"/>
      <c r="H211" s="10"/>
      <c r="I211" s="29"/>
      <c r="J211" s="7"/>
      <c r="K211" s="7"/>
      <c r="L211" s="7"/>
      <c r="M211" s="7"/>
      <c r="N211" s="7">
        <f t="shared" si="2"/>
        <v>0</v>
      </c>
      <c r="O211" s="7"/>
    </row>
    <row r="212">
      <c r="A212" s="26" t="s">
        <v>937</v>
      </c>
      <c r="B212" s="31" t="s">
        <v>938</v>
      </c>
      <c r="C212" s="26" t="s">
        <v>589</v>
      </c>
      <c r="D212" s="27"/>
      <c r="E212" s="28" t="s">
        <v>939</v>
      </c>
      <c r="F212" s="30" t="s">
        <v>940</v>
      </c>
      <c r="G212" s="13"/>
      <c r="H212" s="10"/>
      <c r="I212" s="30" t="s">
        <v>127</v>
      </c>
      <c r="J212" s="7"/>
      <c r="K212" s="7"/>
      <c r="L212" s="7"/>
      <c r="M212" s="7"/>
      <c r="N212" s="7">
        <f t="shared" si="2"/>
        <v>1</v>
      </c>
      <c r="O212" s="7"/>
    </row>
    <row r="213">
      <c r="A213" s="26" t="s">
        <v>941</v>
      </c>
      <c r="B213" s="26" t="s">
        <v>942</v>
      </c>
      <c r="C213" s="26" t="s">
        <v>589</v>
      </c>
      <c r="D213" s="27"/>
      <c r="E213" s="28" t="s">
        <v>943</v>
      </c>
      <c r="F213" s="29"/>
      <c r="G213" s="13"/>
      <c r="H213" s="10"/>
      <c r="I213" s="29"/>
      <c r="J213" s="7"/>
      <c r="K213" s="7"/>
      <c r="L213" s="7"/>
      <c r="M213" s="7"/>
      <c r="N213" s="7">
        <f t="shared" si="2"/>
        <v>0</v>
      </c>
      <c r="O213" s="7"/>
    </row>
    <row r="214">
      <c r="A214" s="26" t="s">
        <v>945</v>
      </c>
      <c r="B214" s="26" t="s">
        <v>946</v>
      </c>
      <c r="C214" s="26" t="s">
        <v>589</v>
      </c>
      <c r="D214" s="27"/>
      <c r="E214" s="28" t="s">
        <v>947</v>
      </c>
      <c r="F214" s="30" t="s">
        <v>948</v>
      </c>
      <c r="G214" s="13"/>
      <c r="H214" s="10"/>
      <c r="I214" s="30" t="s">
        <v>290</v>
      </c>
      <c r="J214" s="7"/>
      <c r="K214" s="7"/>
      <c r="L214" s="7"/>
      <c r="M214" s="7"/>
      <c r="N214" s="7">
        <f t="shared" si="2"/>
        <v>1</v>
      </c>
      <c r="O214" s="7"/>
    </row>
    <row r="215">
      <c r="A215" s="26" t="s">
        <v>949</v>
      </c>
      <c r="B215" s="26" t="s">
        <v>950</v>
      </c>
      <c r="C215" s="26" t="s">
        <v>589</v>
      </c>
      <c r="D215" s="27"/>
      <c r="E215" s="28" t="s">
        <v>951</v>
      </c>
      <c r="F215" s="30" t="s">
        <v>952</v>
      </c>
      <c r="G215" s="13"/>
      <c r="H215" s="10"/>
      <c r="I215" s="29"/>
      <c r="J215" s="7"/>
      <c r="K215" s="7"/>
      <c r="L215" s="7"/>
      <c r="M215" s="7"/>
      <c r="N215" s="7">
        <f t="shared" si="2"/>
        <v>1</v>
      </c>
      <c r="O215" s="7"/>
    </row>
    <row r="216">
      <c r="A216" s="26" t="s">
        <v>953</v>
      </c>
      <c r="B216" s="26" t="s">
        <v>954</v>
      </c>
      <c r="C216" s="26" t="s">
        <v>584</v>
      </c>
      <c r="D216" s="26" t="s">
        <v>955</v>
      </c>
      <c r="E216" s="34" t="s">
        <v>956</v>
      </c>
      <c r="F216" s="30" t="s">
        <v>957</v>
      </c>
      <c r="G216" s="13"/>
      <c r="H216" s="10"/>
      <c r="I216" s="29"/>
      <c r="J216" s="7"/>
      <c r="K216" s="7"/>
      <c r="L216" s="7"/>
      <c r="M216" s="7"/>
      <c r="N216" s="7">
        <f t="shared" si="2"/>
        <v>1</v>
      </c>
      <c r="O216" s="7"/>
    </row>
    <row r="217">
      <c r="A217" s="26" t="s">
        <v>958</v>
      </c>
      <c r="B217" s="26" t="s">
        <v>277</v>
      </c>
      <c r="C217" s="26" t="s">
        <v>589</v>
      </c>
      <c r="D217" s="27"/>
      <c r="E217" s="28" t="s">
        <v>959</v>
      </c>
      <c r="F217" s="30" t="s">
        <v>188</v>
      </c>
      <c r="G217" s="13"/>
      <c r="H217" s="10"/>
      <c r="I217" s="30" t="s">
        <v>280</v>
      </c>
      <c r="J217" s="7"/>
      <c r="K217" s="7"/>
      <c r="L217" s="7"/>
      <c r="M217" s="7"/>
      <c r="N217" s="7">
        <f t="shared" si="2"/>
        <v>1</v>
      </c>
      <c r="O217" s="7"/>
    </row>
    <row r="218">
      <c r="A218" s="26" t="s">
        <v>960</v>
      </c>
      <c r="B218" s="26" t="s">
        <v>961</v>
      </c>
      <c r="C218" s="26" t="s">
        <v>589</v>
      </c>
      <c r="D218" s="27"/>
      <c r="E218" s="28" t="s">
        <v>962</v>
      </c>
      <c r="F218" s="30" t="s">
        <v>963</v>
      </c>
      <c r="G218" s="13"/>
      <c r="H218" s="10"/>
      <c r="I218" s="30" t="s">
        <v>20</v>
      </c>
      <c r="J218" s="7"/>
      <c r="K218" s="7"/>
      <c r="L218" s="7"/>
      <c r="M218" s="7"/>
      <c r="N218" s="7">
        <f t="shared" si="2"/>
        <v>1</v>
      </c>
      <c r="O218" s="7"/>
    </row>
    <row r="219">
      <c r="A219" s="26" t="s">
        <v>964</v>
      </c>
      <c r="B219" s="26" t="s">
        <v>965</v>
      </c>
      <c r="C219" s="26" t="s">
        <v>589</v>
      </c>
      <c r="D219" s="26" t="s">
        <v>635</v>
      </c>
      <c r="E219" s="28" t="s">
        <v>966</v>
      </c>
      <c r="F219" s="30"/>
      <c r="G219" s="13"/>
      <c r="H219" s="10"/>
      <c r="I219" s="29"/>
      <c r="J219" s="7"/>
      <c r="K219" s="7"/>
      <c r="L219" s="7"/>
      <c r="M219" s="7"/>
      <c r="N219" s="7">
        <f t="shared" si="2"/>
        <v>0</v>
      </c>
      <c r="O219" s="7"/>
    </row>
    <row r="220">
      <c r="A220" s="26" t="s">
        <v>968</v>
      </c>
      <c r="B220" s="31" t="s">
        <v>969</v>
      </c>
      <c r="C220" s="26" t="s">
        <v>589</v>
      </c>
      <c r="D220" s="27"/>
      <c r="E220" s="34" t="s">
        <v>970</v>
      </c>
      <c r="F220" s="30" t="s">
        <v>971</v>
      </c>
      <c r="G220" s="13"/>
      <c r="H220" s="10"/>
      <c r="I220" s="30" t="s">
        <v>247</v>
      </c>
      <c r="J220" s="7"/>
      <c r="K220" s="7"/>
      <c r="L220" s="7"/>
      <c r="M220" s="7"/>
      <c r="N220" s="7">
        <f t="shared" si="2"/>
        <v>1</v>
      </c>
      <c r="O220" s="7"/>
    </row>
    <row r="221">
      <c r="A221" s="26" t="s">
        <v>972</v>
      </c>
      <c r="B221" s="26" t="s">
        <v>973</v>
      </c>
      <c r="C221" s="26" t="s">
        <v>974</v>
      </c>
      <c r="D221" s="27"/>
      <c r="E221" s="28" t="s">
        <v>976</v>
      </c>
      <c r="F221" s="30" t="s">
        <v>977</v>
      </c>
      <c r="G221" s="13"/>
      <c r="H221" s="10"/>
      <c r="I221" s="29"/>
      <c r="J221" s="7"/>
      <c r="K221" s="7"/>
      <c r="L221" s="7"/>
      <c r="M221" s="7"/>
      <c r="N221" s="7">
        <f t="shared" si="2"/>
        <v>1</v>
      </c>
      <c r="O221" s="7"/>
    </row>
    <row r="222">
      <c r="A222" s="26" t="s">
        <v>978</v>
      </c>
      <c r="B222" s="26" t="s">
        <v>979</v>
      </c>
      <c r="C222" s="26" t="s">
        <v>589</v>
      </c>
      <c r="D222" s="26" t="s">
        <v>598</v>
      </c>
      <c r="E222" s="28" t="s">
        <v>980</v>
      </c>
      <c r="F222" s="29"/>
      <c r="G222" s="13"/>
      <c r="H222" s="10"/>
      <c r="I222" s="29"/>
      <c r="J222" s="7"/>
      <c r="K222" s="7"/>
      <c r="L222" s="7"/>
      <c r="M222" s="7"/>
      <c r="N222" s="7">
        <f t="shared" si="2"/>
        <v>0</v>
      </c>
      <c r="O222" s="7"/>
    </row>
    <row r="223">
      <c r="A223" s="26" t="s">
        <v>981</v>
      </c>
      <c r="B223" s="26" t="s">
        <v>982</v>
      </c>
      <c r="C223" s="26" t="s">
        <v>589</v>
      </c>
      <c r="D223" s="26" t="s">
        <v>598</v>
      </c>
      <c r="E223" s="28" t="s">
        <v>983</v>
      </c>
      <c r="F223" s="30" t="s">
        <v>984</v>
      </c>
      <c r="G223" s="13"/>
      <c r="H223" s="10"/>
      <c r="I223" s="29"/>
      <c r="J223" s="7"/>
      <c r="K223" s="7"/>
      <c r="L223" s="7"/>
      <c r="M223" s="7"/>
      <c r="N223" s="7">
        <f t="shared" si="2"/>
        <v>1</v>
      </c>
      <c r="O223" s="7"/>
    </row>
    <row r="224">
      <c r="A224" s="26" t="s">
        <v>985</v>
      </c>
      <c r="B224" s="26" t="s">
        <v>986</v>
      </c>
      <c r="C224" s="26" t="s">
        <v>589</v>
      </c>
      <c r="D224" s="26" t="s">
        <v>598</v>
      </c>
      <c r="E224" s="28" t="s">
        <v>987</v>
      </c>
      <c r="F224" s="29"/>
      <c r="G224" s="13"/>
      <c r="H224" s="10"/>
      <c r="I224" s="29"/>
      <c r="J224" s="7"/>
      <c r="K224" s="7"/>
      <c r="L224" s="7"/>
      <c r="M224" s="7"/>
      <c r="N224" s="7">
        <f t="shared" si="2"/>
        <v>0</v>
      </c>
      <c r="O224" s="7"/>
    </row>
    <row r="225">
      <c r="A225" s="26" t="s">
        <v>988</v>
      </c>
      <c r="B225" s="26" t="s">
        <v>989</v>
      </c>
      <c r="C225" s="26" t="s">
        <v>589</v>
      </c>
      <c r="D225" s="26" t="s">
        <v>598</v>
      </c>
      <c r="E225" s="28" t="s">
        <v>990</v>
      </c>
      <c r="F225" s="30" t="s">
        <v>991</v>
      </c>
      <c r="G225" s="13"/>
      <c r="H225" s="10"/>
      <c r="I225" s="30" t="s">
        <v>344</v>
      </c>
      <c r="J225" s="7"/>
      <c r="K225" s="7"/>
      <c r="L225" s="7"/>
      <c r="M225" s="7"/>
      <c r="N225" s="7">
        <f t="shared" si="2"/>
        <v>1</v>
      </c>
      <c r="O225" s="7"/>
    </row>
    <row r="226">
      <c r="A226" s="26" t="s">
        <v>992</v>
      </c>
      <c r="B226" s="26" t="s">
        <v>993</v>
      </c>
      <c r="C226" s="26" t="s">
        <v>589</v>
      </c>
      <c r="D226" s="27"/>
      <c r="E226" s="28" t="s">
        <v>994</v>
      </c>
      <c r="F226" s="29"/>
      <c r="G226" s="13"/>
      <c r="H226" s="10"/>
      <c r="I226" s="29"/>
      <c r="J226" s="7"/>
      <c r="K226" s="7"/>
      <c r="L226" s="7"/>
      <c r="M226" s="7"/>
      <c r="N226" s="7">
        <f t="shared" si="2"/>
        <v>0</v>
      </c>
      <c r="O226" s="7"/>
    </row>
    <row r="227">
      <c r="A227" s="26" t="s">
        <v>995</v>
      </c>
      <c r="B227" s="26" t="s">
        <v>996</v>
      </c>
      <c r="C227" s="26" t="s">
        <v>589</v>
      </c>
      <c r="D227" s="26" t="s">
        <v>997</v>
      </c>
      <c r="E227" s="28" t="s">
        <v>998</v>
      </c>
      <c r="F227" s="30"/>
      <c r="G227" s="13"/>
      <c r="H227" s="10"/>
      <c r="I227" s="30"/>
      <c r="J227" s="7"/>
      <c r="K227" s="7"/>
      <c r="L227" s="7"/>
      <c r="M227" s="7"/>
      <c r="N227" s="7">
        <f t="shared" si="2"/>
        <v>0</v>
      </c>
      <c r="O227" s="7"/>
    </row>
    <row r="228">
      <c r="A228" s="26" t="s">
        <v>999</v>
      </c>
      <c r="B228" s="26" t="s">
        <v>1000</v>
      </c>
      <c r="C228" s="26" t="s">
        <v>589</v>
      </c>
      <c r="D228" s="26" t="s">
        <v>598</v>
      </c>
      <c r="E228" s="28" t="s">
        <v>1001</v>
      </c>
      <c r="F228" s="30" t="s">
        <v>1002</v>
      </c>
      <c r="G228" s="13"/>
      <c r="H228" s="10"/>
      <c r="I228" s="29"/>
      <c r="J228" s="7"/>
      <c r="K228" s="7"/>
      <c r="L228" s="7"/>
      <c r="M228" s="7"/>
      <c r="N228" s="7">
        <f t="shared" si="2"/>
        <v>1</v>
      </c>
      <c r="O228" s="7"/>
    </row>
    <row r="229">
      <c r="A229" s="26" t="s">
        <v>1003</v>
      </c>
      <c r="B229" s="31" t="s">
        <v>1004</v>
      </c>
      <c r="C229" s="26" t="s">
        <v>589</v>
      </c>
      <c r="D229" s="27"/>
      <c r="E229" s="28" t="s">
        <v>1005</v>
      </c>
      <c r="F229" s="29"/>
      <c r="G229" s="13"/>
      <c r="H229" s="10"/>
      <c r="I229" s="29"/>
      <c r="J229" s="7"/>
      <c r="K229" s="7"/>
      <c r="L229" s="7"/>
      <c r="M229" s="7"/>
      <c r="N229" s="7">
        <f t="shared" si="2"/>
        <v>0</v>
      </c>
      <c r="O229" s="7"/>
    </row>
    <row r="230">
      <c r="A230" s="26" t="s">
        <v>1008</v>
      </c>
      <c r="B230" s="31" t="s">
        <v>1009</v>
      </c>
      <c r="C230" s="26" t="s">
        <v>589</v>
      </c>
      <c r="D230" s="27"/>
      <c r="E230" s="28" t="s">
        <v>1010</v>
      </c>
      <c r="F230" s="29"/>
      <c r="G230" s="13"/>
      <c r="H230" s="10"/>
      <c r="I230" s="29"/>
      <c r="J230" s="7"/>
      <c r="K230" s="7"/>
      <c r="L230" s="7"/>
      <c r="M230" s="7"/>
      <c r="N230" s="7">
        <f t="shared" si="2"/>
        <v>0</v>
      </c>
      <c r="O230" s="7"/>
    </row>
    <row r="231">
      <c r="A231" s="26" t="s">
        <v>1013</v>
      </c>
      <c r="B231" s="26" t="s">
        <v>1014</v>
      </c>
      <c r="C231" s="26" t="s">
        <v>589</v>
      </c>
      <c r="D231" s="26" t="s">
        <v>598</v>
      </c>
      <c r="E231" s="28" t="s">
        <v>1015</v>
      </c>
      <c r="F231" s="29"/>
      <c r="G231" s="13"/>
      <c r="H231" s="10"/>
      <c r="I231" s="29"/>
      <c r="J231" s="7"/>
      <c r="K231" s="7"/>
      <c r="L231" s="7"/>
      <c r="M231" s="7"/>
      <c r="N231" s="7">
        <f t="shared" si="2"/>
        <v>0</v>
      </c>
      <c r="O231" s="7"/>
    </row>
    <row r="232">
      <c r="A232" s="26" t="s">
        <v>1016</v>
      </c>
      <c r="B232" s="26" t="s">
        <v>1017</v>
      </c>
      <c r="C232" s="26" t="s">
        <v>589</v>
      </c>
      <c r="D232" s="27"/>
      <c r="E232" s="28" t="s">
        <v>1018</v>
      </c>
      <c r="F232" s="30" t="s">
        <v>154</v>
      </c>
      <c r="G232" s="13"/>
      <c r="H232" s="10"/>
      <c r="I232" s="29"/>
      <c r="J232" s="7"/>
      <c r="K232" s="7"/>
      <c r="L232" s="7"/>
      <c r="M232" s="7"/>
      <c r="N232" s="7">
        <f t="shared" si="2"/>
        <v>1</v>
      </c>
      <c r="O232" s="7"/>
    </row>
    <row r="233">
      <c r="A233" s="26" t="s">
        <v>1019</v>
      </c>
      <c r="B233" s="31" t="s">
        <v>1020</v>
      </c>
      <c r="C233" s="26" t="s">
        <v>589</v>
      </c>
      <c r="D233" s="27"/>
      <c r="E233" s="26" t="s">
        <v>1021</v>
      </c>
      <c r="F233" s="30" t="s">
        <v>1022</v>
      </c>
      <c r="G233" s="13"/>
      <c r="H233" s="10"/>
      <c r="I233" s="30" t="s">
        <v>427</v>
      </c>
      <c r="J233" s="7"/>
      <c r="K233" s="7"/>
      <c r="L233" s="7"/>
      <c r="M233" s="7"/>
      <c r="N233" s="7">
        <f t="shared" si="2"/>
        <v>1</v>
      </c>
      <c r="O233" s="7"/>
    </row>
    <row r="234">
      <c r="A234" s="31" t="s">
        <v>1023</v>
      </c>
      <c r="B234" s="26" t="s">
        <v>1024</v>
      </c>
      <c r="C234" s="26" t="s">
        <v>589</v>
      </c>
      <c r="D234" s="26" t="s">
        <v>598</v>
      </c>
      <c r="E234" s="27"/>
      <c r="F234" s="29"/>
      <c r="G234" s="13"/>
      <c r="H234" s="10"/>
      <c r="I234" s="29"/>
      <c r="J234" s="7"/>
      <c r="K234" s="7"/>
      <c r="L234" s="7"/>
      <c r="M234" s="7"/>
      <c r="N234" s="7">
        <f t="shared" si="2"/>
        <v>0</v>
      </c>
      <c r="O234" s="7"/>
    </row>
    <row r="235">
      <c r="A235" s="31" t="s">
        <v>1023</v>
      </c>
      <c r="B235" s="26" t="s">
        <v>1024</v>
      </c>
      <c r="C235" s="26" t="s">
        <v>1025</v>
      </c>
      <c r="D235" s="26" t="s">
        <v>1026</v>
      </c>
      <c r="E235" s="27"/>
      <c r="F235" s="30" t="s">
        <v>1027</v>
      </c>
      <c r="G235" s="13"/>
      <c r="H235" s="10"/>
      <c r="I235" s="29"/>
      <c r="J235" s="7"/>
      <c r="K235" s="7"/>
      <c r="L235" s="7"/>
      <c r="M235" s="7"/>
      <c r="N235" s="7">
        <f t="shared" si="2"/>
        <v>1</v>
      </c>
      <c r="O235" s="7"/>
    </row>
    <row r="236">
      <c r="A236" s="26" t="s">
        <v>1028</v>
      </c>
      <c r="B236" s="26" t="s">
        <v>1029</v>
      </c>
      <c r="C236" s="26" t="s">
        <v>584</v>
      </c>
      <c r="D236" s="27"/>
      <c r="E236" s="32" t="s">
        <v>1030</v>
      </c>
      <c r="F236" s="29"/>
      <c r="G236" s="13"/>
      <c r="H236" s="10"/>
      <c r="I236" s="29"/>
      <c r="J236" s="7"/>
      <c r="K236" s="7"/>
      <c r="L236" s="7"/>
      <c r="M236" s="7"/>
      <c r="N236" s="7">
        <f t="shared" si="2"/>
        <v>0</v>
      </c>
      <c r="O236" s="7"/>
    </row>
    <row r="237">
      <c r="A237" s="26" t="s">
        <v>1031</v>
      </c>
      <c r="B237" s="26" t="s">
        <v>1032</v>
      </c>
      <c r="C237" s="26" t="s">
        <v>589</v>
      </c>
      <c r="D237" s="26" t="s">
        <v>598</v>
      </c>
      <c r="E237" s="28" t="s">
        <v>1033</v>
      </c>
      <c r="F237" s="29"/>
      <c r="G237" s="13"/>
      <c r="H237" s="10"/>
      <c r="I237" s="29"/>
      <c r="J237" s="7"/>
      <c r="K237" s="7"/>
      <c r="L237" s="7"/>
      <c r="M237" s="7"/>
      <c r="N237" s="7">
        <f t="shared" si="2"/>
        <v>0</v>
      </c>
      <c r="O237" s="7"/>
    </row>
    <row r="238">
      <c r="A238" s="26" t="s">
        <v>1035</v>
      </c>
      <c r="B238" s="26" t="s">
        <v>1036</v>
      </c>
      <c r="C238" s="26" t="s">
        <v>589</v>
      </c>
      <c r="D238" s="26" t="s">
        <v>635</v>
      </c>
      <c r="E238" s="28" t="s">
        <v>1037</v>
      </c>
      <c r="F238" s="30" t="s">
        <v>1038</v>
      </c>
      <c r="G238" s="13"/>
      <c r="H238" s="10"/>
      <c r="I238" s="29"/>
      <c r="J238" s="7"/>
      <c r="K238" s="7"/>
      <c r="L238" s="7"/>
      <c r="M238" s="7"/>
      <c r="N238" s="7">
        <f t="shared" si="2"/>
        <v>1</v>
      </c>
      <c r="O238" s="7"/>
    </row>
    <row r="239">
      <c r="A239" s="26" t="s">
        <v>1039</v>
      </c>
      <c r="B239" s="26" t="s">
        <v>1040</v>
      </c>
      <c r="C239" s="26" t="s">
        <v>589</v>
      </c>
      <c r="D239" s="27"/>
      <c r="E239" s="28" t="s">
        <v>1041</v>
      </c>
      <c r="F239" s="30" t="s">
        <v>1042</v>
      </c>
      <c r="G239" s="13"/>
      <c r="H239" s="10"/>
      <c r="I239" s="29"/>
      <c r="J239" s="7"/>
      <c r="K239" s="7"/>
      <c r="L239" s="7"/>
      <c r="M239" s="7"/>
      <c r="N239" s="7">
        <f t="shared" si="2"/>
        <v>1</v>
      </c>
      <c r="O239" s="7"/>
    </row>
    <row r="240">
      <c r="A240" s="26" t="s">
        <v>1043</v>
      </c>
      <c r="B240" s="26" t="s">
        <v>1044</v>
      </c>
      <c r="C240" s="26" t="s">
        <v>589</v>
      </c>
      <c r="D240" s="27"/>
      <c r="E240" s="28" t="s">
        <v>1045</v>
      </c>
      <c r="F240" s="29"/>
      <c r="G240" s="13"/>
      <c r="H240" s="10"/>
      <c r="I240" s="29"/>
      <c r="J240" s="7"/>
      <c r="K240" s="7"/>
      <c r="L240" s="7"/>
      <c r="M240" s="7"/>
      <c r="N240" s="7">
        <f t="shared" si="2"/>
        <v>0</v>
      </c>
      <c r="O240" s="7"/>
    </row>
    <row r="241">
      <c r="A241" s="26" t="s">
        <v>1047</v>
      </c>
      <c r="B241" s="26" t="s">
        <v>1048</v>
      </c>
      <c r="C241" s="26" t="s">
        <v>589</v>
      </c>
      <c r="D241" s="26" t="s">
        <v>635</v>
      </c>
      <c r="E241" s="28" t="s">
        <v>1049</v>
      </c>
      <c r="F241" s="29"/>
      <c r="G241" s="13"/>
      <c r="H241" s="10"/>
      <c r="I241" s="29"/>
      <c r="J241" s="7"/>
      <c r="K241" s="7"/>
      <c r="L241" s="7"/>
      <c r="M241" s="7"/>
      <c r="N241" s="7">
        <f t="shared" si="2"/>
        <v>0</v>
      </c>
      <c r="O241" s="7"/>
    </row>
    <row r="242">
      <c r="A242" s="26" t="s">
        <v>1050</v>
      </c>
      <c r="B242" s="26" t="s">
        <v>1051</v>
      </c>
      <c r="C242" s="26" t="s">
        <v>589</v>
      </c>
      <c r="D242" s="27"/>
      <c r="E242" s="28" t="s">
        <v>1052</v>
      </c>
      <c r="F242" s="30" t="s">
        <v>1053</v>
      </c>
      <c r="G242" s="13"/>
      <c r="H242" s="10"/>
      <c r="I242" s="29"/>
      <c r="J242" s="7"/>
      <c r="K242" s="7"/>
      <c r="L242" s="7"/>
      <c r="M242" s="7"/>
      <c r="N242" s="7">
        <f t="shared" si="2"/>
        <v>1</v>
      </c>
      <c r="O242" s="7"/>
    </row>
    <row r="243">
      <c r="A243" s="26" t="s">
        <v>1054</v>
      </c>
      <c r="B243" s="26" t="s">
        <v>1055</v>
      </c>
      <c r="C243" s="26" t="s">
        <v>589</v>
      </c>
      <c r="D243" s="27"/>
      <c r="E243" s="28" t="s">
        <v>1056</v>
      </c>
      <c r="F243" s="29"/>
      <c r="G243" s="13"/>
      <c r="H243" s="10"/>
      <c r="I243" s="29"/>
      <c r="J243" s="7"/>
      <c r="K243" s="7"/>
      <c r="L243" s="7"/>
      <c r="M243" s="7"/>
      <c r="N243" s="7">
        <f t="shared" si="2"/>
        <v>0</v>
      </c>
      <c r="O243" s="7"/>
    </row>
    <row r="244">
      <c r="A244" s="26" t="s">
        <v>1057</v>
      </c>
      <c r="B244" s="26" t="s">
        <v>1058</v>
      </c>
      <c r="C244" s="26" t="s">
        <v>1059</v>
      </c>
      <c r="D244" s="26" t="s">
        <v>635</v>
      </c>
      <c r="E244" s="28" t="s">
        <v>1060</v>
      </c>
      <c r="F244" s="30" t="s">
        <v>1061</v>
      </c>
      <c r="G244" s="13"/>
      <c r="H244" s="10"/>
      <c r="I244" s="29"/>
      <c r="J244" s="7"/>
      <c r="K244" s="7"/>
      <c r="L244" s="7"/>
      <c r="M244" s="7"/>
      <c r="N244" s="7">
        <f t="shared" si="2"/>
        <v>1</v>
      </c>
      <c r="O244" s="7"/>
    </row>
    <row r="245">
      <c r="A245" s="26" t="s">
        <v>1062</v>
      </c>
      <c r="B245" s="26" t="s">
        <v>1063</v>
      </c>
      <c r="C245" s="26" t="s">
        <v>589</v>
      </c>
      <c r="D245" s="26" t="s">
        <v>598</v>
      </c>
      <c r="E245" s="28" t="s">
        <v>1064</v>
      </c>
      <c r="F245" s="29"/>
      <c r="G245" s="13"/>
      <c r="H245" s="10"/>
      <c r="I245" s="29"/>
      <c r="J245" s="7"/>
      <c r="K245" s="7"/>
      <c r="L245" s="7"/>
      <c r="M245" s="7"/>
      <c r="N245" s="7">
        <f t="shared" si="2"/>
        <v>0</v>
      </c>
      <c r="O245" s="7"/>
    </row>
    <row r="246">
      <c r="A246" s="26" t="s">
        <v>1065</v>
      </c>
      <c r="B246" s="26" t="s">
        <v>1066</v>
      </c>
      <c r="C246" s="26" t="s">
        <v>584</v>
      </c>
      <c r="D246" s="27"/>
      <c r="E246" s="32" t="s">
        <v>1067</v>
      </c>
      <c r="F246" s="30" t="s">
        <v>1068</v>
      </c>
      <c r="G246" s="13"/>
      <c r="H246" s="10"/>
      <c r="I246" s="29"/>
      <c r="J246" s="7"/>
      <c r="K246" s="7"/>
      <c r="L246" s="7"/>
      <c r="M246" s="7"/>
      <c r="N246" s="7">
        <f t="shared" si="2"/>
        <v>1</v>
      </c>
      <c r="O246" s="7"/>
    </row>
    <row r="247">
      <c r="A247" s="26" t="s">
        <v>1070</v>
      </c>
      <c r="B247" s="26" t="s">
        <v>1071</v>
      </c>
      <c r="C247" s="26" t="s">
        <v>589</v>
      </c>
      <c r="D247" s="26" t="s">
        <v>598</v>
      </c>
      <c r="E247" s="28" t="s">
        <v>1072</v>
      </c>
      <c r="F247" s="29"/>
      <c r="G247" s="13"/>
      <c r="H247" s="10"/>
      <c r="I247" s="29"/>
      <c r="J247" s="7"/>
      <c r="K247" s="7"/>
      <c r="L247" s="7"/>
      <c r="M247" s="7"/>
      <c r="N247" s="7">
        <f t="shared" si="2"/>
        <v>0</v>
      </c>
      <c r="O247" s="7"/>
    </row>
    <row r="248">
      <c r="A248" s="26" t="s">
        <v>1073</v>
      </c>
      <c r="B248" s="26" t="s">
        <v>1074</v>
      </c>
      <c r="C248" s="26" t="s">
        <v>835</v>
      </c>
      <c r="D248" s="27"/>
      <c r="E248" s="28" t="s">
        <v>1075</v>
      </c>
      <c r="F248" s="29"/>
      <c r="G248" s="13"/>
      <c r="H248" s="10"/>
      <c r="I248" s="29"/>
      <c r="J248" s="7"/>
      <c r="K248" s="7"/>
      <c r="L248" s="7"/>
      <c r="M248" s="7"/>
      <c r="N248" s="7">
        <f t="shared" si="2"/>
        <v>0</v>
      </c>
      <c r="O248" s="7"/>
    </row>
    <row r="249">
      <c r="A249" s="26" t="s">
        <v>1076</v>
      </c>
      <c r="B249" s="26" t="s">
        <v>1077</v>
      </c>
      <c r="C249" s="26" t="s">
        <v>589</v>
      </c>
      <c r="D249" s="26" t="s">
        <v>598</v>
      </c>
      <c r="E249" s="28" t="s">
        <v>1078</v>
      </c>
      <c r="F249" s="29"/>
      <c r="G249" s="13"/>
      <c r="H249" s="10"/>
      <c r="I249" s="29"/>
      <c r="J249" s="7"/>
      <c r="K249" s="7"/>
      <c r="L249" s="7"/>
      <c r="M249" s="7"/>
      <c r="N249" s="7">
        <f t="shared" si="2"/>
        <v>0</v>
      </c>
      <c r="O249" s="7"/>
    </row>
    <row r="250">
      <c r="A250" s="26" t="s">
        <v>1079</v>
      </c>
      <c r="B250" s="26" t="s">
        <v>1080</v>
      </c>
      <c r="C250" s="26" t="s">
        <v>584</v>
      </c>
      <c r="D250" s="27"/>
      <c r="E250" s="28" t="s">
        <v>1081</v>
      </c>
      <c r="F250" s="29"/>
      <c r="G250" s="13"/>
      <c r="H250" s="10"/>
      <c r="I250" s="29"/>
      <c r="J250" s="7"/>
      <c r="K250" s="7"/>
      <c r="L250" s="7"/>
      <c r="M250" s="7"/>
      <c r="N250" s="7">
        <f t="shared" si="2"/>
        <v>0</v>
      </c>
      <c r="O250" s="7"/>
    </row>
    <row r="251">
      <c r="A251" s="26" t="s">
        <v>1082</v>
      </c>
      <c r="B251" s="26" t="s">
        <v>1083</v>
      </c>
      <c r="C251" s="26" t="s">
        <v>589</v>
      </c>
      <c r="D251" s="27"/>
      <c r="E251" s="28" t="s">
        <v>1084</v>
      </c>
      <c r="F251" s="29"/>
      <c r="G251" s="13"/>
      <c r="H251" s="10"/>
      <c r="I251" s="29"/>
      <c r="J251" s="7"/>
      <c r="K251" s="7"/>
      <c r="L251" s="7"/>
      <c r="M251" s="7"/>
      <c r="N251" s="7">
        <f t="shared" si="2"/>
        <v>0</v>
      </c>
      <c r="O251" s="7"/>
    </row>
    <row r="252">
      <c r="A252" s="26" t="s">
        <v>1085</v>
      </c>
      <c r="B252" s="26" t="s">
        <v>1086</v>
      </c>
      <c r="C252" s="26" t="s">
        <v>589</v>
      </c>
      <c r="D252" s="26" t="s">
        <v>1087</v>
      </c>
      <c r="E252" s="28" t="s">
        <v>1088</v>
      </c>
      <c r="F252" s="30" t="s">
        <v>1089</v>
      </c>
      <c r="G252" s="13"/>
      <c r="H252" s="10"/>
      <c r="I252" s="29"/>
      <c r="J252" s="7"/>
      <c r="K252" s="7"/>
      <c r="L252" s="7"/>
      <c r="M252" s="7"/>
      <c r="N252" s="7">
        <f t="shared" si="2"/>
        <v>1</v>
      </c>
      <c r="O252" s="7"/>
    </row>
    <row r="253">
      <c r="A253" s="26" t="s">
        <v>1090</v>
      </c>
      <c r="B253" s="26" t="s">
        <v>1091</v>
      </c>
      <c r="C253" s="26" t="s">
        <v>589</v>
      </c>
      <c r="D253" s="26" t="s">
        <v>235</v>
      </c>
      <c r="E253" s="28" t="s">
        <v>1088</v>
      </c>
      <c r="F253" s="30" t="s">
        <v>1092</v>
      </c>
      <c r="G253" s="13"/>
      <c r="H253" s="10"/>
      <c r="I253" s="29"/>
      <c r="J253" s="7"/>
      <c r="K253" s="7"/>
      <c r="L253" s="7"/>
      <c r="M253" s="7"/>
      <c r="N253" s="7">
        <f t="shared" si="2"/>
        <v>1</v>
      </c>
      <c r="O253" s="7"/>
    </row>
    <row r="254">
      <c r="A254" s="26" t="s">
        <v>1093</v>
      </c>
      <c r="B254" s="26" t="s">
        <v>1094</v>
      </c>
      <c r="C254" s="26" t="s">
        <v>589</v>
      </c>
      <c r="D254" s="26" t="s">
        <v>235</v>
      </c>
      <c r="E254" s="28" t="s">
        <v>1088</v>
      </c>
      <c r="F254" s="30" t="s">
        <v>1095</v>
      </c>
      <c r="G254" s="13"/>
      <c r="H254" s="10"/>
      <c r="I254" s="29"/>
      <c r="J254" s="7"/>
      <c r="K254" s="7"/>
      <c r="L254" s="7"/>
      <c r="M254" s="7"/>
      <c r="N254" s="7">
        <f t="shared" si="2"/>
        <v>1</v>
      </c>
      <c r="O254" s="7"/>
    </row>
    <row r="255">
      <c r="A255" s="26" t="s">
        <v>1096</v>
      </c>
      <c r="B255" s="26" t="s">
        <v>1097</v>
      </c>
      <c r="C255" s="26" t="s">
        <v>589</v>
      </c>
      <c r="D255" s="27"/>
      <c r="E255" s="32" t="s">
        <v>1098</v>
      </c>
      <c r="F255" s="30" t="s">
        <v>1099</v>
      </c>
      <c r="G255" s="13"/>
      <c r="H255" s="10"/>
      <c r="I255" s="29"/>
      <c r="J255" s="7"/>
      <c r="K255" s="7"/>
      <c r="L255" s="7"/>
      <c r="M255" s="7"/>
      <c r="N255" s="7">
        <f t="shared" si="2"/>
        <v>1</v>
      </c>
      <c r="O255" s="7"/>
    </row>
    <row r="256">
      <c r="A256" s="26" t="s">
        <v>1100</v>
      </c>
      <c r="B256" s="26" t="s">
        <v>1101</v>
      </c>
      <c r="C256" s="26" t="s">
        <v>589</v>
      </c>
      <c r="D256" s="27"/>
      <c r="E256" s="28" t="s">
        <v>1102</v>
      </c>
      <c r="F256" s="30" t="s">
        <v>1103</v>
      </c>
      <c r="G256" s="13"/>
      <c r="H256" s="10"/>
      <c r="I256" s="29"/>
      <c r="J256" s="7"/>
      <c r="K256" s="7"/>
      <c r="L256" s="7"/>
      <c r="M256" s="7"/>
      <c r="N256" s="7">
        <f t="shared" si="2"/>
        <v>1</v>
      </c>
      <c r="O256" s="7"/>
    </row>
    <row r="257">
      <c r="A257" s="26" t="s">
        <v>1104</v>
      </c>
      <c r="B257" s="26" t="s">
        <v>1105</v>
      </c>
      <c r="C257" s="26" t="s">
        <v>589</v>
      </c>
      <c r="D257" s="27"/>
      <c r="E257" s="28" t="s">
        <v>1106</v>
      </c>
      <c r="F257" s="30" t="s">
        <v>1107</v>
      </c>
      <c r="G257" s="13"/>
      <c r="H257" s="10"/>
      <c r="I257" s="29"/>
      <c r="J257" s="7"/>
      <c r="K257" s="7"/>
      <c r="L257" s="7"/>
      <c r="M257" s="7"/>
      <c r="N257" s="7">
        <f t="shared" si="2"/>
        <v>1</v>
      </c>
      <c r="O257" s="7"/>
    </row>
    <row r="258">
      <c r="A258" s="26" t="s">
        <v>1108</v>
      </c>
      <c r="B258" s="26" t="s">
        <v>1109</v>
      </c>
      <c r="C258" s="26" t="s">
        <v>648</v>
      </c>
      <c r="D258" s="26" t="s">
        <v>1026</v>
      </c>
      <c r="E258" s="27"/>
      <c r="F258" s="30" t="s">
        <v>1110</v>
      </c>
      <c r="G258" s="13"/>
      <c r="H258" s="10"/>
      <c r="I258" s="29"/>
      <c r="J258" s="7"/>
      <c r="K258" s="7"/>
      <c r="L258" s="7"/>
      <c r="M258" s="7"/>
      <c r="N258" s="7">
        <f t="shared" si="2"/>
        <v>1</v>
      </c>
      <c r="O258" s="7"/>
    </row>
    <row r="259">
      <c r="A259" s="26" t="s">
        <v>1111</v>
      </c>
      <c r="B259" s="26" t="s">
        <v>1112</v>
      </c>
      <c r="C259" s="26" t="s">
        <v>589</v>
      </c>
      <c r="D259" s="27"/>
      <c r="E259" s="28" t="s">
        <v>1113</v>
      </c>
      <c r="F259" s="29"/>
      <c r="G259" s="13"/>
      <c r="H259" s="10"/>
      <c r="I259" s="29"/>
      <c r="J259" s="7"/>
      <c r="K259" s="7"/>
      <c r="L259" s="7"/>
      <c r="M259" s="7"/>
      <c r="N259" s="7">
        <f t="shared" si="2"/>
        <v>0</v>
      </c>
      <c r="O259" s="7"/>
    </row>
    <row r="260">
      <c r="A260" s="26" t="s">
        <v>1114</v>
      </c>
      <c r="B260" s="26" t="s">
        <v>1115</v>
      </c>
      <c r="C260" s="26" t="s">
        <v>589</v>
      </c>
      <c r="D260" s="27"/>
      <c r="E260" s="28" t="s">
        <v>1116</v>
      </c>
      <c r="F260" s="29"/>
      <c r="G260" s="13"/>
      <c r="H260" s="10"/>
      <c r="I260" s="29"/>
      <c r="J260" s="7"/>
      <c r="K260" s="7"/>
      <c r="L260" s="7"/>
      <c r="M260" s="7"/>
      <c r="N260" s="7">
        <f t="shared" si="2"/>
        <v>0</v>
      </c>
      <c r="O260" s="7"/>
    </row>
    <row r="261">
      <c r="A261" s="26" t="s">
        <v>1117</v>
      </c>
      <c r="B261" s="26" t="s">
        <v>1118</v>
      </c>
      <c r="C261" s="26" t="s">
        <v>589</v>
      </c>
      <c r="D261" s="26" t="s">
        <v>598</v>
      </c>
      <c r="E261" s="28" t="s">
        <v>1119</v>
      </c>
      <c r="F261" s="29"/>
      <c r="G261" s="13"/>
      <c r="H261" s="10"/>
      <c r="I261" s="29"/>
      <c r="J261" s="7"/>
      <c r="K261" s="7"/>
      <c r="L261" s="7"/>
      <c r="M261" s="7"/>
      <c r="N261" s="7">
        <f t="shared" si="2"/>
        <v>0</v>
      </c>
      <c r="O261" s="7"/>
    </row>
    <row r="262">
      <c r="A262" s="26" t="s">
        <v>1120</v>
      </c>
      <c r="B262" s="26" t="s">
        <v>1020</v>
      </c>
      <c r="C262" s="26" t="s">
        <v>589</v>
      </c>
      <c r="D262" s="27"/>
      <c r="E262" s="28" t="s">
        <v>1121</v>
      </c>
      <c r="F262" s="30" t="s">
        <v>1122</v>
      </c>
      <c r="G262" s="13"/>
      <c r="H262" s="10"/>
      <c r="I262" s="30" t="s">
        <v>351</v>
      </c>
      <c r="J262" s="7"/>
      <c r="K262" s="7"/>
      <c r="L262" s="7"/>
      <c r="M262" s="7"/>
      <c r="N262" s="7">
        <f t="shared" si="2"/>
        <v>1</v>
      </c>
      <c r="O262" s="7"/>
    </row>
    <row r="263">
      <c r="A263" s="26" t="s">
        <v>1123</v>
      </c>
      <c r="B263" s="26" t="s">
        <v>1124</v>
      </c>
      <c r="C263" s="26" t="s">
        <v>589</v>
      </c>
      <c r="D263" s="27"/>
      <c r="E263" s="28" t="s">
        <v>1125</v>
      </c>
      <c r="F263" s="30" t="s">
        <v>1126</v>
      </c>
      <c r="G263" s="13"/>
      <c r="H263" s="10"/>
      <c r="I263" s="30" t="s">
        <v>260</v>
      </c>
      <c r="J263" s="7"/>
      <c r="K263" s="7"/>
      <c r="L263" s="7"/>
      <c r="M263" s="7"/>
      <c r="N263" s="7">
        <f t="shared" si="2"/>
        <v>1</v>
      </c>
      <c r="O263" s="7"/>
    </row>
    <row r="264">
      <c r="A264" s="26" t="s">
        <v>1127</v>
      </c>
      <c r="B264" s="26" t="s">
        <v>1128</v>
      </c>
      <c r="C264" s="26" t="s">
        <v>589</v>
      </c>
      <c r="D264" s="27"/>
      <c r="E264" s="28" t="s">
        <v>1129</v>
      </c>
      <c r="F264" s="30" t="s">
        <v>1130</v>
      </c>
      <c r="G264" s="13"/>
      <c r="H264" s="10"/>
      <c r="I264" s="30" t="s">
        <v>324</v>
      </c>
      <c r="J264" s="7"/>
      <c r="K264" s="7"/>
      <c r="L264" s="7"/>
      <c r="M264" s="7"/>
      <c r="N264" s="7">
        <f t="shared" si="2"/>
        <v>1</v>
      </c>
      <c r="O264" s="7"/>
    </row>
    <row r="265">
      <c r="A265" s="26" t="s">
        <v>1131</v>
      </c>
      <c r="B265" s="31" t="s">
        <v>1132</v>
      </c>
      <c r="C265" s="26" t="s">
        <v>589</v>
      </c>
      <c r="D265" s="26" t="s">
        <v>598</v>
      </c>
      <c r="E265" s="28" t="s">
        <v>1133</v>
      </c>
      <c r="F265" s="29"/>
      <c r="G265" s="13"/>
      <c r="H265" s="10"/>
      <c r="I265" s="29"/>
      <c r="J265" s="7"/>
      <c r="K265" s="7"/>
      <c r="L265" s="7"/>
      <c r="M265" s="7"/>
      <c r="N265" s="7">
        <f t="shared" si="2"/>
        <v>0</v>
      </c>
      <c r="O265" s="7"/>
    </row>
    <row r="266">
      <c r="A266" s="26" t="s">
        <v>1134</v>
      </c>
      <c r="B266" s="31" t="s">
        <v>1135</v>
      </c>
      <c r="C266" s="26" t="s">
        <v>589</v>
      </c>
      <c r="D266" s="27"/>
      <c r="E266" s="28" t="s">
        <v>1136</v>
      </c>
      <c r="F266" s="29"/>
      <c r="G266" s="13"/>
      <c r="H266" s="10"/>
      <c r="I266" s="29"/>
      <c r="J266" s="7"/>
      <c r="K266" s="7"/>
      <c r="L266" s="7"/>
      <c r="M266" s="7"/>
      <c r="N266" s="7">
        <f t="shared" si="2"/>
        <v>0</v>
      </c>
      <c r="O266" s="7"/>
    </row>
    <row r="267">
      <c r="A267" s="31" t="s">
        <v>1138</v>
      </c>
      <c r="B267" s="26" t="s">
        <v>1139</v>
      </c>
      <c r="C267" s="26" t="s">
        <v>589</v>
      </c>
      <c r="D267" s="26" t="s">
        <v>598</v>
      </c>
      <c r="E267" s="27"/>
      <c r="F267" s="30" t="s">
        <v>1140</v>
      </c>
      <c r="G267" s="13"/>
      <c r="H267" s="10"/>
      <c r="I267" s="29"/>
      <c r="J267" s="7"/>
      <c r="K267" s="7"/>
      <c r="L267" s="7"/>
      <c r="M267" s="7"/>
      <c r="N267" s="7">
        <f t="shared" si="2"/>
        <v>1</v>
      </c>
      <c r="O267" s="7"/>
    </row>
    <row r="268">
      <c r="A268" s="26" t="s">
        <v>1141</v>
      </c>
      <c r="B268" s="26" t="s">
        <v>1142</v>
      </c>
      <c r="C268" s="26" t="s">
        <v>589</v>
      </c>
      <c r="D268" s="27"/>
      <c r="E268" s="28" t="s">
        <v>1143</v>
      </c>
      <c r="F268" s="30" t="s">
        <v>1144</v>
      </c>
      <c r="G268" s="13"/>
      <c r="H268" s="10"/>
      <c r="I268" s="29"/>
      <c r="J268" s="7"/>
      <c r="K268" s="7"/>
      <c r="L268" s="7"/>
      <c r="M268" s="7"/>
      <c r="N268" s="7">
        <f t="shared" si="2"/>
        <v>1</v>
      </c>
      <c r="O268" s="7"/>
    </row>
    <row r="269">
      <c r="A269" s="26" t="s">
        <v>1145</v>
      </c>
      <c r="B269" s="26" t="s">
        <v>1146</v>
      </c>
      <c r="C269" s="26" t="s">
        <v>584</v>
      </c>
      <c r="D269" s="27"/>
      <c r="E269" s="33" t="s">
        <v>1934</v>
      </c>
      <c r="F269" s="30" t="s">
        <v>1148</v>
      </c>
      <c r="G269" s="13"/>
      <c r="H269" s="10"/>
      <c r="I269" s="29"/>
      <c r="J269" s="7"/>
      <c r="K269" s="7"/>
      <c r="L269" s="7"/>
      <c r="M269" s="7"/>
      <c r="N269" s="7">
        <f t="shared" si="2"/>
        <v>1</v>
      </c>
      <c r="O269" s="7"/>
    </row>
    <row r="270">
      <c r="A270" s="26" t="s">
        <v>1149</v>
      </c>
      <c r="B270" s="26" t="s">
        <v>1150</v>
      </c>
      <c r="C270" s="26" t="s">
        <v>1151</v>
      </c>
      <c r="D270" s="27"/>
      <c r="E270" s="28" t="s">
        <v>1152</v>
      </c>
      <c r="F270" s="29"/>
      <c r="G270" s="13"/>
      <c r="H270" s="10"/>
      <c r="I270" s="29"/>
      <c r="J270" s="7"/>
      <c r="K270" s="7"/>
      <c r="L270" s="7"/>
      <c r="M270" s="7"/>
      <c r="N270" s="7">
        <f t="shared" si="2"/>
        <v>0</v>
      </c>
      <c r="O270" s="7"/>
    </row>
    <row r="271">
      <c r="A271" s="31" t="s">
        <v>1153</v>
      </c>
      <c r="B271" s="26" t="s">
        <v>1154</v>
      </c>
      <c r="C271" s="26" t="s">
        <v>589</v>
      </c>
      <c r="D271" s="27"/>
      <c r="E271" s="28" t="s">
        <v>1155</v>
      </c>
      <c r="F271" s="30" t="s">
        <v>1156</v>
      </c>
      <c r="G271" s="13"/>
      <c r="H271" s="10"/>
      <c r="I271" s="30" t="s">
        <v>39</v>
      </c>
      <c r="J271" s="7"/>
      <c r="K271" s="7"/>
      <c r="L271" s="7"/>
      <c r="M271" s="7"/>
      <c r="N271" s="7">
        <f t="shared" si="2"/>
        <v>1</v>
      </c>
      <c r="O271" s="7"/>
    </row>
    <row r="272">
      <c r="A272" s="26" t="s">
        <v>1157</v>
      </c>
      <c r="B272" s="26" t="s">
        <v>1158</v>
      </c>
      <c r="C272" s="26" t="s">
        <v>584</v>
      </c>
      <c r="D272" s="27"/>
      <c r="E272" s="28" t="s">
        <v>1159</v>
      </c>
      <c r="F272" s="29"/>
      <c r="G272" s="13"/>
      <c r="H272" s="10"/>
      <c r="I272" s="29"/>
      <c r="J272" s="7"/>
      <c r="K272" s="7"/>
      <c r="L272" s="7"/>
      <c r="M272" s="7"/>
      <c r="N272" s="7">
        <f t="shared" si="2"/>
        <v>0</v>
      </c>
      <c r="O272" s="7"/>
    </row>
    <row r="273">
      <c r="A273" s="26" t="s">
        <v>1160</v>
      </c>
      <c r="B273" s="26" t="s">
        <v>1161</v>
      </c>
      <c r="C273" s="26" t="s">
        <v>1162</v>
      </c>
      <c r="D273" s="27"/>
      <c r="E273" s="28" t="s">
        <v>1163</v>
      </c>
      <c r="F273" s="29"/>
      <c r="G273" s="13"/>
      <c r="H273" s="10"/>
      <c r="I273" s="29"/>
      <c r="J273" s="7"/>
      <c r="K273" s="7"/>
      <c r="L273" s="7"/>
      <c r="M273" s="7"/>
      <c r="N273" s="7">
        <f t="shared" si="2"/>
        <v>0</v>
      </c>
      <c r="O273" s="7"/>
    </row>
    <row r="274">
      <c r="A274" s="26" t="s">
        <v>1164</v>
      </c>
      <c r="B274" s="26" t="s">
        <v>1165</v>
      </c>
      <c r="C274" s="26" t="s">
        <v>589</v>
      </c>
      <c r="D274" s="27"/>
      <c r="E274" s="28" t="s">
        <v>1166</v>
      </c>
      <c r="F274" s="30" t="s">
        <v>1167</v>
      </c>
      <c r="G274" s="13"/>
      <c r="H274" s="10"/>
      <c r="I274" s="29"/>
      <c r="J274" s="7"/>
      <c r="K274" s="7"/>
      <c r="L274" s="7"/>
      <c r="M274" s="7"/>
      <c r="N274" s="7">
        <f t="shared" si="2"/>
        <v>1</v>
      </c>
      <c r="O274" s="7"/>
    </row>
    <row r="275">
      <c r="A275" s="26" t="s">
        <v>1168</v>
      </c>
      <c r="B275" s="26" t="s">
        <v>1169</v>
      </c>
      <c r="C275" s="26" t="s">
        <v>1059</v>
      </c>
      <c r="D275" s="27"/>
      <c r="E275" s="28" t="s">
        <v>1170</v>
      </c>
      <c r="F275" s="30" t="s">
        <v>1171</v>
      </c>
      <c r="G275" s="13"/>
      <c r="H275" s="10"/>
      <c r="I275" s="29"/>
      <c r="J275" s="7"/>
      <c r="K275" s="7"/>
      <c r="L275" s="7"/>
      <c r="M275" s="7"/>
      <c r="N275" s="7">
        <f t="shared" si="2"/>
        <v>1</v>
      </c>
      <c r="O275" s="7"/>
    </row>
    <row r="276" ht="16.5" customHeight="1">
      <c r="A276" s="26" t="s">
        <v>1172</v>
      </c>
      <c r="B276" s="26" t="s">
        <v>1173</v>
      </c>
      <c r="C276" s="26" t="s">
        <v>589</v>
      </c>
      <c r="D276" s="28" t="s">
        <v>1174</v>
      </c>
      <c r="E276" s="33" t="s">
        <v>1938</v>
      </c>
      <c r="F276" s="30" t="s">
        <v>1176</v>
      </c>
      <c r="G276" s="13"/>
      <c r="H276" s="10"/>
      <c r="I276" s="30" t="s">
        <v>122</v>
      </c>
      <c r="J276" s="7"/>
      <c r="K276" s="7"/>
      <c r="L276" s="7"/>
      <c r="M276" s="7"/>
      <c r="N276" s="7">
        <f t="shared" si="2"/>
        <v>1</v>
      </c>
      <c r="O276" s="7"/>
    </row>
    <row r="277" ht="15.75" customHeight="1">
      <c r="A277" s="26" t="s">
        <v>1177</v>
      </c>
      <c r="B277" s="26" t="s">
        <v>1178</v>
      </c>
      <c r="C277" s="26" t="s">
        <v>589</v>
      </c>
      <c r="D277" s="28" t="s">
        <v>1174</v>
      </c>
      <c r="E277" s="28" t="s">
        <v>1179</v>
      </c>
      <c r="F277" s="30" t="s">
        <v>1180</v>
      </c>
      <c r="G277" s="13"/>
      <c r="H277" s="10"/>
      <c r="I277" s="30" t="s">
        <v>122</v>
      </c>
      <c r="J277" s="7"/>
      <c r="K277" s="7"/>
      <c r="L277" s="7"/>
      <c r="M277" s="7"/>
      <c r="N277" s="7">
        <f t="shared" si="2"/>
        <v>1</v>
      </c>
      <c r="O277" s="7"/>
    </row>
    <row r="278">
      <c r="A278" s="26" t="s">
        <v>1181</v>
      </c>
      <c r="B278" s="31" t="s">
        <v>1182</v>
      </c>
      <c r="C278" s="26" t="s">
        <v>589</v>
      </c>
      <c r="D278" s="26"/>
      <c r="E278" s="28" t="s">
        <v>1939</v>
      </c>
      <c r="F278" s="29"/>
      <c r="G278" s="13"/>
      <c r="H278" s="10"/>
      <c r="I278" s="30" t="s">
        <v>403</v>
      </c>
      <c r="J278" s="7"/>
      <c r="K278" s="7"/>
      <c r="L278" s="7"/>
      <c r="M278" s="7"/>
      <c r="N278" s="7">
        <f t="shared" si="2"/>
        <v>0</v>
      </c>
      <c r="O278" s="7"/>
    </row>
    <row r="279">
      <c r="A279" s="26" t="s">
        <v>1184</v>
      </c>
      <c r="B279" s="26" t="s">
        <v>1185</v>
      </c>
      <c r="C279" s="26" t="s">
        <v>835</v>
      </c>
      <c r="D279" s="26" t="s">
        <v>635</v>
      </c>
      <c r="E279" s="28" t="s">
        <v>1186</v>
      </c>
      <c r="F279" s="29"/>
      <c r="G279" s="13"/>
      <c r="H279" s="10"/>
      <c r="I279" s="29"/>
      <c r="J279" s="7"/>
      <c r="K279" s="7"/>
      <c r="L279" s="7"/>
      <c r="M279" s="7"/>
      <c r="N279" s="7">
        <f t="shared" si="2"/>
        <v>0</v>
      </c>
      <c r="O279" s="7"/>
    </row>
    <row r="280">
      <c r="A280" s="26" t="s">
        <v>1187</v>
      </c>
      <c r="B280" s="26" t="s">
        <v>1188</v>
      </c>
      <c r="C280" s="26" t="s">
        <v>589</v>
      </c>
      <c r="D280" s="27"/>
      <c r="E280" s="28" t="s">
        <v>1189</v>
      </c>
      <c r="F280" s="30" t="s">
        <v>1190</v>
      </c>
      <c r="G280" s="13"/>
      <c r="H280" s="10"/>
      <c r="I280" s="30" t="s">
        <v>52</v>
      </c>
      <c r="J280" s="7"/>
      <c r="K280" s="7"/>
      <c r="L280" s="7"/>
      <c r="M280" s="7"/>
      <c r="N280" s="7">
        <f t="shared" si="2"/>
        <v>1</v>
      </c>
      <c r="O280" s="7"/>
    </row>
    <row r="281">
      <c r="A281" s="26" t="s">
        <v>1191</v>
      </c>
      <c r="B281" s="26" t="s">
        <v>1192</v>
      </c>
      <c r="C281" s="26" t="s">
        <v>589</v>
      </c>
      <c r="D281" s="27"/>
      <c r="E281" s="28" t="s">
        <v>1193</v>
      </c>
      <c r="F281" s="30" t="s">
        <v>1194</v>
      </c>
      <c r="G281" s="13"/>
      <c r="H281" s="10"/>
      <c r="I281" s="29"/>
      <c r="J281" s="7"/>
      <c r="K281" s="7"/>
      <c r="L281" s="7"/>
      <c r="M281" s="7"/>
      <c r="N281" s="7">
        <f t="shared" si="2"/>
        <v>1</v>
      </c>
      <c r="O281" s="7"/>
    </row>
    <row r="282">
      <c r="A282" s="26" t="s">
        <v>1195</v>
      </c>
      <c r="B282" s="26" t="s">
        <v>1196</v>
      </c>
      <c r="C282" s="26" t="s">
        <v>648</v>
      </c>
      <c r="D282" s="27"/>
      <c r="E282" s="28" t="s">
        <v>1197</v>
      </c>
      <c r="F282" s="29"/>
      <c r="G282" s="13"/>
      <c r="H282" s="10"/>
      <c r="I282" s="29"/>
      <c r="J282" s="7"/>
      <c r="K282" s="7"/>
      <c r="L282" s="7"/>
      <c r="M282" s="7"/>
      <c r="N282" s="7">
        <f t="shared" si="2"/>
        <v>0</v>
      </c>
      <c r="O282" s="7"/>
    </row>
    <row r="283">
      <c r="A283" s="26" t="s">
        <v>1198</v>
      </c>
      <c r="B283" s="26" t="s">
        <v>1199</v>
      </c>
      <c r="C283" s="26" t="s">
        <v>589</v>
      </c>
      <c r="D283" s="27"/>
      <c r="E283" s="32" t="s">
        <v>1200</v>
      </c>
      <c r="F283" s="30" t="s">
        <v>1201</v>
      </c>
      <c r="G283" s="13"/>
      <c r="H283" s="10"/>
      <c r="I283" s="29"/>
      <c r="J283" s="7"/>
      <c r="K283" s="7"/>
      <c r="L283" s="7"/>
      <c r="M283" s="7"/>
      <c r="N283" s="7">
        <f t="shared" si="2"/>
        <v>1</v>
      </c>
      <c r="O283" s="7"/>
    </row>
    <row r="284">
      <c r="A284" s="26" t="s">
        <v>1202</v>
      </c>
      <c r="B284" s="26" t="s">
        <v>1203</v>
      </c>
      <c r="C284" s="26" t="s">
        <v>1204</v>
      </c>
      <c r="D284" s="27"/>
      <c r="E284" s="28" t="s">
        <v>1205</v>
      </c>
      <c r="F284" s="30" t="s">
        <v>1206</v>
      </c>
      <c r="G284" s="13"/>
      <c r="H284" s="10"/>
      <c r="I284" s="29"/>
      <c r="J284" s="7"/>
      <c r="K284" s="7"/>
      <c r="L284" s="7"/>
      <c r="M284" s="7"/>
      <c r="N284" s="7">
        <f t="shared" si="2"/>
        <v>1</v>
      </c>
      <c r="O284" s="7"/>
    </row>
    <row r="285">
      <c r="A285" s="26" t="s">
        <v>1207</v>
      </c>
      <c r="B285" s="26" t="s">
        <v>1208</v>
      </c>
      <c r="C285" s="26" t="s">
        <v>589</v>
      </c>
      <c r="D285" s="27"/>
      <c r="E285" s="28" t="s">
        <v>1209</v>
      </c>
      <c r="F285" s="30" t="s">
        <v>1210</v>
      </c>
      <c r="G285" s="13"/>
      <c r="H285" s="10"/>
      <c r="I285" s="29"/>
      <c r="J285" s="7"/>
      <c r="K285" s="7"/>
      <c r="L285" s="7"/>
      <c r="M285" s="7"/>
      <c r="N285" s="7">
        <f t="shared" si="2"/>
        <v>1</v>
      </c>
      <c r="O285" s="7"/>
    </row>
    <row r="286">
      <c r="A286" s="31" t="s">
        <v>1212</v>
      </c>
      <c r="B286" s="26" t="s">
        <v>1213</v>
      </c>
      <c r="C286" s="26" t="s">
        <v>589</v>
      </c>
      <c r="D286" s="26" t="s">
        <v>598</v>
      </c>
      <c r="E286" s="28" t="s">
        <v>1214</v>
      </c>
      <c r="F286" s="30" t="s">
        <v>1215</v>
      </c>
      <c r="G286" s="13"/>
      <c r="H286" s="10"/>
      <c r="I286" s="29"/>
      <c r="J286" s="7"/>
      <c r="K286" s="7"/>
      <c r="L286" s="7"/>
      <c r="M286" s="7"/>
      <c r="N286" s="7">
        <f t="shared" si="2"/>
        <v>1</v>
      </c>
      <c r="O286" s="7"/>
    </row>
    <row r="287">
      <c r="A287" s="26" t="s">
        <v>1216</v>
      </c>
      <c r="B287" s="26" t="s">
        <v>1217</v>
      </c>
      <c r="C287" s="26" t="s">
        <v>584</v>
      </c>
      <c r="D287" s="26" t="s">
        <v>635</v>
      </c>
      <c r="E287" s="28" t="s">
        <v>1218</v>
      </c>
      <c r="F287" s="29"/>
      <c r="G287" s="13"/>
      <c r="H287" s="10"/>
      <c r="I287" s="29"/>
      <c r="J287" s="7"/>
      <c r="K287" s="7"/>
      <c r="L287" s="7"/>
      <c r="M287" s="7"/>
      <c r="N287" s="7">
        <f t="shared" si="2"/>
        <v>0</v>
      </c>
      <c r="O287" s="7"/>
    </row>
    <row r="288">
      <c r="A288" s="26" t="s">
        <v>1219</v>
      </c>
      <c r="B288" s="26" t="s">
        <v>1220</v>
      </c>
      <c r="C288" s="26" t="s">
        <v>584</v>
      </c>
      <c r="D288" s="27"/>
      <c r="E288" s="28" t="s">
        <v>1221</v>
      </c>
      <c r="F288" s="29"/>
      <c r="G288" s="13"/>
      <c r="H288" s="10"/>
      <c r="I288" s="29"/>
      <c r="J288" s="7"/>
      <c r="K288" s="7"/>
      <c r="L288" s="7"/>
      <c r="M288" s="7"/>
      <c r="N288" s="7">
        <f t="shared" si="2"/>
        <v>0</v>
      </c>
      <c r="O288" s="7"/>
    </row>
    <row r="289">
      <c r="A289" s="26" t="s">
        <v>1223</v>
      </c>
      <c r="B289" s="31" t="s">
        <v>1224</v>
      </c>
      <c r="C289" s="26" t="s">
        <v>589</v>
      </c>
      <c r="D289" s="26" t="s">
        <v>635</v>
      </c>
      <c r="E289" s="28" t="s">
        <v>1225</v>
      </c>
      <c r="F289" s="30" t="s">
        <v>1226</v>
      </c>
      <c r="G289" s="13"/>
      <c r="H289" s="10"/>
      <c r="I289" s="29"/>
      <c r="J289" s="7"/>
      <c r="K289" s="7"/>
      <c r="L289" s="7"/>
      <c r="M289" s="7"/>
      <c r="N289" s="7">
        <f t="shared" si="2"/>
        <v>1</v>
      </c>
      <c r="O289" s="7"/>
    </row>
    <row r="290">
      <c r="A290" s="26" t="s">
        <v>1227</v>
      </c>
      <c r="B290" s="26" t="s">
        <v>1228</v>
      </c>
      <c r="C290" s="26" t="s">
        <v>589</v>
      </c>
      <c r="D290" s="27"/>
      <c r="E290" s="28" t="s">
        <v>1229</v>
      </c>
      <c r="F290" s="29"/>
      <c r="G290" s="13"/>
      <c r="H290" s="10"/>
      <c r="I290" s="29"/>
      <c r="J290" s="7"/>
      <c r="K290" s="7"/>
      <c r="L290" s="7"/>
      <c r="M290" s="7"/>
      <c r="N290" s="7">
        <f t="shared" si="2"/>
        <v>0</v>
      </c>
      <c r="O290" s="7"/>
    </row>
    <row r="291">
      <c r="A291" s="26" t="s">
        <v>1230</v>
      </c>
      <c r="B291" s="26" t="s">
        <v>1231</v>
      </c>
      <c r="C291" s="26" t="s">
        <v>589</v>
      </c>
      <c r="D291" s="26" t="s">
        <v>598</v>
      </c>
      <c r="E291" s="28" t="s">
        <v>1232</v>
      </c>
      <c r="F291" s="30" t="s">
        <v>1233</v>
      </c>
      <c r="G291" s="13"/>
      <c r="H291" s="10"/>
      <c r="I291" s="29"/>
      <c r="J291" s="7"/>
      <c r="K291" s="7"/>
      <c r="L291" s="7"/>
      <c r="M291" s="7"/>
      <c r="N291" s="7">
        <f t="shared" si="2"/>
        <v>1</v>
      </c>
      <c r="O291" s="7"/>
    </row>
    <row r="292">
      <c r="A292" s="26" t="s">
        <v>1234</v>
      </c>
      <c r="B292" s="26" t="s">
        <v>1235</v>
      </c>
      <c r="C292" s="26" t="s">
        <v>589</v>
      </c>
      <c r="D292" s="27"/>
      <c r="E292" s="28" t="s">
        <v>1236</v>
      </c>
      <c r="F292" s="30" t="s">
        <v>1237</v>
      </c>
      <c r="G292" s="13"/>
      <c r="H292" s="10"/>
      <c r="I292" s="29"/>
      <c r="J292" s="7"/>
      <c r="K292" s="7"/>
      <c r="L292" s="7"/>
      <c r="M292" s="7"/>
      <c r="N292" s="7">
        <f t="shared" si="2"/>
        <v>1</v>
      </c>
      <c r="O292" s="7"/>
    </row>
    <row r="293">
      <c r="A293" s="31" t="s">
        <v>1238</v>
      </c>
      <c r="B293" s="26" t="s">
        <v>1239</v>
      </c>
      <c r="C293" s="31" t="s">
        <v>589</v>
      </c>
      <c r="D293" s="26"/>
      <c r="E293" s="31" t="s">
        <v>1240</v>
      </c>
      <c r="F293" s="29"/>
      <c r="G293" s="13"/>
      <c r="H293" s="10"/>
      <c r="I293" s="30" t="s">
        <v>391</v>
      </c>
      <c r="J293" s="7"/>
      <c r="K293" s="7"/>
      <c r="L293" s="7"/>
      <c r="M293" s="7"/>
      <c r="N293" s="7">
        <f t="shared" si="2"/>
        <v>0</v>
      </c>
      <c r="O293" s="7"/>
    </row>
    <row r="294">
      <c r="A294" s="26" t="s">
        <v>1241</v>
      </c>
      <c r="B294" s="26" t="s">
        <v>1242</v>
      </c>
      <c r="C294" s="26" t="s">
        <v>589</v>
      </c>
      <c r="D294" s="26" t="s">
        <v>598</v>
      </c>
      <c r="E294" s="28" t="s">
        <v>1243</v>
      </c>
      <c r="F294" s="29"/>
      <c r="G294" s="13"/>
      <c r="H294" s="10"/>
      <c r="I294" s="29"/>
      <c r="J294" s="7"/>
      <c r="K294" s="7"/>
      <c r="L294" s="7"/>
      <c r="M294" s="7"/>
      <c r="N294" s="7">
        <f t="shared" si="2"/>
        <v>0</v>
      </c>
      <c r="O294" s="7"/>
    </row>
    <row r="295">
      <c r="A295" s="26" t="s">
        <v>1244</v>
      </c>
      <c r="B295" s="26" t="s">
        <v>1245</v>
      </c>
      <c r="C295" s="26" t="s">
        <v>584</v>
      </c>
      <c r="D295" s="26" t="s">
        <v>635</v>
      </c>
      <c r="E295" s="28" t="s">
        <v>1246</v>
      </c>
      <c r="F295" s="29"/>
      <c r="G295" s="13"/>
      <c r="H295" s="10"/>
      <c r="I295" s="29"/>
      <c r="J295" s="7"/>
      <c r="K295" s="7"/>
      <c r="L295" s="7"/>
      <c r="M295" s="7"/>
      <c r="N295" s="7">
        <f t="shared" si="2"/>
        <v>0</v>
      </c>
      <c r="O295" s="7"/>
    </row>
    <row r="296">
      <c r="A296" s="26" t="s">
        <v>1247</v>
      </c>
      <c r="B296" s="26" t="s">
        <v>1248</v>
      </c>
      <c r="C296" s="26" t="s">
        <v>589</v>
      </c>
      <c r="D296" s="27"/>
      <c r="E296" s="28" t="s">
        <v>1249</v>
      </c>
      <c r="F296" s="35" t="s">
        <v>188</v>
      </c>
      <c r="I296" s="29"/>
      <c r="J296" s="7"/>
      <c r="K296" s="7"/>
      <c r="L296" s="7"/>
      <c r="M296" s="7"/>
      <c r="N296" s="7">
        <f t="shared" si="2"/>
        <v>1</v>
      </c>
      <c r="O296" s="7"/>
    </row>
    <row r="297">
      <c r="A297" s="26" t="s">
        <v>1250</v>
      </c>
      <c r="B297" s="26" t="s">
        <v>1251</v>
      </c>
      <c r="C297" s="26" t="s">
        <v>589</v>
      </c>
      <c r="D297" s="27"/>
      <c r="E297" s="28" t="s">
        <v>1252</v>
      </c>
      <c r="F297" s="29"/>
      <c r="G297" s="13"/>
      <c r="H297" s="10"/>
      <c r="I297" s="29"/>
      <c r="J297" s="7"/>
      <c r="K297" s="7"/>
      <c r="L297" s="7"/>
      <c r="M297" s="7"/>
      <c r="N297" s="7">
        <f t="shared" si="2"/>
        <v>0</v>
      </c>
      <c r="O297" s="7"/>
    </row>
    <row r="298">
      <c r="A298" s="26" t="s">
        <v>1253</v>
      </c>
      <c r="B298" s="31" t="s">
        <v>1254</v>
      </c>
      <c r="C298" s="26" t="s">
        <v>589</v>
      </c>
      <c r="D298" s="26" t="s">
        <v>635</v>
      </c>
      <c r="E298" s="28" t="s">
        <v>1255</v>
      </c>
      <c r="F298" s="29"/>
      <c r="G298" s="13"/>
      <c r="H298" s="10"/>
      <c r="I298" s="29"/>
      <c r="J298" s="7"/>
      <c r="K298" s="7"/>
      <c r="L298" s="7"/>
      <c r="M298" s="7"/>
      <c r="N298" s="7">
        <f t="shared" si="2"/>
        <v>0</v>
      </c>
      <c r="O298" s="7"/>
    </row>
    <row r="299">
      <c r="A299" s="26" t="s">
        <v>1256</v>
      </c>
      <c r="B299" s="26" t="s">
        <v>1257</v>
      </c>
      <c r="C299" s="26" t="s">
        <v>589</v>
      </c>
      <c r="D299" s="26" t="s">
        <v>635</v>
      </c>
      <c r="E299" s="28" t="s">
        <v>1258</v>
      </c>
      <c r="F299" s="30" t="s">
        <v>1259</v>
      </c>
      <c r="G299" s="13"/>
      <c r="H299" s="10"/>
      <c r="I299" s="29"/>
      <c r="J299" s="7"/>
      <c r="K299" s="7"/>
      <c r="L299" s="7"/>
      <c r="M299" s="7"/>
      <c r="N299" s="7">
        <f t="shared" si="2"/>
        <v>1</v>
      </c>
      <c r="O299" s="7"/>
    </row>
    <row r="300">
      <c r="A300" s="26" t="s">
        <v>1260</v>
      </c>
      <c r="B300" s="26" t="s">
        <v>1261</v>
      </c>
      <c r="C300" s="26" t="s">
        <v>589</v>
      </c>
      <c r="D300" s="27"/>
      <c r="E300" s="28" t="s">
        <v>1262</v>
      </c>
      <c r="F300" s="29"/>
      <c r="G300" s="13"/>
      <c r="H300" s="10"/>
      <c r="I300" s="29"/>
      <c r="J300" s="7"/>
      <c r="K300" s="7"/>
      <c r="L300" s="7"/>
      <c r="M300" s="7"/>
      <c r="N300" s="7">
        <f t="shared" si="2"/>
        <v>0</v>
      </c>
      <c r="O300" s="7"/>
    </row>
    <row r="301">
      <c r="A301" s="26" t="s">
        <v>1264</v>
      </c>
      <c r="B301" s="26" t="s">
        <v>1265</v>
      </c>
      <c r="C301" s="26" t="s">
        <v>589</v>
      </c>
      <c r="D301" s="27"/>
      <c r="E301" s="28" t="s">
        <v>1266</v>
      </c>
      <c r="F301" s="30" t="s">
        <v>1267</v>
      </c>
      <c r="G301" s="13"/>
      <c r="H301" s="10"/>
      <c r="I301" s="29"/>
      <c r="J301" s="7"/>
      <c r="K301" s="7"/>
      <c r="L301" s="7"/>
      <c r="M301" s="7"/>
      <c r="N301" s="7">
        <f t="shared" si="2"/>
        <v>1</v>
      </c>
      <c r="O301" s="7"/>
    </row>
    <row r="302">
      <c r="A302" s="26" t="s">
        <v>1268</v>
      </c>
      <c r="B302" s="26" t="s">
        <v>1269</v>
      </c>
      <c r="C302" s="26" t="s">
        <v>589</v>
      </c>
      <c r="D302" s="26" t="s">
        <v>635</v>
      </c>
      <c r="E302" s="33" t="s">
        <v>1944</v>
      </c>
      <c r="F302" s="30" t="s">
        <v>1271</v>
      </c>
      <c r="G302" s="13"/>
      <c r="H302" s="10"/>
      <c r="I302" s="30" t="s">
        <v>356</v>
      </c>
      <c r="J302" s="7"/>
      <c r="K302" s="7"/>
      <c r="L302" s="7"/>
      <c r="M302" s="7"/>
      <c r="N302" s="7">
        <f t="shared" si="2"/>
        <v>1</v>
      </c>
      <c r="O302" s="7"/>
    </row>
    <row r="303">
      <c r="A303" s="26" t="s">
        <v>1272</v>
      </c>
      <c r="B303" s="31" t="s">
        <v>1273</v>
      </c>
      <c r="C303" s="26" t="s">
        <v>589</v>
      </c>
      <c r="D303" s="27"/>
      <c r="E303" s="28" t="s">
        <v>1274</v>
      </c>
      <c r="F303" s="29"/>
      <c r="G303" s="13"/>
      <c r="H303" s="10"/>
      <c r="I303" s="29"/>
      <c r="J303" s="7"/>
      <c r="K303" s="7"/>
      <c r="L303" s="7"/>
      <c r="M303" s="7"/>
      <c r="N303" s="7">
        <f t="shared" si="2"/>
        <v>0</v>
      </c>
      <c r="O303" s="7"/>
    </row>
    <row r="304">
      <c r="A304" s="26" t="s">
        <v>1275</v>
      </c>
      <c r="B304" s="26" t="s">
        <v>1276</v>
      </c>
      <c r="C304" s="26" t="s">
        <v>589</v>
      </c>
      <c r="D304" s="27"/>
      <c r="E304" s="28" t="s">
        <v>1277</v>
      </c>
      <c r="F304" s="30" t="s">
        <v>1279</v>
      </c>
      <c r="G304" s="13"/>
      <c r="H304" s="10"/>
      <c r="I304" s="29"/>
      <c r="J304" s="7"/>
      <c r="K304" s="7"/>
      <c r="L304" s="7"/>
      <c r="M304" s="7"/>
      <c r="N304" s="7">
        <f t="shared" si="2"/>
        <v>1</v>
      </c>
      <c r="O304" s="7"/>
    </row>
    <row r="305">
      <c r="A305" s="26" t="s">
        <v>1280</v>
      </c>
      <c r="B305" s="26" t="s">
        <v>1281</v>
      </c>
      <c r="C305" s="26" t="s">
        <v>584</v>
      </c>
      <c r="D305" s="26" t="s">
        <v>635</v>
      </c>
      <c r="E305" s="28" t="s">
        <v>1282</v>
      </c>
      <c r="F305" s="29"/>
      <c r="G305" s="13"/>
      <c r="H305" s="10"/>
      <c r="I305" s="29"/>
      <c r="J305" s="7"/>
      <c r="K305" s="7"/>
      <c r="L305" s="7"/>
      <c r="M305" s="7"/>
      <c r="N305" s="7">
        <f t="shared" si="2"/>
        <v>0</v>
      </c>
      <c r="O305" s="7"/>
    </row>
    <row r="306">
      <c r="A306" s="26" t="s">
        <v>1283</v>
      </c>
      <c r="B306" s="26" t="s">
        <v>1284</v>
      </c>
      <c r="C306" s="26" t="s">
        <v>589</v>
      </c>
      <c r="D306" s="27"/>
      <c r="E306" s="28" t="s">
        <v>1285</v>
      </c>
      <c r="F306" s="29"/>
      <c r="G306" s="13"/>
      <c r="H306" s="10"/>
      <c r="I306" s="29"/>
      <c r="J306" s="7"/>
      <c r="K306" s="7"/>
      <c r="L306" s="7"/>
      <c r="M306" s="7"/>
      <c r="N306" s="7">
        <f t="shared" si="2"/>
        <v>0</v>
      </c>
      <c r="O306" s="7"/>
    </row>
    <row r="307">
      <c r="A307" s="26" t="s">
        <v>1286</v>
      </c>
      <c r="B307" s="26" t="s">
        <v>1287</v>
      </c>
      <c r="C307" s="26" t="s">
        <v>584</v>
      </c>
      <c r="D307" s="27"/>
      <c r="E307" s="33" t="s">
        <v>1946</v>
      </c>
      <c r="F307" s="29"/>
      <c r="G307" s="13"/>
      <c r="H307" s="10"/>
      <c r="I307" s="29"/>
      <c r="J307" s="7"/>
      <c r="K307" s="7"/>
      <c r="L307" s="7"/>
      <c r="M307" s="7"/>
      <c r="N307" s="7">
        <f t="shared" si="2"/>
        <v>0</v>
      </c>
      <c r="O307" s="7"/>
    </row>
    <row r="308">
      <c r="A308" s="26" t="s">
        <v>1289</v>
      </c>
      <c r="B308" s="26" t="s">
        <v>1290</v>
      </c>
      <c r="C308" s="26" t="s">
        <v>589</v>
      </c>
      <c r="D308" s="26" t="s">
        <v>1026</v>
      </c>
      <c r="E308" s="27"/>
      <c r="F308" s="30" t="s">
        <v>1291</v>
      </c>
      <c r="G308" s="13"/>
      <c r="H308" s="10"/>
      <c r="I308" s="29"/>
      <c r="J308" s="7"/>
      <c r="K308" s="7"/>
      <c r="L308" s="7"/>
      <c r="M308" s="7"/>
      <c r="N308" s="7">
        <f t="shared" si="2"/>
        <v>1</v>
      </c>
      <c r="O308" s="7"/>
    </row>
    <row r="309">
      <c r="A309" s="26" t="s">
        <v>1292</v>
      </c>
      <c r="B309" s="26" t="s">
        <v>1293</v>
      </c>
      <c r="C309" s="26" t="s">
        <v>589</v>
      </c>
      <c r="D309" s="27"/>
      <c r="E309" s="28" t="s">
        <v>1294</v>
      </c>
      <c r="F309" s="29"/>
      <c r="G309" s="13"/>
      <c r="H309" s="10"/>
      <c r="I309" s="29"/>
      <c r="J309" s="7"/>
      <c r="K309" s="7"/>
      <c r="L309" s="7"/>
      <c r="M309" s="7"/>
      <c r="N309" s="7">
        <f t="shared" si="2"/>
        <v>0</v>
      </c>
      <c r="O309" s="7"/>
    </row>
    <row r="310">
      <c r="A310" s="26" t="s">
        <v>1295</v>
      </c>
      <c r="B310" s="26" t="s">
        <v>1296</v>
      </c>
      <c r="C310" s="26" t="s">
        <v>589</v>
      </c>
      <c r="D310" s="27"/>
      <c r="E310" s="28" t="s">
        <v>1297</v>
      </c>
      <c r="F310" s="30" t="s">
        <v>1298</v>
      </c>
      <c r="G310" s="13"/>
      <c r="H310" s="10"/>
      <c r="I310" s="29"/>
      <c r="J310" s="7"/>
      <c r="K310" s="7"/>
      <c r="L310" s="7"/>
      <c r="M310" s="7"/>
      <c r="N310" s="7">
        <f t="shared" si="2"/>
        <v>1</v>
      </c>
      <c r="O310" s="7"/>
    </row>
    <row r="311">
      <c r="A311" s="26" t="s">
        <v>1299</v>
      </c>
      <c r="B311" s="26" t="s">
        <v>1300</v>
      </c>
      <c r="C311" s="26" t="s">
        <v>589</v>
      </c>
      <c r="D311" s="27"/>
      <c r="E311" s="28" t="s">
        <v>1301</v>
      </c>
      <c r="F311" s="29"/>
      <c r="G311" s="13"/>
      <c r="H311" s="10"/>
      <c r="I311" s="29"/>
      <c r="J311" s="7"/>
      <c r="K311" s="7"/>
      <c r="L311" s="7"/>
      <c r="M311" s="7"/>
      <c r="N311" s="7">
        <f t="shared" si="2"/>
        <v>0</v>
      </c>
      <c r="O311" s="7"/>
    </row>
    <row r="312">
      <c r="A312" s="26" t="s">
        <v>1302</v>
      </c>
      <c r="B312" s="26" t="s">
        <v>1303</v>
      </c>
      <c r="C312" s="26" t="s">
        <v>584</v>
      </c>
      <c r="D312" s="27"/>
      <c r="E312" s="28" t="s">
        <v>1304</v>
      </c>
      <c r="F312" s="29"/>
      <c r="G312" s="13"/>
      <c r="H312" s="10"/>
      <c r="I312" s="29"/>
      <c r="J312" s="7"/>
      <c r="K312" s="7"/>
      <c r="L312" s="7"/>
      <c r="M312" s="7"/>
      <c r="N312" s="7">
        <f t="shared" si="2"/>
        <v>0</v>
      </c>
      <c r="O312" s="7"/>
    </row>
    <row r="313">
      <c r="A313" s="31" t="s">
        <v>1305</v>
      </c>
      <c r="B313" s="26" t="s">
        <v>1058</v>
      </c>
      <c r="C313" s="26" t="s">
        <v>589</v>
      </c>
      <c r="D313" s="27"/>
      <c r="E313" s="28" t="s">
        <v>1306</v>
      </c>
      <c r="F313" s="30" t="s">
        <v>1307</v>
      </c>
      <c r="G313" s="13"/>
      <c r="H313" s="10"/>
      <c r="I313" s="29"/>
      <c r="J313" s="7"/>
      <c r="K313" s="7"/>
      <c r="L313" s="7"/>
      <c r="M313" s="7"/>
      <c r="N313" s="7">
        <f t="shared" si="2"/>
        <v>1</v>
      </c>
      <c r="O313" s="7"/>
    </row>
    <row r="314">
      <c r="A314" s="31" t="s">
        <v>1308</v>
      </c>
      <c r="B314" s="26" t="s">
        <v>1309</v>
      </c>
      <c r="C314" s="26" t="s">
        <v>589</v>
      </c>
      <c r="D314" s="27"/>
      <c r="E314" s="28" t="s">
        <v>1310</v>
      </c>
      <c r="F314" s="29"/>
      <c r="G314" s="13"/>
      <c r="H314" s="10"/>
      <c r="I314" s="29"/>
      <c r="J314" s="7"/>
      <c r="K314" s="7"/>
      <c r="L314" s="7"/>
      <c r="M314" s="7"/>
      <c r="N314" s="7">
        <f t="shared" si="2"/>
        <v>0</v>
      </c>
      <c r="O314" s="7"/>
    </row>
    <row r="315">
      <c r="A315" s="31" t="s">
        <v>1311</v>
      </c>
      <c r="B315" s="26" t="s">
        <v>1312</v>
      </c>
      <c r="C315" s="26" t="s">
        <v>589</v>
      </c>
      <c r="D315" s="26" t="s">
        <v>598</v>
      </c>
      <c r="E315" s="28" t="s">
        <v>1313</v>
      </c>
      <c r="F315" s="30" t="s">
        <v>1314</v>
      </c>
      <c r="G315" s="13"/>
      <c r="H315" s="10"/>
      <c r="I315" s="29"/>
      <c r="J315" s="7"/>
      <c r="K315" s="7"/>
      <c r="L315" s="7"/>
      <c r="M315" s="7"/>
      <c r="N315" s="7">
        <f t="shared" si="2"/>
        <v>1</v>
      </c>
      <c r="O315" s="7"/>
    </row>
    <row r="316">
      <c r="A316" s="26" t="s">
        <v>1315</v>
      </c>
      <c r="B316" s="26" t="s">
        <v>1316</v>
      </c>
      <c r="C316" s="26" t="s">
        <v>589</v>
      </c>
      <c r="D316" s="26" t="s">
        <v>598</v>
      </c>
      <c r="E316" s="28" t="s">
        <v>1317</v>
      </c>
      <c r="F316" s="29"/>
      <c r="G316" s="13"/>
      <c r="H316" s="10"/>
      <c r="I316" s="29"/>
      <c r="J316" s="7"/>
      <c r="K316" s="7"/>
      <c r="L316" s="7"/>
      <c r="M316" s="7"/>
      <c r="N316" s="7">
        <f t="shared" si="2"/>
        <v>0</v>
      </c>
      <c r="O316" s="7"/>
    </row>
    <row r="317">
      <c r="A317" s="26" t="s">
        <v>1319</v>
      </c>
      <c r="B317" s="26" t="s">
        <v>1320</v>
      </c>
      <c r="C317" s="26" t="s">
        <v>589</v>
      </c>
      <c r="D317" s="27"/>
      <c r="E317" s="34" t="s">
        <v>1321</v>
      </c>
      <c r="F317" s="30" t="s">
        <v>1322</v>
      </c>
      <c r="G317" s="13"/>
      <c r="H317" s="10"/>
      <c r="I317" s="29"/>
      <c r="J317" s="7"/>
      <c r="K317" s="7"/>
      <c r="L317" s="7"/>
      <c r="M317" s="7"/>
      <c r="N317" s="7">
        <f t="shared" si="2"/>
        <v>1</v>
      </c>
      <c r="O317" s="7"/>
    </row>
    <row r="318">
      <c r="A318" s="26" t="s">
        <v>1323</v>
      </c>
      <c r="B318" s="26" t="s">
        <v>1324</v>
      </c>
      <c r="C318" s="26" t="s">
        <v>589</v>
      </c>
      <c r="D318" s="26" t="s">
        <v>598</v>
      </c>
      <c r="E318" s="28" t="s">
        <v>1325</v>
      </c>
      <c r="F318" s="29"/>
      <c r="G318" s="13"/>
      <c r="H318" s="10"/>
      <c r="I318" s="29"/>
      <c r="J318" s="7"/>
      <c r="K318" s="7"/>
      <c r="L318" s="7"/>
      <c r="M318" s="7"/>
      <c r="N318" s="7">
        <f t="shared" si="2"/>
        <v>0</v>
      </c>
      <c r="O318" s="7"/>
    </row>
    <row r="319">
      <c r="A319" s="26" t="s">
        <v>1326</v>
      </c>
      <c r="B319" s="26" t="s">
        <v>1327</v>
      </c>
      <c r="C319" s="26" t="s">
        <v>589</v>
      </c>
      <c r="D319" s="27"/>
      <c r="E319" s="28" t="s">
        <v>1328</v>
      </c>
      <c r="F319" s="30" t="s">
        <v>1329</v>
      </c>
      <c r="G319" s="13"/>
      <c r="H319" s="10"/>
      <c r="I319" s="29"/>
      <c r="J319" s="7"/>
      <c r="K319" s="7"/>
      <c r="L319" s="7"/>
      <c r="M319" s="7"/>
      <c r="N319" s="7">
        <f t="shared" si="2"/>
        <v>1</v>
      </c>
      <c r="O319" s="7"/>
    </row>
    <row r="320">
      <c r="A320" s="26" t="s">
        <v>1330</v>
      </c>
      <c r="B320" s="26" t="s">
        <v>1331</v>
      </c>
      <c r="C320" s="26" t="s">
        <v>589</v>
      </c>
      <c r="D320" s="27"/>
      <c r="E320" s="32" t="s">
        <v>1332</v>
      </c>
      <c r="F320" s="30" t="s">
        <v>1333</v>
      </c>
      <c r="G320" s="13"/>
      <c r="H320" s="10"/>
      <c r="I320" s="30" t="s">
        <v>260</v>
      </c>
      <c r="J320" s="7"/>
      <c r="K320" s="7"/>
      <c r="L320" s="7"/>
      <c r="M320" s="7"/>
      <c r="N320" s="7">
        <f t="shared" si="2"/>
        <v>1</v>
      </c>
      <c r="O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f>SUM(N126:N320)</f>
        <v>113</v>
      </c>
      <c r="P322" s="7"/>
      <c r="Q322" s="7"/>
      <c r="R322" s="7"/>
      <c r="S322" s="7"/>
      <c r="T322" s="7"/>
      <c r="U322" s="7"/>
      <c r="V322" s="7"/>
      <c r="W322" s="7"/>
      <c r="X322" s="7"/>
      <c r="Y322" s="7"/>
      <c r="Z322" s="7"/>
    </row>
    <row r="323">
      <c r="A323" s="25" t="s">
        <v>1338</v>
      </c>
      <c r="B323" s="25" t="s">
        <v>577</v>
      </c>
      <c r="C323" s="25" t="s">
        <v>578</v>
      </c>
      <c r="D323" s="25" t="s">
        <v>1339</v>
      </c>
      <c r="E323" s="36" t="s">
        <v>1340</v>
      </c>
      <c r="F323" s="25" t="s">
        <v>1341</v>
      </c>
      <c r="G323" s="25" t="s">
        <v>581</v>
      </c>
      <c r="H323" s="25"/>
      <c r="I323" s="36" t="s">
        <v>4</v>
      </c>
      <c r="J323" s="7"/>
      <c r="K323" s="7"/>
      <c r="L323" s="7"/>
      <c r="M323" s="7"/>
      <c r="N323" s="7"/>
      <c r="O323" s="7"/>
    </row>
    <row r="324">
      <c r="A324" s="26" t="s">
        <v>1342</v>
      </c>
      <c r="B324" s="26" t="s">
        <v>1343</v>
      </c>
      <c r="C324" s="26" t="s">
        <v>584</v>
      </c>
      <c r="D324" s="33" t="s">
        <v>1952</v>
      </c>
      <c r="E324" s="37" t="s">
        <v>584</v>
      </c>
      <c r="F324" s="37">
        <v>1.0</v>
      </c>
      <c r="G324" s="30" t="s">
        <v>1345</v>
      </c>
      <c r="H324" s="10"/>
      <c r="I324" s="17" t="s">
        <v>445</v>
      </c>
      <c r="J324" s="7"/>
      <c r="K324" s="7"/>
      <c r="L324" s="7"/>
      <c r="M324" s="7"/>
      <c r="N324" s="7">
        <f t="shared" ref="N324:N340" si="3"> IF(ISBLANK(G324), 0, 1)</f>
        <v>1</v>
      </c>
      <c r="O324" s="7"/>
    </row>
    <row r="325">
      <c r="A325" s="26" t="s">
        <v>1346</v>
      </c>
      <c r="B325" s="26" t="s">
        <v>1347</v>
      </c>
      <c r="C325" s="26" t="s">
        <v>584</v>
      </c>
      <c r="D325" s="33" t="s">
        <v>1954</v>
      </c>
      <c r="E325" s="37" t="s">
        <v>584</v>
      </c>
      <c r="F325" s="37">
        <v>1.0</v>
      </c>
      <c r="G325" s="30" t="s">
        <v>1350</v>
      </c>
      <c r="H325" s="10"/>
      <c r="I325" s="37"/>
      <c r="J325" s="7"/>
      <c r="K325" s="7"/>
      <c r="L325" s="7"/>
      <c r="M325" s="7"/>
      <c r="N325" s="7">
        <f t="shared" si="3"/>
        <v>1</v>
      </c>
      <c r="O325" s="7"/>
    </row>
    <row r="326">
      <c r="A326" s="26" t="s">
        <v>1351</v>
      </c>
      <c r="B326" s="26" t="s">
        <v>1352</v>
      </c>
      <c r="C326" s="26" t="s">
        <v>584</v>
      </c>
      <c r="D326" s="33" t="s">
        <v>1955</v>
      </c>
      <c r="E326" s="37" t="s">
        <v>584</v>
      </c>
      <c r="F326" s="37">
        <v>1.0</v>
      </c>
      <c r="G326" s="30" t="s">
        <v>1354</v>
      </c>
      <c r="H326" s="10"/>
      <c r="I326" s="37"/>
      <c r="J326" s="7"/>
      <c r="K326" s="7"/>
      <c r="L326" s="7"/>
      <c r="M326" s="7"/>
      <c r="N326" s="7">
        <f t="shared" si="3"/>
        <v>1</v>
      </c>
      <c r="O326" s="7"/>
    </row>
    <row r="327">
      <c r="A327" s="26" t="s">
        <v>1355</v>
      </c>
      <c r="B327" s="26" t="s">
        <v>1356</v>
      </c>
      <c r="C327" s="26" t="s">
        <v>584</v>
      </c>
      <c r="D327" s="28" t="s">
        <v>1357</v>
      </c>
      <c r="E327" s="37" t="s">
        <v>584</v>
      </c>
      <c r="F327" s="37">
        <v>1.0</v>
      </c>
      <c r="G327" s="30" t="s">
        <v>1359</v>
      </c>
      <c r="H327" s="10"/>
      <c r="I327" s="37"/>
      <c r="J327" s="7"/>
      <c r="K327" s="7"/>
      <c r="L327" s="7"/>
      <c r="M327" s="7"/>
      <c r="N327" s="7">
        <f t="shared" si="3"/>
        <v>1</v>
      </c>
      <c r="O327" s="7"/>
    </row>
    <row r="328">
      <c r="A328" s="26" t="s">
        <v>1360</v>
      </c>
      <c r="B328" s="26" t="s">
        <v>1361</v>
      </c>
      <c r="C328" s="26" t="s">
        <v>584</v>
      </c>
      <c r="D328" s="33" t="s">
        <v>1957</v>
      </c>
      <c r="E328" s="37" t="s">
        <v>589</v>
      </c>
      <c r="F328" s="37">
        <v>2.0</v>
      </c>
      <c r="G328" s="30" t="s">
        <v>1363</v>
      </c>
      <c r="H328" s="10"/>
      <c r="I328" s="37" t="s">
        <v>344</v>
      </c>
      <c r="J328" s="7"/>
      <c r="K328" s="7"/>
      <c r="L328" s="7"/>
      <c r="M328" s="7"/>
      <c r="N328" s="7">
        <f t="shared" si="3"/>
        <v>1</v>
      </c>
      <c r="O328" s="7"/>
    </row>
    <row r="329">
      <c r="A329" s="26" t="s">
        <v>1364</v>
      </c>
      <c r="B329" s="26" t="s">
        <v>1365</v>
      </c>
      <c r="C329" s="26" t="s">
        <v>589</v>
      </c>
      <c r="D329" s="28" t="s">
        <v>1366</v>
      </c>
      <c r="E329" s="37" t="s">
        <v>589</v>
      </c>
      <c r="F329" s="37">
        <v>3.0</v>
      </c>
      <c r="G329" s="30" t="s">
        <v>1367</v>
      </c>
      <c r="H329" s="10"/>
      <c r="I329" s="37" t="s">
        <v>403</v>
      </c>
      <c r="J329" s="7"/>
      <c r="K329" s="7"/>
      <c r="L329" s="7"/>
      <c r="M329" s="7"/>
      <c r="N329" s="7">
        <f t="shared" si="3"/>
        <v>1</v>
      </c>
      <c r="O329" s="7"/>
    </row>
    <row r="330">
      <c r="A330" s="31" t="s">
        <v>1368</v>
      </c>
      <c r="B330" s="26" t="s">
        <v>1369</v>
      </c>
      <c r="C330" s="31" t="s">
        <v>589</v>
      </c>
      <c r="D330" s="31" t="s">
        <v>595</v>
      </c>
      <c r="E330" s="37" t="s">
        <v>589</v>
      </c>
      <c r="F330" s="37">
        <v>3.0</v>
      </c>
      <c r="G330" s="30" t="s">
        <v>1370</v>
      </c>
      <c r="H330" s="10"/>
      <c r="I330" s="37" t="s">
        <v>247</v>
      </c>
      <c r="J330" s="7"/>
      <c r="K330" s="7"/>
      <c r="L330" s="7"/>
      <c r="M330" s="7"/>
      <c r="N330" s="7">
        <f t="shared" si="3"/>
        <v>1</v>
      </c>
      <c r="O330" s="7"/>
    </row>
    <row r="331">
      <c r="A331" s="26" t="s">
        <v>1371</v>
      </c>
      <c r="B331" s="26" t="s">
        <v>1372</v>
      </c>
      <c r="C331" s="26" t="s">
        <v>589</v>
      </c>
      <c r="D331" s="28" t="s">
        <v>1373</v>
      </c>
      <c r="E331" s="37" t="s">
        <v>589</v>
      </c>
      <c r="F331" s="37">
        <v>2.0</v>
      </c>
      <c r="G331" s="30" t="s">
        <v>1374</v>
      </c>
      <c r="H331" s="10"/>
      <c r="I331" s="37" t="s">
        <v>461</v>
      </c>
      <c r="J331" s="7"/>
      <c r="K331" s="7"/>
      <c r="L331" s="7"/>
      <c r="M331" s="7"/>
      <c r="N331" s="7">
        <f t="shared" si="3"/>
        <v>1</v>
      </c>
      <c r="O331" s="7"/>
    </row>
    <row r="332">
      <c r="A332" s="26" t="s">
        <v>1375</v>
      </c>
      <c r="B332" s="26" t="s">
        <v>1376</v>
      </c>
      <c r="C332" s="26" t="s">
        <v>584</v>
      </c>
      <c r="D332" s="33" t="s">
        <v>1960</v>
      </c>
      <c r="E332" s="37" t="s">
        <v>589</v>
      </c>
      <c r="F332" s="37">
        <v>3.0</v>
      </c>
      <c r="G332" s="30" t="s">
        <v>1379</v>
      </c>
      <c r="H332" s="10"/>
      <c r="I332" s="37" t="s">
        <v>520</v>
      </c>
      <c r="J332" s="7"/>
      <c r="K332" s="7"/>
      <c r="L332" s="7"/>
      <c r="M332" s="7"/>
      <c r="N332" s="7">
        <f t="shared" si="3"/>
        <v>1</v>
      </c>
      <c r="O332" s="7"/>
    </row>
    <row r="333">
      <c r="A333" s="26" t="s">
        <v>1380</v>
      </c>
      <c r="B333" s="26" t="s">
        <v>1381</v>
      </c>
      <c r="C333" s="26" t="s">
        <v>584</v>
      </c>
      <c r="D333" s="28" t="s">
        <v>1382</v>
      </c>
      <c r="E333" s="37" t="s">
        <v>589</v>
      </c>
      <c r="F333" s="37">
        <v>3.0</v>
      </c>
      <c r="G333" s="30" t="s">
        <v>1383</v>
      </c>
      <c r="H333" s="10"/>
      <c r="I333" s="37" t="s">
        <v>290</v>
      </c>
      <c r="J333" s="7"/>
      <c r="K333" s="7"/>
      <c r="L333" s="7"/>
      <c r="M333" s="7"/>
      <c r="N333" s="7">
        <f t="shared" si="3"/>
        <v>1</v>
      </c>
      <c r="O333" s="7"/>
    </row>
    <row r="334">
      <c r="A334" s="26" t="s">
        <v>1384</v>
      </c>
      <c r="B334" s="26" t="s">
        <v>1385</v>
      </c>
      <c r="C334" s="26" t="s">
        <v>584</v>
      </c>
      <c r="D334" s="28" t="s">
        <v>1386</v>
      </c>
      <c r="E334" s="37" t="s">
        <v>589</v>
      </c>
      <c r="F334" s="37">
        <v>2.0</v>
      </c>
      <c r="G334" s="30" t="s">
        <v>1387</v>
      </c>
      <c r="H334" s="10"/>
      <c r="I334" s="37"/>
      <c r="J334" s="7"/>
      <c r="K334" s="7"/>
      <c r="L334" s="7"/>
      <c r="M334" s="7"/>
      <c r="N334" s="7">
        <f t="shared" si="3"/>
        <v>1</v>
      </c>
      <c r="O334" s="7"/>
    </row>
    <row r="335">
      <c r="A335" s="26" t="s">
        <v>1388</v>
      </c>
      <c r="B335" s="26" t="s">
        <v>1389</v>
      </c>
      <c r="C335" s="26" t="s">
        <v>584</v>
      </c>
      <c r="D335" s="33" t="s">
        <v>1964</v>
      </c>
      <c r="E335" s="37" t="s">
        <v>589</v>
      </c>
      <c r="F335" s="37">
        <v>2.0</v>
      </c>
      <c r="G335" s="30" t="s">
        <v>1391</v>
      </c>
      <c r="H335" s="10"/>
      <c r="I335" s="37" t="s">
        <v>374</v>
      </c>
      <c r="J335" s="7"/>
      <c r="K335" s="7"/>
      <c r="L335" s="7"/>
      <c r="M335" s="7"/>
      <c r="N335" s="7">
        <f t="shared" si="3"/>
        <v>1</v>
      </c>
      <c r="O335" s="7"/>
    </row>
    <row r="336">
      <c r="A336" s="26" t="s">
        <v>1392</v>
      </c>
      <c r="B336" s="26" t="s">
        <v>1393</v>
      </c>
      <c r="C336" s="26" t="s">
        <v>584</v>
      </c>
      <c r="D336" s="33" t="s">
        <v>1965</v>
      </c>
      <c r="E336" s="37" t="s">
        <v>589</v>
      </c>
      <c r="F336" s="37">
        <v>2.0</v>
      </c>
      <c r="G336" s="30" t="s">
        <v>1395</v>
      </c>
      <c r="H336" s="10"/>
      <c r="I336" s="37"/>
      <c r="J336" s="7"/>
      <c r="K336" s="7"/>
      <c r="L336" s="7"/>
      <c r="M336" s="7"/>
      <c r="N336" s="7">
        <f t="shared" si="3"/>
        <v>1</v>
      </c>
      <c r="O336" s="7"/>
    </row>
    <row r="337">
      <c r="A337" s="26" t="s">
        <v>1396</v>
      </c>
      <c r="B337" s="26" t="s">
        <v>1397</v>
      </c>
      <c r="C337" s="26" t="s">
        <v>589</v>
      </c>
      <c r="D337" s="28" t="s">
        <v>1088</v>
      </c>
      <c r="E337" s="37" t="s">
        <v>589</v>
      </c>
      <c r="F337" s="37">
        <v>3.0</v>
      </c>
      <c r="G337" s="30" t="s">
        <v>1398</v>
      </c>
      <c r="H337" s="10"/>
      <c r="I337" s="37"/>
      <c r="J337" s="7"/>
      <c r="K337" s="7"/>
      <c r="L337" s="7"/>
      <c r="M337" s="7"/>
      <c r="N337" s="7">
        <f t="shared" si="3"/>
        <v>1</v>
      </c>
      <c r="O337" s="7"/>
    </row>
    <row r="338">
      <c r="A338" s="26" t="s">
        <v>1399</v>
      </c>
      <c r="B338" s="26" t="s">
        <v>1397</v>
      </c>
      <c r="C338" s="26" t="s">
        <v>589</v>
      </c>
      <c r="D338" s="28" t="s">
        <v>1088</v>
      </c>
      <c r="E338" s="37" t="s">
        <v>589</v>
      </c>
      <c r="F338" s="37">
        <v>3.0</v>
      </c>
      <c r="G338" s="30" t="s">
        <v>1400</v>
      </c>
      <c r="H338" s="10"/>
      <c r="I338" s="37" t="s">
        <v>391</v>
      </c>
      <c r="J338" s="7"/>
      <c r="K338" s="7"/>
      <c r="L338" s="7"/>
      <c r="M338" s="7"/>
      <c r="N338" s="7">
        <f t="shared" si="3"/>
        <v>1</v>
      </c>
      <c r="O338" s="7"/>
    </row>
    <row r="339">
      <c r="A339" s="37" t="s">
        <v>1401</v>
      </c>
      <c r="B339" s="37" t="s">
        <v>1402</v>
      </c>
      <c r="C339" s="37" t="s">
        <v>584</v>
      </c>
      <c r="D339" s="37" t="s">
        <v>595</v>
      </c>
      <c r="E339" s="37" t="s">
        <v>589</v>
      </c>
      <c r="F339" s="37">
        <v>4.0</v>
      </c>
      <c r="G339" s="30" t="s">
        <v>1403</v>
      </c>
      <c r="H339" s="10"/>
      <c r="I339" s="37" t="s">
        <v>1404</v>
      </c>
      <c r="J339" s="7"/>
      <c r="K339" s="7"/>
      <c r="L339" s="7"/>
      <c r="M339" s="7"/>
      <c r="N339" s="7">
        <f t="shared" si="3"/>
        <v>1</v>
      </c>
      <c r="O339" s="7"/>
    </row>
    <row r="340">
      <c r="A340" s="37" t="s">
        <v>1405</v>
      </c>
      <c r="B340" s="37" t="s">
        <v>1406</v>
      </c>
      <c r="C340" s="37" t="s">
        <v>589</v>
      </c>
      <c r="D340" s="37" t="s">
        <v>1407</v>
      </c>
      <c r="E340" s="37" t="s">
        <v>589</v>
      </c>
      <c r="F340" s="37">
        <v>3.0</v>
      </c>
      <c r="G340" s="30" t="s">
        <v>1408</v>
      </c>
      <c r="H340" s="10"/>
      <c r="I340" s="37" t="s">
        <v>280</v>
      </c>
      <c r="J340" s="7"/>
      <c r="K340" s="7"/>
      <c r="L340" s="7"/>
      <c r="M340" s="7"/>
      <c r="N340" s="7">
        <f t="shared" si="3"/>
        <v>1</v>
      </c>
      <c r="O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22"/>
      <c r="B342" s="7"/>
      <c r="C342" s="7"/>
      <c r="D342" s="7"/>
      <c r="E342" s="7"/>
      <c r="F342" s="7"/>
      <c r="G342" s="7"/>
      <c r="H342" s="7"/>
      <c r="I342" s="7"/>
      <c r="J342" s="7"/>
      <c r="K342" s="7"/>
      <c r="L342" s="7"/>
      <c r="M342" s="7"/>
      <c r="N342" s="7"/>
      <c r="O342" s="7">
        <f>SUM(N324:N341)</f>
        <v>17</v>
      </c>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f>SUM(O342,O322,O124)</f>
        <v>222</v>
      </c>
      <c r="O345" s="7"/>
      <c r="P345" s="7"/>
      <c r="Q345" s="7"/>
      <c r="R345" s="7"/>
      <c r="S345" s="7"/>
      <c r="T345" s="7"/>
      <c r="U345" s="7"/>
      <c r="V345" s="7"/>
      <c r="W345" s="7"/>
      <c r="X345" s="7"/>
      <c r="Y345" s="7"/>
      <c r="Z345" s="7"/>
    </row>
    <row r="346">
      <c r="A346" s="39" t="s">
        <v>1440</v>
      </c>
      <c r="B346" s="40"/>
      <c r="C346" s="41" t="s">
        <v>1441</v>
      </c>
      <c r="D346" s="42"/>
      <c r="E346" s="43" t="s">
        <v>1442</v>
      </c>
      <c r="F346" s="43" t="s">
        <v>1443</v>
      </c>
      <c r="G346" s="44" t="s">
        <v>1444</v>
      </c>
      <c r="H346" s="45"/>
      <c r="I346" s="46"/>
      <c r="J346" s="47" t="s">
        <v>1445</v>
      </c>
      <c r="K346" s="7"/>
      <c r="L346" s="7"/>
      <c r="M346" s="7"/>
      <c r="N346" s="7">
        <f>COUNT(N2:N340)</f>
        <v>334</v>
      </c>
      <c r="O346" s="22"/>
    </row>
    <row r="347">
      <c r="A347" s="48" t="s">
        <v>1446</v>
      </c>
      <c r="B347" s="10"/>
      <c r="C347" s="49" t="s">
        <v>1447</v>
      </c>
      <c r="D347" s="50"/>
      <c r="E347" s="51" t="s">
        <v>1448</v>
      </c>
      <c r="F347" s="51">
        <v>0.3</v>
      </c>
      <c r="G347" s="52" t="s">
        <v>1449</v>
      </c>
      <c r="H347" s="13"/>
      <c r="I347" s="10"/>
      <c r="J347" s="6" t="s">
        <v>1450</v>
      </c>
      <c r="K347" s="7"/>
      <c r="L347" s="7"/>
      <c r="M347" s="7"/>
      <c r="N347" s="7">
        <f>N345/N346</f>
        <v>0.6646706587</v>
      </c>
      <c r="O347" s="7"/>
    </row>
    <row r="348">
      <c r="A348" s="53" t="s">
        <v>1452</v>
      </c>
      <c r="B348" s="54"/>
      <c r="C348" s="55" t="s">
        <v>1447</v>
      </c>
      <c r="D348" s="50"/>
      <c r="E348" s="56" t="s">
        <v>1448</v>
      </c>
      <c r="F348" s="56">
        <v>2.0</v>
      </c>
      <c r="G348" s="57"/>
      <c r="H348" s="58"/>
      <c r="I348" s="54"/>
      <c r="J348" s="6" t="s">
        <v>589</v>
      </c>
      <c r="K348" s="7"/>
      <c r="L348" s="7"/>
      <c r="M348" s="7"/>
      <c r="N348" s="7"/>
      <c r="O348" s="7"/>
    </row>
    <row r="349">
      <c r="A349" s="48" t="s">
        <v>1453</v>
      </c>
      <c r="B349" s="10"/>
      <c r="C349" s="49" t="s">
        <v>1454</v>
      </c>
      <c r="D349" s="50"/>
      <c r="E349" s="51" t="s">
        <v>1448</v>
      </c>
      <c r="F349" s="51">
        <v>10.0</v>
      </c>
      <c r="G349" s="52"/>
      <c r="H349" s="13"/>
      <c r="I349" s="10"/>
      <c r="J349" s="6" t="s">
        <v>584</v>
      </c>
      <c r="K349" s="7"/>
      <c r="L349" s="7"/>
      <c r="M349" s="7"/>
      <c r="N349" s="7"/>
      <c r="O349" s="7"/>
    </row>
    <row r="350">
      <c r="A350" s="48" t="s">
        <v>1455</v>
      </c>
      <c r="B350" s="10"/>
      <c r="C350" s="49" t="s">
        <v>1456</v>
      </c>
      <c r="D350" s="50"/>
      <c r="E350" s="51" t="s">
        <v>1448</v>
      </c>
      <c r="F350" s="51">
        <v>20.0</v>
      </c>
      <c r="G350" s="52"/>
      <c r="H350" s="13"/>
      <c r="I350" s="10"/>
      <c r="J350" s="6" t="s">
        <v>584</v>
      </c>
      <c r="K350" s="7"/>
      <c r="L350" s="7"/>
      <c r="M350" s="7"/>
      <c r="N350" s="7"/>
      <c r="O350" s="7"/>
    </row>
    <row r="351">
      <c r="A351" s="48" t="s">
        <v>1457</v>
      </c>
      <c r="B351" s="10"/>
      <c r="C351" s="49" t="s">
        <v>1456</v>
      </c>
      <c r="D351" s="50"/>
      <c r="E351" s="51" t="s">
        <v>1448</v>
      </c>
      <c r="F351" s="51">
        <v>30.0</v>
      </c>
      <c r="G351" s="52"/>
      <c r="H351" s="13"/>
      <c r="I351" s="10"/>
      <c r="J351" s="6" t="s">
        <v>584</v>
      </c>
      <c r="K351" s="7"/>
      <c r="L351" s="7"/>
      <c r="M351" s="7"/>
      <c r="N351" s="7"/>
      <c r="O351" s="7"/>
    </row>
    <row r="352">
      <c r="A352" s="48" t="s">
        <v>1458</v>
      </c>
      <c r="B352" s="10"/>
      <c r="C352" s="49" t="s">
        <v>1447</v>
      </c>
      <c r="D352" s="50"/>
      <c r="E352" s="51" t="s">
        <v>1448</v>
      </c>
      <c r="F352" s="51">
        <v>1.0</v>
      </c>
      <c r="G352" s="52"/>
      <c r="H352" s="13"/>
      <c r="I352" s="10"/>
      <c r="J352" s="6" t="s">
        <v>589</v>
      </c>
      <c r="K352" s="7"/>
      <c r="L352" s="7"/>
      <c r="M352" s="7"/>
      <c r="N352" s="7"/>
      <c r="O352" s="7"/>
    </row>
    <row r="353">
      <c r="A353" s="48" t="s">
        <v>1459</v>
      </c>
      <c r="B353" s="10"/>
      <c r="C353" s="49" t="s">
        <v>1447</v>
      </c>
      <c r="D353" s="50"/>
      <c r="E353" s="51" t="s">
        <v>1448</v>
      </c>
      <c r="F353" s="51">
        <v>4.0</v>
      </c>
      <c r="G353" s="52"/>
      <c r="H353" s="13"/>
      <c r="I353" s="10"/>
      <c r="J353" s="6" t="s">
        <v>589</v>
      </c>
      <c r="K353" s="7"/>
      <c r="L353" s="7"/>
      <c r="M353" s="7"/>
      <c r="N353" s="7"/>
      <c r="O353" s="7"/>
    </row>
    <row r="354">
      <c r="A354" s="48" t="s">
        <v>1460</v>
      </c>
      <c r="B354" s="10"/>
      <c r="C354" s="49" t="s">
        <v>1463</v>
      </c>
      <c r="D354" s="50"/>
      <c r="E354" s="51" t="s">
        <v>1448</v>
      </c>
      <c r="F354" s="51">
        <v>50.0</v>
      </c>
      <c r="G354" s="52"/>
      <c r="H354" s="13"/>
      <c r="I354" s="10"/>
      <c r="J354" s="6" t="s">
        <v>584</v>
      </c>
      <c r="K354" s="7"/>
      <c r="L354" s="7"/>
      <c r="M354" s="7"/>
      <c r="N354" s="7"/>
      <c r="O354" s="7"/>
    </row>
    <row r="355">
      <c r="A355" s="48" t="s">
        <v>1464</v>
      </c>
      <c r="B355" s="10"/>
      <c r="C355" s="49" t="s">
        <v>1447</v>
      </c>
      <c r="D355" s="50"/>
      <c r="E355" s="51" t="s">
        <v>1448</v>
      </c>
      <c r="F355" s="51">
        <v>2.0</v>
      </c>
      <c r="G355" s="52"/>
      <c r="H355" s="13"/>
      <c r="I355" s="10"/>
      <c r="J355" s="6" t="s">
        <v>589</v>
      </c>
      <c r="K355" s="7"/>
      <c r="L355" s="7"/>
      <c r="M355" s="7"/>
      <c r="N355" s="7"/>
      <c r="O355" s="7"/>
    </row>
    <row r="356">
      <c r="A356" s="48" t="s">
        <v>1180</v>
      </c>
      <c r="B356" s="10"/>
      <c r="C356" s="49"/>
      <c r="D356" s="50"/>
      <c r="E356" s="51" t="s">
        <v>1448</v>
      </c>
      <c r="F356" s="51">
        <v>50.0</v>
      </c>
      <c r="G356" s="52" t="s">
        <v>1465</v>
      </c>
      <c r="H356" s="13"/>
      <c r="I356" s="10"/>
      <c r="J356" s="6" t="s">
        <v>584</v>
      </c>
      <c r="K356" s="7"/>
      <c r="L356" s="7"/>
      <c r="M356" s="7"/>
      <c r="N356" s="7"/>
      <c r="O356" s="7"/>
    </row>
    <row r="357">
      <c r="A357" s="48" t="s">
        <v>1466</v>
      </c>
      <c r="B357" s="10"/>
      <c r="C357" s="49" t="s">
        <v>1463</v>
      </c>
      <c r="D357" s="50"/>
      <c r="E357" s="51" t="s">
        <v>1448</v>
      </c>
      <c r="F357" s="51">
        <v>30.0</v>
      </c>
      <c r="G357" s="52"/>
      <c r="H357" s="13"/>
      <c r="I357" s="10"/>
      <c r="J357" s="6" t="s">
        <v>584</v>
      </c>
      <c r="K357" s="7"/>
      <c r="L357" s="7"/>
      <c r="M357" s="7"/>
      <c r="N357" s="7"/>
      <c r="O357" s="7"/>
    </row>
    <row r="358">
      <c r="A358" s="48" t="s">
        <v>1467</v>
      </c>
      <c r="B358" s="10"/>
      <c r="C358" s="49" t="s">
        <v>1447</v>
      </c>
      <c r="D358" s="50"/>
      <c r="E358" s="51" t="s">
        <v>1448</v>
      </c>
      <c r="F358" s="51">
        <v>3.0</v>
      </c>
      <c r="G358" s="52"/>
      <c r="H358" s="13"/>
      <c r="I358" s="10"/>
      <c r="J358" s="6" t="s">
        <v>584</v>
      </c>
      <c r="K358" s="7"/>
      <c r="L358" s="7"/>
      <c r="M358" s="7"/>
      <c r="N358" s="7"/>
      <c r="O358" s="7"/>
    </row>
    <row r="359">
      <c r="A359" s="48" t="s">
        <v>1468</v>
      </c>
      <c r="B359" s="10"/>
      <c r="C359" s="59"/>
      <c r="D359" s="50"/>
      <c r="E359" s="51" t="s">
        <v>1469</v>
      </c>
      <c r="F359" s="51" t="s">
        <v>1470</v>
      </c>
      <c r="G359" s="52" t="s">
        <v>1471</v>
      </c>
      <c r="H359" s="13"/>
      <c r="I359" s="10"/>
      <c r="J359" s="6" t="s">
        <v>589</v>
      </c>
      <c r="K359" s="7"/>
      <c r="L359" s="7"/>
      <c r="M359" s="7"/>
      <c r="N359" s="7"/>
      <c r="O359" s="7"/>
    </row>
    <row r="360">
      <c r="A360" s="48" t="s">
        <v>1472</v>
      </c>
      <c r="B360" s="10"/>
      <c r="C360" s="59"/>
      <c r="D360" s="50"/>
      <c r="E360" s="51" t="s">
        <v>1473</v>
      </c>
      <c r="F360" s="51" t="s">
        <v>1474</v>
      </c>
      <c r="G360" s="52" t="s">
        <v>1475</v>
      </c>
      <c r="H360" s="13"/>
      <c r="I360" s="10"/>
      <c r="J360" s="6" t="s">
        <v>1450</v>
      </c>
      <c r="K360" s="7"/>
      <c r="L360" s="7"/>
      <c r="M360" s="7"/>
      <c r="N360" s="7"/>
      <c r="O360" s="7"/>
    </row>
    <row r="361">
      <c r="A361" s="48" t="s">
        <v>1476</v>
      </c>
      <c r="B361" s="10"/>
      <c r="C361" s="59"/>
      <c r="D361" s="50"/>
      <c r="E361" s="51" t="s">
        <v>1477</v>
      </c>
      <c r="F361" s="51" t="s">
        <v>710</v>
      </c>
      <c r="G361" s="52" t="s">
        <v>1478</v>
      </c>
      <c r="H361" s="13"/>
      <c r="I361" s="10"/>
      <c r="J361" s="6" t="s">
        <v>584</v>
      </c>
      <c r="K361" s="7"/>
      <c r="L361" s="7"/>
      <c r="M361" s="7"/>
      <c r="N361" s="7"/>
      <c r="O361" s="7"/>
    </row>
    <row r="362">
      <c r="A362" s="48" t="s">
        <v>1479</v>
      </c>
      <c r="B362" s="10"/>
      <c r="C362" s="49" t="s">
        <v>1480</v>
      </c>
      <c r="D362" s="50"/>
      <c r="E362" s="51" t="s">
        <v>1482</v>
      </c>
      <c r="F362" s="51">
        <v>0.03</v>
      </c>
      <c r="G362" s="52" t="s">
        <v>1483</v>
      </c>
      <c r="H362" s="13"/>
      <c r="I362" s="10"/>
      <c r="J362" s="6" t="s">
        <v>589</v>
      </c>
      <c r="K362" s="7"/>
      <c r="L362" s="7"/>
      <c r="M362" s="7"/>
      <c r="N362" s="7"/>
      <c r="O362" s="7"/>
    </row>
    <row r="363">
      <c r="A363" s="48" t="s">
        <v>1484</v>
      </c>
      <c r="B363" s="10"/>
      <c r="C363" s="49" t="s">
        <v>1485</v>
      </c>
      <c r="D363" s="60"/>
      <c r="E363" s="51" t="s">
        <v>1486</v>
      </c>
      <c r="F363" s="51">
        <v>20.0</v>
      </c>
      <c r="G363" s="52" t="s">
        <v>1487</v>
      </c>
      <c r="H363" s="13"/>
      <c r="I363" s="10"/>
      <c r="J363" s="6" t="s">
        <v>584</v>
      </c>
      <c r="K363" s="7"/>
      <c r="L363" s="7"/>
      <c r="M363" s="7"/>
      <c r="N363" s="7"/>
      <c r="O363" s="7"/>
    </row>
    <row r="364">
      <c r="A364" s="48" t="s">
        <v>1488</v>
      </c>
      <c r="B364" s="10"/>
      <c r="C364" s="49" t="s">
        <v>1447</v>
      </c>
      <c r="D364" s="60"/>
      <c r="E364" s="51" t="s">
        <v>1489</v>
      </c>
      <c r="F364" s="51">
        <v>20.0</v>
      </c>
      <c r="G364" s="52" t="s">
        <v>1490</v>
      </c>
      <c r="H364" s="13"/>
      <c r="I364" s="10"/>
      <c r="J364" s="6" t="s">
        <v>1450</v>
      </c>
      <c r="K364" s="7"/>
      <c r="L364" s="7"/>
      <c r="M364" s="7"/>
      <c r="N364" s="7"/>
      <c r="O364" s="7"/>
    </row>
    <row r="365">
      <c r="A365" s="48" t="s">
        <v>1491</v>
      </c>
      <c r="B365" s="10"/>
      <c r="C365" s="49" t="s">
        <v>1447</v>
      </c>
      <c r="D365" s="60"/>
      <c r="E365" s="51" t="s">
        <v>1492</v>
      </c>
      <c r="F365" s="51">
        <v>30.0</v>
      </c>
      <c r="G365" s="52" t="s">
        <v>1493</v>
      </c>
      <c r="H365" s="13"/>
      <c r="I365" s="10"/>
      <c r="J365" s="6" t="s">
        <v>1450</v>
      </c>
      <c r="K365" s="7"/>
      <c r="L365" s="7"/>
      <c r="M365" s="7"/>
      <c r="N365" s="7"/>
      <c r="O365" s="7"/>
    </row>
    <row r="366">
      <c r="A366" s="48" t="s">
        <v>1494</v>
      </c>
      <c r="B366" s="10"/>
      <c r="C366" s="59"/>
      <c r="D366" s="60"/>
      <c r="E366" s="51" t="s">
        <v>1495</v>
      </c>
      <c r="F366" s="51" t="s">
        <v>1496</v>
      </c>
      <c r="G366" s="52" t="s">
        <v>1497</v>
      </c>
      <c r="H366" s="13"/>
      <c r="I366" s="10"/>
      <c r="J366" s="6" t="s">
        <v>1450</v>
      </c>
      <c r="K366" s="7"/>
      <c r="L366" s="7"/>
      <c r="M366" s="7"/>
      <c r="N366" s="7"/>
      <c r="O366" s="7"/>
    </row>
    <row r="367">
      <c r="A367" s="48" t="s">
        <v>188</v>
      </c>
      <c r="B367" s="10"/>
      <c r="C367" s="49" t="s">
        <v>1463</v>
      </c>
      <c r="D367" s="60"/>
      <c r="E367" s="51" t="s">
        <v>1498</v>
      </c>
      <c r="F367" s="51" t="s">
        <v>1470</v>
      </c>
      <c r="G367" s="52" t="s">
        <v>1499</v>
      </c>
      <c r="H367" s="13"/>
      <c r="I367" s="10"/>
      <c r="J367" s="6" t="s">
        <v>1450</v>
      </c>
      <c r="K367" s="7"/>
      <c r="L367" s="7"/>
      <c r="M367" s="7"/>
      <c r="N367" s="7"/>
      <c r="O367" s="7"/>
    </row>
    <row r="368">
      <c r="A368" s="48" t="s">
        <v>1500</v>
      </c>
      <c r="B368" s="10"/>
      <c r="C368" s="59"/>
      <c r="D368" s="60"/>
      <c r="E368" s="51" t="s">
        <v>1501</v>
      </c>
      <c r="F368" s="51" t="s">
        <v>1470</v>
      </c>
      <c r="G368" s="52" t="s">
        <v>1502</v>
      </c>
      <c r="H368" s="13"/>
      <c r="I368" s="10"/>
      <c r="J368" s="6" t="s">
        <v>589</v>
      </c>
      <c r="K368" s="7"/>
      <c r="L368" s="7"/>
      <c r="M368" s="7"/>
      <c r="N368" s="7"/>
      <c r="O368" s="7"/>
    </row>
    <row r="369">
      <c r="A369" s="48" t="s">
        <v>1144</v>
      </c>
      <c r="B369" s="10"/>
      <c r="C369" s="59"/>
      <c r="D369" s="60"/>
      <c r="E369" s="51" t="s">
        <v>1501</v>
      </c>
      <c r="F369" s="51" t="s">
        <v>1503</v>
      </c>
      <c r="G369" s="61"/>
      <c r="H369" s="58"/>
      <c r="I369" s="54"/>
      <c r="J369" s="6" t="s">
        <v>589</v>
      </c>
      <c r="K369" s="7"/>
      <c r="L369" s="7"/>
      <c r="M369" s="7"/>
      <c r="N369" s="7"/>
      <c r="O369" s="7"/>
    </row>
    <row r="370">
      <c r="A370" s="48" t="s">
        <v>1504</v>
      </c>
      <c r="B370" s="10"/>
      <c r="C370" s="49" t="s">
        <v>1505</v>
      </c>
      <c r="D370" s="60"/>
      <c r="E370" s="51" t="s">
        <v>1506</v>
      </c>
      <c r="F370" s="51">
        <v>1.2</v>
      </c>
      <c r="G370" s="52" t="s">
        <v>1507</v>
      </c>
      <c r="H370" s="13"/>
      <c r="I370" s="10"/>
      <c r="J370" s="6" t="s">
        <v>589</v>
      </c>
      <c r="K370" s="7"/>
      <c r="L370" s="7"/>
      <c r="M370" s="7"/>
      <c r="N370" s="7"/>
      <c r="O370" s="7"/>
    </row>
    <row r="371">
      <c r="A371" s="48" t="s">
        <v>1419</v>
      </c>
      <c r="B371" s="10"/>
      <c r="C371" s="59"/>
      <c r="D371" s="60"/>
      <c r="E371" s="51" t="s">
        <v>1501</v>
      </c>
      <c r="F371" s="51" t="s">
        <v>1496</v>
      </c>
      <c r="G371" s="52" t="s">
        <v>1508</v>
      </c>
      <c r="H371" s="13"/>
      <c r="I371" s="10"/>
      <c r="J371" s="6" t="s">
        <v>584</v>
      </c>
      <c r="K371" s="7"/>
      <c r="L371" s="7"/>
      <c r="M371" s="7"/>
      <c r="N371" s="7"/>
      <c r="O371" s="7"/>
    </row>
    <row r="372">
      <c r="A372" s="48" t="s">
        <v>1509</v>
      </c>
      <c r="B372" s="10"/>
      <c r="C372" s="49"/>
      <c r="D372" s="60"/>
      <c r="E372" s="51" t="s">
        <v>1501</v>
      </c>
      <c r="F372" s="51"/>
      <c r="G372" s="52" t="s">
        <v>1510</v>
      </c>
      <c r="H372" s="13"/>
      <c r="I372" s="10"/>
      <c r="J372" s="6" t="s">
        <v>1450</v>
      </c>
      <c r="K372" s="7"/>
      <c r="L372" s="7"/>
      <c r="M372" s="7"/>
      <c r="N372" s="7"/>
      <c r="O372" s="7"/>
    </row>
    <row r="373">
      <c r="A373" s="48" t="s">
        <v>1511</v>
      </c>
      <c r="B373" s="10"/>
      <c r="C373" s="49" t="s">
        <v>1512</v>
      </c>
      <c r="D373" s="60"/>
      <c r="E373" s="51" t="s">
        <v>1513</v>
      </c>
      <c r="F373" s="51">
        <v>10.0</v>
      </c>
      <c r="G373" s="52" t="s">
        <v>1514</v>
      </c>
      <c r="H373" s="13"/>
      <c r="I373" s="10"/>
      <c r="J373" s="6" t="s">
        <v>584</v>
      </c>
      <c r="K373" s="7"/>
      <c r="L373" s="7"/>
      <c r="M373" s="7"/>
      <c r="N373" s="7"/>
      <c r="O373" s="7"/>
    </row>
    <row r="374">
      <c r="A374" s="48" t="s">
        <v>1515</v>
      </c>
      <c r="B374" s="10"/>
      <c r="C374" s="49" t="s">
        <v>1516</v>
      </c>
      <c r="D374" s="50" t="s">
        <v>1517</v>
      </c>
      <c r="E374" s="51" t="s">
        <v>1482</v>
      </c>
      <c r="F374" s="51" t="s">
        <v>1519</v>
      </c>
      <c r="G374" s="52" t="s">
        <v>1520</v>
      </c>
      <c r="H374" s="13"/>
      <c r="I374" s="10"/>
      <c r="J374" s="6" t="s">
        <v>589</v>
      </c>
      <c r="K374" s="7"/>
      <c r="L374" s="7"/>
      <c r="M374" s="7"/>
      <c r="N374" s="7"/>
      <c r="O374" s="7"/>
    </row>
    <row r="375">
      <c r="A375" s="48" t="s">
        <v>1521</v>
      </c>
      <c r="B375" s="10"/>
      <c r="C375" s="49" t="s">
        <v>1522</v>
      </c>
      <c r="D375" s="62" t="s">
        <v>1523</v>
      </c>
      <c r="E375" s="51" t="s">
        <v>1501</v>
      </c>
      <c r="F375" s="51" t="s">
        <v>1524</v>
      </c>
      <c r="G375" s="52"/>
      <c r="H375" s="13"/>
      <c r="I375" s="10"/>
      <c r="J375" s="6" t="s">
        <v>584</v>
      </c>
      <c r="K375" s="7"/>
      <c r="L375" s="7"/>
      <c r="M375" s="7"/>
      <c r="N375" s="7"/>
      <c r="O375" s="7"/>
    </row>
    <row r="376">
      <c r="A376" s="48" t="s">
        <v>1525</v>
      </c>
      <c r="B376" s="10"/>
      <c r="C376" s="49" t="s">
        <v>1526</v>
      </c>
      <c r="D376" s="60"/>
      <c r="E376" s="51" t="s">
        <v>1527</v>
      </c>
      <c r="F376" s="51" t="s">
        <v>1528</v>
      </c>
      <c r="G376" s="52" t="s">
        <v>1529</v>
      </c>
      <c r="H376" s="13"/>
      <c r="I376" s="10"/>
      <c r="J376" s="6" t="s">
        <v>1450</v>
      </c>
      <c r="K376" s="7"/>
      <c r="L376" s="7"/>
      <c r="M376" s="7"/>
      <c r="N376" s="7"/>
      <c r="O376" s="7"/>
    </row>
    <row r="377">
      <c r="A377" s="48" t="s">
        <v>1530</v>
      </c>
      <c r="B377" s="10"/>
      <c r="C377" s="49" t="s">
        <v>1526</v>
      </c>
      <c r="D377" s="60"/>
      <c r="E377" s="51" t="s">
        <v>1527</v>
      </c>
      <c r="F377" s="51" t="s">
        <v>1531</v>
      </c>
      <c r="G377" s="52" t="s">
        <v>1532</v>
      </c>
      <c r="H377" s="13"/>
      <c r="I377" s="10"/>
      <c r="J377" s="6" t="s">
        <v>1450</v>
      </c>
      <c r="K377" s="7"/>
      <c r="L377" s="7"/>
      <c r="M377" s="7"/>
      <c r="N377" s="7"/>
      <c r="O377" s="7"/>
    </row>
    <row r="378">
      <c r="A378" s="48" t="s">
        <v>1533</v>
      </c>
      <c r="B378" s="10"/>
      <c r="C378" s="49" t="s">
        <v>1534</v>
      </c>
      <c r="D378" s="60"/>
      <c r="E378" s="51" t="s">
        <v>1535</v>
      </c>
      <c r="F378" s="51">
        <v>3.0</v>
      </c>
      <c r="G378" s="52" t="s">
        <v>1536</v>
      </c>
      <c r="H378" s="13"/>
      <c r="I378" s="10"/>
      <c r="J378" s="6" t="s">
        <v>584</v>
      </c>
      <c r="K378" s="7"/>
      <c r="L378" s="7"/>
      <c r="M378" s="7"/>
      <c r="N378" s="7"/>
      <c r="O378" s="7"/>
    </row>
    <row r="379">
      <c r="A379" s="48" t="s">
        <v>1537</v>
      </c>
      <c r="B379" s="10"/>
      <c r="C379" s="49" t="s">
        <v>1538</v>
      </c>
      <c r="D379" s="60"/>
      <c r="E379" s="51" t="s">
        <v>1539</v>
      </c>
      <c r="F379" s="51">
        <v>8.0</v>
      </c>
      <c r="G379" s="52" t="s">
        <v>1540</v>
      </c>
      <c r="H379" s="13"/>
      <c r="I379" s="10"/>
      <c r="J379" s="6" t="s">
        <v>584</v>
      </c>
      <c r="K379" s="7"/>
      <c r="L379" s="7"/>
      <c r="M379" s="7"/>
      <c r="N379" s="7"/>
      <c r="O379" s="7"/>
    </row>
    <row r="380">
      <c r="A380" s="48" t="s">
        <v>1541</v>
      </c>
      <c r="B380" s="10"/>
      <c r="C380" s="49" t="s">
        <v>1542</v>
      </c>
      <c r="D380" s="60"/>
      <c r="E380" s="51" t="s">
        <v>1543</v>
      </c>
      <c r="F380" s="51">
        <v>2.0</v>
      </c>
      <c r="G380" s="52" t="s">
        <v>1544</v>
      </c>
      <c r="H380" s="13"/>
      <c r="I380" s="10"/>
      <c r="J380" s="6" t="s">
        <v>584</v>
      </c>
      <c r="K380" s="7"/>
      <c r="L380" s="7"/>
      <c r="M380" s="7"/>
      <c r="N380" s="7"/>
      <c r="O380" s="7"/>
    </row>
    <row r="381">
      <c r="A381" s="48" t="s">
        <v>1545</v>
      </c>
      <c r="B381" s="10"/>
      <c r="C381" s="49" t="s">
        <v>1546</v>
      </c>
      <c r="D381" s="60"/>
      <c r="E381" s="51" t="s">
        <v>1547</v>
      </c>
      <c r="F381" s="51">
        <v>5.0</v>
      </c>
      <c r="G381" s="52" t="s">
        <v>1548</v>
      </c>
      <c r="H381" s="13"/>
      <c r="I381" s="10"/>
      <c r="J381" s="6" t="s">
        <v>584</v>
      </c>
      <c r="K381" s="7"/>
      <c r="L381" s="7"/>
      <c r="M381" s="7"/>
      <c r="N381" s="7"/>
      <c r="O381" s="7"/>
    </row>
    <row r="382">
      <c r="A382" s="48" t="s">
        <v>1549</v>
      </c>
      <c r="B382" s="10"/>
      <c r="C382" s="49" t="s">
        <v>1550</v>
      </c>
      <c r="D382" s="60"/>
      <c r="E382" s="51" t="s">
        <v>1551</v>
      </c>
      <c r="F382" s="51">
        <v>14.0</v>
      </c>
      <c r="G382" s="52" t="s">
        <v>1552</v>
      </c>
      <c r="H382" s="13"/>
      <c r="I382" s="10"/>
      <c r="J382" s="6" t="s">
        <v>584</v>
      </c>
      <c r="K382" s="7"/>
      <c r="L382" s="7"/>
      <c r="M382" s="7"/>
      <c r="N382" s="7"/>
      <c r="O382" s="7"/>
    </row>
    <row r="383">
      <c r="A383" s="48" t="s">
        <v>1140</v>
      </c>
      <c r="B383" s="10"/>
      <c r="C383" s="59"/>
      <c r="D383" s="50" t="s">
        <v>166</v>
      </c>
      <c r="E383" s="51" t="s">
        <v>1553</v>
      </c>
      <c r="F383" s="51" t="s">
        <v>1554</v>
      </c>
      <c r="G383" s="52" t="s">
        <v>1555</v>
      </c>
      <c r="H383" s="13"/>
      <c r="I383" s="10"/>
      <c r="J383" s="6" t="s">
        <v>584</v>
      </c>
      <c r="K383" s="7"/>
      <c r="L383" s="7"/>
      <c r="M383" s="7"/>
      <c r="N383" s="7"/>
      <c r="O383" s="7"/>
    </row>
    <row r="384">
      <c r="A384" s="48" t="s">
        <v>1556</v>
      </c>
      <c r="B384" s="10"/>
      <c r="C384" s="49" t="s">
        <v>1485</v>
      </c>
      <c r="D384" s="60"/>
      <c r="E384" s="51" t="s">
        <v>1557</v>
      </c>
      <c r="F384" s="51">
        <v>5.0</v>
      </c>
      <c r="G384" s="52" t="s">
        <v>1558</v>
      </c>
      <c r="H384" s="13"/>
      <c r="I384" s="10"/>
      <c r="J384" s="6" t="s">
        <v>584</v>
      </c>
      <c r="K384" s="7"/>
      <c r="L384" s="7"/>
      <c r="M384" s="7"/>
      <c r="N384" s="7"/>
      <c r="O384" s="7"/>
    </row>
    <row r="385">
      <c r="A385" s="48" t="s">
        <v>912</v>
      </c>
      <c r="B385" s="10"/>
      <c r="C385" s="59"/>
      <c r="D385" s="60"/>
      <c r="E385" s="51" t="s">
        <v>1559</v>
      </c>
      <c r="F385" s="51" t="s">
        <v>1554</v>
      </c>
      <c r="G385" s="52" t="s">
        <v>1560</v>
      </c>
      <c r="H385" s="13"/>
      <c r="I385" s="10"/>
      <c r="J385" s="6" t="s">
        <v>584</v>
      </c>
      <c r="K385" s="7"/>
      <c r="L385" s="7"/>
      <c r="M385" s="7"/>
      <c r="N385" s="7"/>
      <c r="O385" s="7"/>
    </row>
    <row r="386">
      <c r="A386" s="48" t="s">
        <v>154</v>
      </c>
      <c r="B386" s="10"/>
      <c r="C386" s="59"/>
      <c r="D386" s="60"/>
      <c r="E386" s="51" t="s">
        <v>1561</v>
      </c>
      <c r="F386" s="51" t="s">
        <v>710</v>
      </c>
      <c r="G386" s="52" t="s">
        <v>1562</v>
      </c>
      <c r="H386" s="13"/>
      <c r="I386" s="10"/>
      <c r="J386" s="6" t="s">
        <v>584</v>
      </c>
      <c r="K386" s="7"/>
      <c r="L386" s="7"/>
      <c r="M386" s="7"/>
      <c r="N386" s="7"/>
      <c r="O386" s="7"/>
    </row>
    <row r="387">
      <c r="A387" s="48" t="s">
        <v>1563</v>
      </c>
      <c r="B387" s="10"/>
      <c r="C387" s="59"/>
      <c r="D387" s="60"/>
      <c r="E387" s="51" t="s">
        <v>1561</v>
      </c>
      <c r="F387" s="51" t="s">
        <v>710</v>
      </c>
      <c r="G387" s="52" t="s">
        <v>1564</v>
      </c>
      <c r="H387" s="13"/>
      <c r="I387" s="10"/>
      <c r="J387" s="6" t="s">
        <v>584</v>
      </c>
      <c r="K387" s="7"/>
      <c r="L387" s="7"/>
      <c r="M387" s="7"/>
      <c r="N387" s="7"/>
      <c r="O387" s="7"/>
    </row>
    <row r="388">
      <c r="A388" s="48" t="s">
        <v>1176</v>
      </c>
      <c r="B388" s="10"/>
      <c r="C388" s="59"/>
      <c r="D388" s="60"/>
      <c r="E388" s="51" t="s">
        <v>1561</v>
      </c>
      <c r="F388" s="51" t="s">
        <v>710</v>
      </c>
      <c r="G388" s="52" t="s">
        <v>1566</v>
      </c>
      <c r="H388" s="13"/>
      <c r="I388" s="10"/>
      <c r="J388" s="6" t="s">
        <v>584</v>
      </c>
      <c r="K388" s="7"/>
      <c r="L388" s="7"/>
      <c r="M388" s="7"/>
      <c r="N388" s="7"/>
      <c r="O388" s="7"/>
    </row>
    <row r="389">
      <c r="A389" s="48" t="s">
        <v>1567</v>
      </c>
      <c r="B389" s="10"/>
      <c r="C389" s="59"/>
      <c r="D389" s="60"/>
      <c r="E389" s="51" t="s">
        <v>1568</v>
      </c>
      <c r="F389" s="51" t="s">
        <v>1554</v>
      </c>
      <c r="G389" s="52" t="s">
        <v>1569</v>
      </c>
      <c r="H389" s="13"/>
      <c r="I389" s="10"/>
      <c r="J389" s="6" t="s">
        <v>584</v>
      </c>
      <c r="K389" s="7"/>
      <c r="L389" s="7"/>
      <c r="M389" s="7"/>
      <c r="N389" s="7"/>
      <c r="O389" s="7"/>
    </row>
    <row r="390">
      <c r="A390" s="48" t="s">
        <v>31</v>
      </c>
      <c r="B390" s="10"/>
      <c r="C390" s="59"/>
      <c r="D390" s="60"/>
      <c r="E390" s="51" t="s">
        <v>1570</v>
      </c>
      <c r="F390" s="51"/>
      <c r="G390" s="52" t="s">
        <v>1571</v>
      </c>
      <c r="H390" s="13"/>
      <c r="I390" s="10"/>
      <c r="J390" s="6" t="s">
        <v>584</v>
      </c>
      <c r="K390" s="7"/>
      <c r="L390" s="7"/>
      <c r="M390" s="7"/>
      <c r="N390" s="7"/>
      <c r="O390" s="7"/>
    </row>
    <row r="391">
      <c r="A391" s="48" t="s">
        <v>722</v>
      </c>
      <c r="B391" s="10"/>
      <c r="C391" s="59"/>
      <c r="D391" s="60"/>
      <c r="E391" s="51" t="s">
        <v>1572</v>
      </c>
      <c r="F391" s="51" t="s">
        <v>1573</v>
      </c>
      <c r="G391" s="52" t="s">
        <v>1574</v>
      </c>
      <c r="H391" s="13"/>
      <c r="I391" s="10"/>
      <c r="J391" s="6" t="s">
        <v>584</v>
      </c>
      <c r="K391" s="7"/>
      <c r="L391" s="7"/>
      <c r="M391" s="7"/>
      <c r="N391" s="7"/>
      <c r="O391" s="7"/>
    </row>
    <row r="392">
      <c r="A392" s="48" t="s">
        <v>1575</v>
      </c>
      <c r="B392" s="10"/>
      <c r="C392" s="49" t="s">
        <v>1576</v>
      </c>
      <c r="D392" s="60"/>
      <c r="E392" s="51" t="s">
        <v>1501</v>
      </c>
      <c r="F392" s="51"/>
      <c r="G392" s="52" t="s">
        <v>1577</v>
      </c>
      <c r="H392" s="13"/>
      <c r="I392" s="10"/>
      <c r="J392" s="6" t="s">
        <v>1450</v>
      </c>
      <c r="K392" s="7"/>
      <c r="L392" s="7"/>
      <c r="M392" s="7"/>
      <c r="N392" s="7"/>
      <c r="O392" s="7"/>
    </row>
    <row r="393">
      <c r="A393" s="63" t="s">
        <v>1578</v>
      </c>
      <c r="B393" s="10"/>
      <c r="C393" s="49" t="s">
        <v>1580</v>
      </c>
      <c r="D393" s="60"/>
      <c r="E393" s="51" t="s">
        <v>1581</v>
      </c>
      <c r="F393" s="51"/>
      <c r="G393" s="52" t="s">
        <v>1582</v>
      </c>
      <c r="H393" s="13"/>
      <c r="I393" s="10"/>
      <c r="J393" s="6" t="s">
        <v>584</v>
      </c>
      <c r="K393" s="7"/>
      <c r="L393" s="7"/>
      <c r="M393" s="7"/>
      <c r="N393" s="7"/>
      <c r="O393" s="7"/>
    </row>
    <row r="394">
      <c r="A394" s="63" t="s">
        <v>1583</v>
      </c>
      <c r="B394" s="10"/>
      <c r="C394" s="49"/>
      <c r="D394" s="60"/>
      <c r="E394" s="51" t="s">
        <v>1501</v>
      </c>
      <c r="F394" s="51"/>
      <c r="G394" s="52" t="s">
        <v>1584</v>
      </c>
      <c r="H394" s="13"/>
      <c r="I394" s="10"/>
      <c r="J394" s="6" t="s">
        <v>584</v>
      </c>
      <c r="K394" s="7"/>
      <c r="L394" s="7"/>
      <c r="M394" s="7"/>
      <c r="N394" s="7"/>
      <c r="O394" s="7"/>
    </row>
    <row r="395">
      <c r="A395" s="63" t="s">
        <v>1585</v>
      </c>
      <c r="B395" s="10"/>
      <c r="C395" s="49"/>
      <c r="D395" s="60"/>
      <c r="E395" s="51" t="s">
        <v>1501</v>
      </c>
      <c r="F395" s="51"/>
      <c r="G395" s="52" t="s">
        <v>1586</v>
      </c>
      <c r="H395" s="13"/>
      <c r="I395" s="10"/>
      <c r="J395" s="6" t="s">
        <v>584</v>
      </c>
      <c r="K395" s="7"/>
      <c r="L395" s="7"/>
      <c r="M395" s="7"/>
      <c r="N395" s="7"/>
      <c r="O395" s="7"/>
    </row>
    <row r="396">
      <c r="A396" s="63" t="s">
        <v>111</v>
      </c>
      <c r="B396" s="10"/>
      <c r="C396" s="49"/>
      <c r="D396" s="60"/>
      <c r="E396" s="51" t="s">
        <v>1501</v>
      </c>
      <c r="F396" s="51"/>
      <c r="G396" s="52" t="s">
        <v>1587</v>
      </c>
      <c r="H396" s="13"/>
      <c r="I396" s="10"/>
      <c r="J396" s="6" t="s">
        <v>584</v>
      </c>
      <c r="K396" s="7"/>
      <c r="L396" s="7"/>
      <c r="M396" s="7"/>
      <c r="N396" s="7"/>
      <c r="O396" s="7"/>
    </row>
    <row r="397">
      <c r="A397" s="63" t="s">
        <v>1588</v>
      </c>
      <c r="B397" s="10"/>
      <c r="C397" s="49"/>
      <c r="D397" s="60"/>
      <c r="E397" s="51" t="s">
        <v>1501</v>
      </c>
      <c r="F397" s="51"/>
      <c r="G397" s="52" t="s">
        <v>1590</v>
      </c>
      <c r="H397" s="13"/>
      <c r="I397" s="10"/>
      <c r="J397" s="6" t="s">
        <v>584</v>
      </c>
      <c r="K397" s="7"/>
      <c r="L397" s="7"/>
      <c r="M397" s="7"/>
      <c r="N397" s="7"/>
      <c r="O397" s="7"/>
    </row>
    <row r="398">
      <c r="A398" s="63" t="s">
        <v>1591</v>
      </c>
      <c r="B398" s="10"/>
      <c r="C398" s="49"/>
      <c r="D398" s="60"/>
      <c r="E398" s="51" t="s">
        <v>1501</v>
      </c>
      <c r="F398" s="51"/>
      <c r="G398" s="52" t="s">
        <v>1592</v>
      </c>
      <c r="H398" s="13"/>
      <c r="I398" s="10"/>
      <c r="J398" s="6" t="s">
        <v>584</v>
      </c>
      <c r="K398" s="7"/>
      <c r="L398" s="7"/>
      <c r="M398" s="7"/>
      <c r="N398" s="7"/>
      <c r="O398" s="7"/>
    </row>
    <row r="399">
      <c r="A399" s="63" t="s">
        <v>1594</v>
      </c>
      <c r="B399" s="10"/>
      <c r="C399" s="49"/>
      <c r="D399" s="60"/>
      <c r="E399" s="51" t="s">
        <v>1501</v>
      </c>
      <c r="F399" s="51"/>
      <c r="G399" s="52" t="s">
        <v>1595</v>
      </c>
      <c r="H399" s="13"/>
      <c r="I399" s="10"/>
      <c r="J399" s="6" t="s">
        <v>584</v>
      </c>
      <c r="K399" s="7"/>
      <c r="L399" s="7"/>
      <c r="M399" s="7"/>
      <c r="N399" s="7"/>
      <c r="O399" s="7"/>
    </row>
    <row r="400">
      <c r="A400" s="63" t="s">
        <v>1597</v>
      </c>
      <c r="B400" s="10"/>
      <c r="C400" s="49"/>
      <c r="D400" s="60"/>
      <c r="E400" s="51" t="s">
        <v>1501</v>
      </c>
      <c r="F400" s="51"/>
      <c r="G400" s="52" t="s">
        <v>1598</v>
      </c>
      <c r="H400" s="13"/>
      <c r="I400" s="10"/>
      <c r="J400" s="6" t="s">
        <v>584</v>
      </c>
      <c r="K400" s="7"/>
      <c r="L400" s="7"/>
      <c r="M400" s="7"/>
      <c r="N400" s="7"/>
      <c r="O400" s="7"/>
    </row>
    <row r="401">
      <c r="A401" s="63" t="s">
        <v>1600</v>
      </c>
      <c r="B401" s="10"/>
      <c r="C401" s="49"/>
      <c r="D401" s="60"/>
      <c r="E401" s="51" t="s">
        <v>1501</v>
      </c>
      <c r="F401" s="51"/>
      <c r="G401" s="52" t="s">
        <v>1601</v>
      </c>
      <c r="H401" s="13"/>
      <c r="I401" s="10"/>
      <c r="J401" s="6" t="s">
        <v>584</v>
      </c>
      <c r="K401" s="7"/>
      <c r="L401" s="7"/>
      <c r="M401" s="7"/>
      <c r="N401" s="7"/>
      <c r="O401" s="7"/>
    </row>
    <row r="402">
      <c r="A402" s="63" t="s">
        <v>1608</v>
      </c>
      <c r="B402" s="10"/>
      <c r="C402" s="49" t="s">
        <v>1609</v>
      </c>
      <c r="D402" s="60"/>
      <c r="E402" s="51" t="s">
        <v>1501</v>
      </c>
      <c r="F402" s="51"/>
      <c r="G402" s="52" t="s">
        <v>1610</v>
      </c>
      <c r="H402" s="13"/>
      <c r="I402" s="10"/>
      <c r="J402" s="6" t="s">
        <v>584</v>
      </c>
      <c r="K402" s="7"/>
      <c r="L402" s="7"/>
      <c r="M402" s="7"/>
      <c r="N402" s="7"/>
      <c r="O402" s="7"/>
    </row>
    <row r="403">
      <c r="A403" s="63" t="s">
        <v>1612</v>
      </c>
      <c r="B403" s="10"/>
      <c r="C403" s="49"/>
      <c r="D403" s="60"/>
      <c r="E403" s="51" t="s">
        <v>1501</v>
      </c>
      <c r="F403" s="51"/>
      <c r="G403" s="52" t="s">
        <v>1613</v>
      </c>
      <c r="H403" s="13"/>
      <c r="I403" s="10"/>
      <c r="J403" s="6" t="s">
        <v>584</v>
      </c>
      <c r="K403" s="7"/>
      <c r="L403" s="7"/>
      <c r="M403" s="7"/>
      <c r="N403" s="7"/>
      <c r="O403" s="7"/>
    </row>
    <row r="404">
      <c r="A404" s="68" t="s">
        <v>1619</v>
      </c>
      <c r="B404" s="10"/>
      <c r="C404" s="69"/>
      <c r="D404" s="70"/>
      <c r="E404" s="47" t="s">
        <v>1620</v>
      </c>
      <c r="F404" s="47"/>
      <c r="G404" s="71"/>
      <c r="H404" s="13"/>
      <c r="I404" s="10"/>
      <c r="J404" s="72"/>
      <c r="K404" s="7"/>
      <c r="L404" s="7"/>
      <c r="M404" s="7"/>
      <c r="N404" s="7"/>
      <c r="O404" s="7"/>
    </row>
    <row r="405">
      <c r="A405" s="48" t="s">
        <v>1621</v>
      </c>
      <c r="B405" s="10"/>
      <c r="C405" s="59"/>
      <c r="D405" s="60"/>
      <c r="E405" s="51"/>
      <c r="F405" s="51"/>
      <c r="G405" s="52" t="s">
        <v>1622</v>
      </c>
      <c r="H405" s="13"/>
      <c r="I405" s="10"/>
      <c r="J405" s="6" t="s">
        <v>584</v>
      </c>
      <c r="K405" s="7"/>
      <c r="L405" s="7"/>
      <c r="M405" s="7"/>
      <c r="N405" s="7"/>
      <c r="O405" s="7"/>
    </row>
    <row r="406">
      <c r="A406" s="48" t="s">
        <v>1623</v>
      </c>
      <c r="B406" s="10"/>
      <c r="C406" s="59"/>
      <c r="D406" s="60"/>
      <c r="E406" s="51"/>
      <c r="F406" s="51"/>
      <c r="G406" s="52" t="s">
        <v>1624</v>
      </c>
      <c r="H406" s="13"/>
      <c r="I406" s="10"/>
      <c r="J406" s="6" t="s">
        <v>1450</v>
      </c>
      <c r="K406" s="7"/>
      <c r="L406" s="7"/>
      <c r="M406" s="7"/>
      <c r="N406" s="7"/>
      <c r="O406" s="7"/>
    </row>
    <row r="407">
      <c r="A407" s="48" t="s">
        <v>1625</v>
      </c>
      <c r="B407" s="10"/>
      <c r="C407" s="59"/>
      <c r="D407" s="60"/>
      <c r="E407" s="51"/>
      <c r="F407" s="51"/>
      <c r="G407" s="52" t="s">
        <v>1626</v>
      </c>
      <c r="H407" s="13"/>
      <c r="I407" s="10"/>
      <c r="J407" s="6" t="s">
        <v>1450</v>
      </c>
      <c r="K407" s="7"/>
      <c r="L407" s="7"/>
      <c r="M407" s="7"/>
      <c r="N407" s="7"/>
      <c r="O407" s="7"/>
    </row>
    <row r="408">
      <c r="A408" s="48" t="s">
        <v>1627</v>
      </c>
      <c r="B408" s="10"/>
      <c r="C408" s="59"/>
      <c r="D408" s="60"/>
      <c r="E408" s="51"/>
      <c r="F408" s="51"/>
      <c r="G408" s="52" t="s">
        <v>1628</v>
      </c>
      <c r="H408" s="13"/>
      <c r="I408" s="10"/>
      <c r="J408" s="6" t="s">
        <v>584</v>
      </c>
      <c r="K408" s="7"/>
      <c r="L408" s="7"/>
      <c r="M408" s="7"/>
      <c r="N408" s="7"/>
      <c r="O408" s="7"/>
    </row>
    <row r="409">
      <c r="A409" s="48" t="s">
        <v>1629</v>
      </c>
      <c r="B409" s="10"/>
      <c r="C409" s="59"/>
      <c r="D409" s="60"/>
      <c r="E409" s="51"/>
      <c r="F409" s="51"/>
      <c r="G409" s="52" t="s">
        <v>1630</v>
      </c>
      <c r="H409" s="13"/>
      <c r="I409" s="10"/>
      <c r="J409" s="6" t="s">
        <v>584</v>
      </c>
      <c r="K409" s="7"/>
      <c r="L409" s="7"/>
      <c r="M409" s="7"/>
      <c r="N409" s="7"/>
      <c r="O409" s="7"/>
    </row>
    <row r="410">
      <c r="A410" s="48" t="s">
        <v>1631</v>
      </c>
      <c r="B410" s="10"/>
      <c r="C410" s="59"/>
      <c r="D410" s="60"/>
      <c r="E410" s="51"/>
      <c r="F410" s="51"/>
      <c r="G410" s="52" t="s">
        <v>1632</v>
      </c>
      <c r="H410" s="13"/>
      <c r="I410" s="10"/>
      <c r="J410" s="6" t="s">
        <v>584</v>
      </c>
      <c r="K410" s="7"/>
      <c r="L410" s="7"/>
      <c r="M410" s="7"/>
      <c r="N410" s="7"/>
      <c r="O410" s="7"/>
    </row>
    <row r="411">
      <c r="A411" s="48" t="s">
        <v>1633</v>
      </c>
      <c r="B411" s="10"/>
      <c r="C411" s="59"/>
      <c r="D411" s="60"/>
      <c r="E411" s="51"/>
      <c r="F411" s="51"/>
      <c r="G411" s="52" t="s">
        <v>1634</v>
      </c>
      <c r="H411" s="13"/>
      <c r="I411" s="10"/>
      <c r="J411" s="6" t="s">
        <v>584</v>
      </c>
      <c r="K411" s="7"/>
      <c r="L411" s="7"/>
      <c r="M411" s="7"/>
      <c r="N411" s="7"/>
      <c r="O411" s="7"/>
    </row>
    <row r="412">
      <c r="A412" s="73"/>
      <c r="B412" s="74"/>
      <c r="C412" s="74"/>
      <c r="D412" s="73"/>
      <c r="E412" s="22"/>
      <c r="F412" s="22"/>
      <c r="G412" s="22"/>
      <c r="H412" s="7"/>
      <c r="I412" s="7"/>
      <c r="J412" s="7">
        <f>COUNTIFS(J347:J411,"Yes")</f>
        <v>42</v>
      </c>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f>COUNTIF(J347:J411,"Changes")</f>
        <v>12</v>
      </c>
      <c r="K413" s="7"/>
      <c r="L413" s="7"/>
      <c r="M413" s="7"/>
      <c r="N413" s="7"/>
      <c r="O413" s="7"/>
      <c r="P413" s="7"/>
      <c r="Q413" s="7"/>
      <c r="R413" s="7"/>
      <c r="S413" s="7"/>
      <c r="T413" s="7"/>
      <c r="U413" s="7"/>
      <c r="V413" s="7"/>
      <c r="W413" s="7"/>
      <c r="X413" s="7"/>
      <c r="Y413" s="7"/>
      <c r="Z413" s="7"/>
    </row>
    <row r="414">
      <c r="A414" s="36" t="s">
        <v>1635</v>
      </c>
      <c r="B414" s="75" t="s">
        <v>1636</v>
      </c>
      <c r="C414" s="5"/>
      <c r="D414" s="5"/>
      <c r="E414" s="5"/>
      <c r="F414" s="5"/>
      <c r="G414" s="5"/>
      <c r="H414" s="5"/>
      <c r="I414" s="3"/>
      <c r="J414" s="7">
        <f>COUNTIF(J347:J411, "No")</f>
        <v>10</v>
      </c>
      <c r="K414" s="7"/>
      <c r="L414" s="7"/>
      <c r="M414" s="7"/>
      <c r="N414" s="7"/>
      <c r="O414" s="7"/>
    </row>
    <row r="415">
      <c r="A415" s="76" t="s">
        <v>1637</v>
      </c>
      <c r="B415" s="13"/>
      <c r="C415" s="13"/>
      <c r="D415" s="13"/>
      <c r="E415" s="13"/>
      <c r="F415" s="13"/>
      <c r="G415" s="13"/>
      <c r="H415" s="13"/>
      <c r="I415" s="10"/>
      <c r="J415" s="7">
        <f>J412+J413+J414</f>
        <v>64</v>
      </c>
      <c r="K415" s="7"/>
      <c r="L415" s="7"/>
      <c r="M415" s="7"/>
      <c r="N415" s="7"/>
      <c r="O415" s="7"/>
    </row>
    <row r="416">
      <c r="A416" s="36" t="s">
        <v>1639</v>
      </c>
      <c r="B416" s="36" t="s">
        <v>1640</v>
      </c>
      <c r="C416" s="36" t="s">
        <v>1641</v>
      </c>
      <c r="D416" s="36" t="s">
        <v>1642</v>
      </c>
      <c r="E416" s="36" t="s">
        <v>581</v>
      </c>
      <c r="F416" s="36"/>
      <c r="G416" s="36"/>
      <c r="H416" s="36"/>
      <c r="I416" s="36" t="s">
        <v>1643</v>
      </c>
      <c r="J416" s="7"/>
      <c r="K416" s="7"/>
      <c r="L416" s="7"/>
      <c r="M416" s="7"/>
      <c r="N416" s="7"/>
      <c r="O416" s="7"/>
    </row>
    <row r="417">
      <c r="A417" s="31" t="s">
        <v>20</v>
      </c>
      <c r="B417" s="31" t="s">
        <v>17</v>
      </c>
      <c r="C417" s="77" t="s">
        <v>960</v>
      </c>
      <c r="D417" s="37" t="s">
        <v>595</v>
      </c>
      <c r="E417" s="30" t="s">
        <v>1644</v>
      </c>
      <c r="F417" s="13"/>
      <c r="G417" s="13"/>
      <c r="H417" s="10"/>
      <c r="I417" s="37"/>
      <c r="J417" s="7"/>
      <c r="K417" s="7"/>
      <c r="L417" s="7"/>
      <c r="M417" s="7"/>
      <c r="N417" s="7">
        <f t="shared" ref="N417:N440" si="4"> IF(ISBLANK(E417), 0, 1)</f>
        <v>1</v>
      </c>
      <c r="O417" s="7"/>
    </row>
    <row r="418">
      <c r="A418" s="31" t="s">
        <v>403</v>
      </c>
      <c r="B418" s="31" t="s">
        <v>400</v>
      </c>
      <c r="C418" s="31" t="s">
        <v>1645</v>
      </c>
      <c r="D418" s="37" t="s">
        <v>1364</v>
      </c>
      <c r="E418" s="30" t="s">
        <v>1646</v>
      </c>
      <c r="F418" s="13"/>
      <c r="G418" s="13"/>
      <c r="H418" s="10"/>
      <c r="I418" s="37"/>
      <c r="J418" s="7"/>
      <c r="K418" s="7"/>
      <c r="L418" s="7"/>
      <c r="M418" s="7"/>
      <c r="N418" s="7">
        <f t="shared" si="4"/>
        <v>1</v>
      </c>
      <c r="O418" s="7"/>
    </row>
    <row r="419">
      <c r="A419" s="31" t="s">
        <v>290</v>
      </c>
      <c r="B419" s="31" t="s">
        <v>285</v>
      </c>
      <c r="C419" s="77" t="s">
        <v>945</v>
      </c>
      <c r="D419" s="37" t="s">
        <v>1380</v>
      </c>
      <c r="E419" s="30" t="s">
        <v>1647</v>
      </c>
      <c r="F419" s="13"/>
      <c r="G419" s="13"/>
      <c r="H419" s="10"/>
      <c r="I419" s="37"/>
      <c r="J419" s="7"/>
      <c r="K419" s="7"/>
      <c r="L419" s="7"/>
      <c r="M419" s="7"/>
      <c r="N419" s="7">
        <f t="shared" si="4"/>
        <v>1</v>
      </c>
      <c r="O419" s="7"/>
    </row>
    <row r="420">
      <c r="A420" s="31" t="s">
        <v>324</v>
      </c>
      <c r="B420" s="31" t="s">
        <v>319</v>
      </c>
      <c r="C420" s="31" t="s">
        <v>1127</v>
      </c>
      <c r="D420" s="37" t="s">
        <v>595</v>
      </c>
      <c r="E420" s="30" t="s">
        <v>1740</v>
      </c>
      <c r="F420" s="13"/>
      <c r="G420" s="13"/>
      <c r="H420" s="10"/>
      <c r="I420" s="37"/>
      <c r="J420" s="7"/>
      <c r="K420" s="7"/>
      <c r="L420" s="7"/>
      <c r="M420" s="7"/>
      <c r="N420" s="7">
        <f t="shared" si="4"/>
        <v>1</v>
      </c>
      <c r="O420" s="7"/>
    </row>
    <row r="421">
      <c r="A421" s="31" t="s">
        <v>122</v>
      </c>
      <c r="B421" s="31" t="s">
        <v>115</v>
      </c>
      <c r="C421" s="31" t="s">
        <v>1649</v>
      </c>
      <c r="D421" s="37" t="s">
        <v>595</v>
      </c>
      <c r="E421" s="30" t="s">
        <v>1650</v>
      </c>
      <c r="F421" s="13"/>
      <c r="G421" s="13"/>
      <c r="H421" s="10"/>
      <c r="I421" s="37"/>
      <c r="J421" s="7"/>
      <c r="K421" s="7"/>
      <c r="L421" s="7"/>
      <c r="M421" s="7"/>
      <c r="N421" s="7">
        <f t="shared" si="4"/>
        <v>1</v>
      </c>
      <c r="O421" s="7"/>
    </row>
    <row r="422">
      <c r="A422" s="31" t="s">
        <v>391</v>
      </c>
      <c r="B422" s="31" t="s">
        <v>1651</v>
      </c>
      <c r="C422" s="31" t="s">
        <v>387</v>
      </c>
      <c r="D422" s="37" t="s">
        <v>1399</v>
      </c>
      <c r="E422" s="30" t="s">
        <v>1652</v>
      </c>
      <c r="F422" s="13"/>
      <c r="G422" s="13"/>
      <c r="H422" s="10"/>
      <c r="I422" s="37"/>
      <c r="J422" s="7"/>
      <c r="K422" s="7"/>
      <c r="L422" s="7"/>
      <c r="M422" s="7"/>
      <c r="N422" s="7">
        <f t="shared" si="4"/>
        <v>1</v>
      </c>
      <c r="O422" s="7"/>
    </row>
    <row r="423">
      <c r="A423" s="31" t="s">
        <v>82</v>
      </c>
      <c r="B423" s="31" t="s">
        <v>78</v>
      </c>
      <c r="C423" s="77" t="s">
        <v>1653</v>
      </c>
      <c r="D423" s="37" t="s">
        <v>595</v>
      </c>
      <c r="E423" s="30" t="s">
        <v>1654</v>
      </c>
      <c r="F423" s="13"/>
      <c r="G423" s="13"/>
      <c r="H423" s="10"/>
      <c r="I423" s="37"/>
      <c r="J423" s="7"/>
      <c r="K423" s="7"/>
      <c r="L423" s="7"/>
      <c r="M423" s="7"/>
      <c r="N423" s="7">
        <f t="shared" si="4"/>
        <v>1</v>
      </c>
      <c r="O423" s="7"/>
    </row>
    <row r="424">
      <c r="A424" s="31" t="s">
        <v>356</v>
      </c>
      <c r="B424" s="31" t="s">
        <v>352</v>
      </c>
      <c r="C424" s="31" t="s">
        <v>1268</v>
      </c>
      <c r="D424" s="37" t="s">
        <v>595</v>
      </c>
      <c r="E424" s="30" t="s">
        <v>1655</v>
      </c>
      <c r="F424" s="13"/>
      <c r="G424" s="13"/>
      <c r="H424" s="10"/>
      <c r="I424" s="37"/>
      <c r="J424" s="7"/>
      <c r="K424" s="7"/>
      <c r="L424" s="7"/>
      <c r="M424" s="7"/>
      <c r="N424" s="7">
        <f t="shared" si="4"/>
        <v>1</v>
      </c>
      <c r="O424" s="7"/>
    </row>
    <row r="425">
      <c r="A425" s="31" t="s">
        <v>1404</v>
      </c>
      <c r="B425" s="31" t="s">
        <v>423</v>
      </c>
      <c r="C425" s="31" t="s">
        <v>1019</v>
      </c>
      <c r="D425" s="37" t="s">
        <v>1656</v>
      </c>
      <c r="E425" s="30" t="s">
        <v>1657</v>
      </c>
      <c r="F425" s="13"/>
      <c r="G425" s="13"/>
      <c r="H425" s="10"/>
      <c r="I425" s="37"/>
      <c r="J425" s="7"/>
      <c r="K425" s="7"/>
      <c r="L425" s="7"/>
      <c r="M425" s="7"/>
      <c r="N425" s="7">
        <f t="shared" si="4"/>
        <v>1</v>
      </c>
      <c r="O425" s="7"/>
    </row>
    <row r="426">
      <c r="A426" s="31" t="s">
        <v>351</v>
      </c>
      <c r="B426" s="31" t="s">
        <v>345</v>
      </c>
      <c r="C426" s="77" t="s">
        <v>1120</v>
      </c>
      <c r="D426" s="37" t="s">
        <v>595</v>
      </c>
      <c r="E426" s="30" t="s">
        <v>1658</v>
      </c>
      <c r="F426" s="13"/>
      <c r="G426" s="13"/>
      <c r="H426" s="10"/>
      <c r="I426" s="37"/>
      <c r="J426" s="7"/>
      <c r="K426" s="7"/>
      <c r="L426" s="7"/>
      <c r="M426" s="7"/>
      <c r="N426" s="7">
        <f t="shared" si="4"/>
        <v>1</v>
      </c>
      <c r="O426" s="7"/>
    </row>
    <row r="427">
      <c r="A427" s="31" t="s">
        <v>260</v>
      </c>
      <c r="B427" s="31" t="s">
        <v>1659</v>
      </c>
      <c r="C427" s="77" t="s">
        <v>1976</v>
      </c>
      <c r="D427" s="37" t="s">
        <v>595</v>
      </c>
      <c r="E427" s="30" t="s">
        <v>1660</v>
      </c>
      <c r="F427" s="13"/>
      <c r="G427" s="13"/>
      <c r="H427" s="10"/>
      <c r="I427" s="37"/>
      <c r="J427" s="7"/>
      <c r="K427" s="7"/>
      <c r="L427" s="7"/>
      <c r="M427" s="7"/>
      <c r="N427" s="7">
        <f t="shared" si="4"/>
        <v>1</v>
      </c>
      <c r="O427" s="7"/>
    </row>
    <row r="428">
      <c r="A428" s="31" t="s">
        <v>420</v>
      </c>
      <c r="B428" s="31" t="s">
        <v>415</v>
      </c>
      <c r="C428" s="31" t="s">
        <v>775</v>
      </c>
      <c r="D428" s="37" t="s">
        <v>595</v>
      </c>
      <c r="E428" s="30" t="s">
        <v>1661</v>
      </c>
      <c r="F428" s="13"/>
      <c r="G428" s="13"/>
      <c r="H428" s="10"/>
      <c r="I428" s="37"/>
      <c r="J428" s="7"/>
      <c r="K428" s="7"/>
      <c r="L428" s="7"/>
      <c r="M428" s="7"/>
      <c r="N428" s="7">
        <f t="shared" si="4"/>
        <v>1</v>
      </c>
      <c r="O428" s="7"/>
      <c r="P428" s="7"/>
      <c r="Q428" s="7"/>
      <c r="R428" s="7"/>
      <c r="S428" s="7"/>
      <c r="T428" s="7"/>
      <c r="U428" s="7"/>
      <c r="V428" s="7"/>
      <c r="W428" s="7"/>
      <c r="X428" s="7"/>
      <c r="Y428" s="7"/>
      <c r="Z428" s="7"/>
    </row>
    <row r="429">
      <c r="A429" s="31" t="s">
        <v>127</v>
      </c>
      <c r="B429" s="31" t="s">
        <v>123</v>
      </c>
      <c r="C429" s="31" t="s">
        <v>937</v>
      </c>
      <c r="D429" s="37" t="s">
        <v>595</v>
      </c>
      <c r="E429" s="30" t="s">
        <v>1662</v>
      </c>
      <c r="F429" s="13"/>
      <c r="G429" s="13"/>
      <c r="H429" s="10"/>
      <c r="I429" s="37"/>
      <c r="J429" s="7"/>
      <c r="K429" s="7"/>
      <c r="L429" s="7"/>
      <c r="M429" s="7"/>
      <c r="N429" s="7">
        <f t="shared" si="4"/>
        <v>1</v>
      </c>
      <c r="O429" s="7"/>
      <c r="P429" s="7"/>
      <c r="Q429" s="7"/>
      <c r="R429" s="7"/>
      <c r="S429" s="7"/>
      <c r="T429" s="7"/>
      <c r="U429" s="7"/>
      <c r="V429" s="7"/>
      <c r="W429" s="7"/>
      <c r="X429" s="7"/>
      <c r="Y429" s="7"/>
      <c r="Z429" s="7"/>
    </row>
    <row r="430">
      <c r="A430" s="37" t="s">
        <v>374</v>
      </c>
      <c r="B430" s="37" t="s">
        <v>371</v>
      </c>
      <c r="C430" s="37" t="s">
        <v>813</v>
      </c>
      <c r="D430" s="37" t="s">
        <v>1388</v>
      </c>
      <c r="E430" s="30" t="s">
        <v>1663</v>
      </c>
      <c r="F430" s="13"/>
      <c r="G430" s="13"/>
      <c r="H430" s="10"/>
      <c r="I430" s="37"/>
      <c r="J430" s="7"/>
      <c r="K430" s="7"/>
      <c r="L430" s="7"/>
      <c r="M430" s="7"/>
      <c r="N430" s="7">
        <f t="shared" si="4"/>
        <v>1</v>
      </c>
      <c r="O430" s="7"/>
      <c r="P430" s="7"/>
      <c r="Q430" s="7"/>
      <c r="R430" s="7"/>
      <c r="S430" s="7"/>
      <c r="T430" s="7"/>
      <c r="U430" s="7"/>
      <c r="V430" s="7"/>
      <c r="W430" s="7"/>
      <c r="X430" s="7"/>
      <c r="Y430" s="7"/>
      <c r="Z430" s="7"/>
    </row>
    <row r="431">
      <c r="A431" s="37" t="s">
        <v>39</v>
      </c>
      <c r="B431" s="37" t="s">
        <v>35</v>
      </c>
      <c r="C431" s="37" t="s">
        <v>1153</v>
      </c>
      <c r="D431" s="37" t="s">
        <v>595</v>
      </c>
      <c r="E431" s="30" t="s">
        <v>1665</v>
      </c>
      <c r="F431" s="13"/>
      <c r="G431" s="13"/>
      <c r="H431" s="10"/>
      <c r="I431" s="37"/>
      <c r="J431" s="7"/>
      <c r="K431" s="7"/>
      <c r="L431" s="7"/>
      <c r="M431" s="7"/>
      <c r="N431" s="7">
        <f t="shared" si="4"/>
        <v>1</v>
      </c>
      <c r="O431" s="7"/>
      <c r="P431" s="7"/>
      <c r="Q431" s="7"/>
      <c r="R431" s="7"/>
      <c r="S431" s="7"/>
      <c r="T431" s="7"/>
      <c r="U431" s="7"/>
      <c r="V431" s="7"/>
      <c r="W431" s="7"/>
      <c r="X431" s="7"/>
      <c r="Y431" s="7"/>
      <c r="Z431" s="7"/>
    </row>
    <row r="432">
      <c r="A432" s="37" t="s">
        <v>466</v>
      </c>
      <c r="B432" s="37" t="s">
        <v>1667</v>
      </c>
      <c r="C432" s="37" t="s">
        <v>1668</v>
      </c>
      <c r="D432" s="37" t="s">
        <v>595</v>
      </c>
      <c r="E432" s="30" t="s">
        <v>1669</v>
      </c>
      <c r="F432" s="13"/>
      <c r="G432" s="13"/>
      <c r="H432" s="10"/>
      <c r="I432" s="37"/>
      <c r="J432" s="7"/>
      <c r="K432" s="7"/>
      <c r="L432" s="7"/>
      <c r="M432" s="7"/>
      <c r="N432" s="7">
        <f t="shared" si="4"/>
        <v>1</v>
      </c>
      <c r="O432" s="7"/>
      <c r="P432" s="7"/>
      <c r="Q432" s="7"/>
      <c r="R432" s="7"/>
      <c r="S432" s="7"/>
      <c r="T432" s="7"/>
      <c r="U432" s="7"/>
      <c r="V432" s="7"/>
      <c r="W432" s="7"/>
      <c r="X432" s="7"/>
      <c r="Y432" s="7"/>
      <c r="Z432" s="7"/>
    </row>
    <row r="433">
      <c r="A433" s="37" t="s">
        <v>254</v>
      </c>
      <c r="B433" s="37" t="s">
        <v>248</v>
      </c>
      <c r="C433" s="37" t="s">
        <v>880</v>
      </c>
      <c r="D433" s="37" t="s">
        <v>595</v>
      </c>
      <c r="E433" s="30" t="s">
        <v>1670</v>
      </c>
      <c r="F433" s="13"/>
      <c r="G433" s="13"/>
      <c r="H433" s="10"/>
      <c r="I433" s="37"/>
      <c r="J433" s="7"/>
      <c r="K433" s="7"/>
      <c r="L433" s="7"/>
      <c r="M433" s="7"/>
      <c r="N433" s="7">
        <f t="shared" si="4"/>
        <v>1</v>
      </c>
      <c r="O433" s="7"/>
      <c r="P433" s="7"/>
      <c r="Q433" s="7"/>
      <c r="R433" s="7"/>
      <c r="S433" s="7"/>
      <c r="T433" s="7"/>
      <c r="U433" s="7"/>
      <c r="V433" s="7"/>
      <c r="W433" s="7"/>
      <c r="X433" s="7"/>
      <c r="Y433" s="7"/>
      <c r="Z433" s="7"/>
    </row>
    <row r="434">
      <c r="A434" s="37" t="s">
        <v>445</v>
      </c>
      <c r="B434" s="37" t="s">
        <v>440</v>
      </c>
      <c r="C434" s="37" t="s">
        <v>734</v>
      </c>
      <c r="D434" s="37" t="s">
        <v>1342</v>
      </c>
      <c r="E434" s="30" t="s">
        <v>1671</v>
      </c>
      <c r="F434" s="13"/>
      <c r="G434" s="13"/>
      <c r="H434" s="10"/>
      <c r="I434" s="37"/>
      <c r="J434" s="7"/>
      <c r="K434" s="7"/>
      <c r="L434" s="7"/>
      <c r="M434" s="7"/>
      <c r="N434" s="7">
        <f t="shared" si="4"/>
        <v>1</v>
      </c>
      <c r="O434" s="7"/>
      <c r="P434" s="7"/>
      <c r="Q434" s="7"/>
      <c r="R434" s="7"/>
      <c r="S434" s="7"/>
      <c r="T434" s="7"/>
      <c r="U434" s="7"/>
      <c r="V434" s="7"/>
      <c r="W434" s="7"/>
      <c r="X434" s="7"/>
      <c r="Y434" s="7"/>
      <c r="Z434" s="7"/>
    </row>
    <row r="435">
      <c r="A435" s="37" t="s">
        <v>520</v>
      </c>
      <c r="B435" s="37" t="s">
        <v>516</v>
      </c>
      <c r="C435" s="37" t="s">
        <v>602</v>
      </c>
      <c r="D435" s="37" t="s">
        <v>1375</v>
      </c>
      <c r="E435" s="30" t="s">
        <v>1673</v>
      </c>
      <c r="F435" s="13"/>
      <c r="G435" s="13"/>
      <c r="H435" s="10"/>
      <c r="I435" s="37"/>
      <c r="J435" s="7"/>
      <c r="K435" s="7"/>
      <c r="L435" s="7"/>
      <c r="M435" s="7"/>
      <c r="N435" s="7">
        <f t="shared" si="4"/>
        <v>1</v>
      </c>
      <c r="O435" s="7"/>
      <c r="P435" s="7"/>
      <c r="Q435" s="7"/>
      <c r="R435" s="7"/>
      <c r="S435" s="7"/>
      <c r="T435" s="7"/>
      <c r="U435" s="7"/>
      <c r="V435" s="7"/>
      <c r="W435" s="7"/>
      <c r="X435" s="7"/>
      <c r="Y435" s="7"/>
      <c r="Z435" s="7"/>
    </row>
    <row r="436">
      <c r="A436" s="37" t="s">
        <v>344</v>
      </c>
      <c r="B436" s="37" t="s">
        <v>1675</v>
      </c>
      <c r="C436" s="37" t="s">
        <v>1676</v>
      </c>
      <c r="D436" s="37" t="s">
        <v>1360</v>
      </c>
      <c r="E436" s="30" t="s">
        <v>1677</v>
      </c>
      <c r="F436" s="13"/>
      <c r="G436" s="13"/>
      <c r="H436" s="10"/>
      <c r="I436" s="37"/>
      <c r="J436" s="7"/>
      <c r="K436" s="7"/>
      <c r="L436" s="7"/>
      <c r="M436" s="7"/>
      <c r="N436" s="7">
        <f t="shared" si="4"/>
        <v>1</v>
      </c>
      <c r="O436" s="7"/>
      <c r="P436" s="7"/>
      <c r="Q436" s="7"/>
      <c r="R436" s="7"/>
      <c r="S436" s="7"/>
      <c r="T436" s="7"/>
      <c r="U436" s="7"/>
      <c r="V436" s="7"/>
      <c r="W436" s="7"/>
      <c r="X436" s="7"/>
      <c r="Y436" s="7"/>
      <c r="Z436" s="7"/>
    </row>
    <row r="437">
      <c r="A437" s="37" t="s">
        <v>280</v>
      </c>
      <c r="B437" s="37" t="s">
        <v>276</v>
      </c>
      <c r="C437" s="37" t="s">
        <v>958</v>
      </c>
      <c r="D437" s="37" t="s">
        <v>1405</v>
      </c>
      <c r="E437" s="30" t="s">
        <v>1679</v>
      </c>
      <c r="F437" s="13"/>
      <c r="G437" s="13"/>
      <c r="H437" s="10"/>
      <c r="I437" s="37"/>
      <c r="J437" s="7"/>
      <c r="K437" s="7"/>
      <c r="L437" s="7"/>
      <c r="M437" s="7"/>
      <c r="N437" s="7">
        <f t="shared" si="4"/>
        <v>1</v>
      </c>
      <c r="O437" s="7"/>
      <c r="P437" s="7"/>
      <c r="Q437" s="7"/>
      <c r="R437" s="7"/>
      <c r="S437" s="7"/>
      <c r="T437" s="7"/>
      <c r="U437" s="7"/>
      <c r="V437" s="7"/>
      <c r="W437" s="7"/>
      <c r="X437" s="7"/>
      <c r="Y437" s="7"/>
      <c r="Z437" s="7"/>
    </row>
    <row r="438">
      <c r="A438" s="37" t="s">
        <v>52</v>
      </c>
      <c r="B438" s="37" t="s">
        <v>48</v>
      </c>
      <c r="C438" s="37" t="s">
        <v>1187</v>
      </c>
      <c r="D438" s="37" t="s">
        <v>595</v>
      </c>
      <c r="E438" s="30" t="s">
        <v>1680</v>
      </c>
      <c r="F438" s="13"/>
      <c r="G438" s="13"/>
      <c r="H438" s="10"/>
      <c r="I438" s="37"/>
      <c r="J438" s="7"/>
      <c r="K438" s="7"/>
      <c r="L438" s="7"/>
      <c r="M438" s="7"/>
      <c r="N438" s="7">
        <f t="shared" si="4"/>
        <v>1</v>
      </c>
      <c r="O438" s="7"/>
      <c r="P438" s="7"/>
      <c r="Q438" s="7"/>
      <c r="R438" s="7"/>
      <c r="S438" s="7"/>
      <c r="T438" s="7"/>
      <c r="U438" s="7"/>
      <c r="V438" s="7"/>
      <c r="W438" s="7"/>
      <c r="X438" s="7"/>
      <c r="Y438" s="7"/>
      <c r="Z438" s="7"/>
    </row>
    <row r="439">
      <c r="A439" s="37" t="s">
        <v>1682</v>
      </c>
      <c r="B439" s="37" t="s">
        <v>242</v>
      </c>
      <c r="C439" s="37" t="s">
        <v>1683</v>
      </c>
      <c r="D439" s="37" t="s">
        <v>1368</v>
      </c>
      <c r="E439" s="30" t="s">
        <v>1684</v>
      </c>
      <c r="F439" s="13"/>
      <c r="G439" s="13"/>
      <c r="H439" s="10"/>
      <c r="I439" s="37"/>
      <c r="J439" s="7"/>
      <c r="K439" s="7"/>
      <c r="L439" s="7"/>
      <c r="M439" s="7"/>
      <c r="N439" s="7">
        <f t="shared" si="4"/>
        <v>1</v>
      </c>
      <c r="O439" s="7"/>
      <c r="P439" s="7"/>
      <c r="Q439" s="7"/>
      <c r="R439" s="7"/>
      <c r="S439" s="7"/>
      <c r="T439" s="7"/>
      <c r="U439" s="7"/>
      <c r="V439" s="7"/>
      <c r="W439" s="7"/>
      <c r="X439" s="7"/>
      <c r="Y439" s="7"/>
      <c r="Z439" s="7"/>
    </row>
    <row r="440">
      <c r="A440" s="37" t="s">
        <v>461</v>
      </c>
      <c r="B440" s="37" t="s">
        <v>457</v>
      </c>
      <c r="C440" s="37" t="s">
        <v>824</v>
      </c>
      <c r="D440" s="37" t="s">
        <v>1371</v>
      </c>
      <c r="E440" s="30" t="s">
        <v>1689</v>
      </c>
      <c r="F440" s="13"/>
      <c r="G440" s="13"/>
      <c r="H440" s="10"/>
      <c r="I440" s="37"/>
      <c r="J440" s="7"/>
      <c r="K440" s="7"/>
      <c r="L440" s="7"/>
      <c r="M440" s="7"/>
      <c r="N440" s="7">
        <f t="shared" si="4"/>
        <v>1</v>
      </c>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f>SUM(N417:N440)</f>
        <v>24</v>
      </c>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8" t="s">
        <v>1692</v>
      </c>
      <c r="B451" s="79"/>
      <c r="C451" s="79"/>
      <c r="D451" s="79"/>
      <c r="E451" s="79"/>
      <c r="F451" s="79"/>
      <c r="G451" s="79"/>
      <c r="H451" s="80"/>
      <c r="I451" s="7"/>
      <c r="J451" s="7"/>
      <c r="K451" s="7"/>
      <c r="L451" s="7"/>
      <c r="M451" s="7"/>
      <c r="N451" s="7"/>
      <c r="O451" s="7"/>
      <c r="P451" s="7"/>
      <c r="Q451" s="7"/>
      <c r="R451" s="7"/>
      <c r="S451" s="7"/>
      <c r="T451" s="7"/>
      <c r="U451" s="7"/>
      <c r="V451" s="7"/>
      <c r="W451" s="7"/>
      <c r="X451" s="7"/>
      <c r="Y451" s="7"/>
      <c r="Z451" s="7"/>
    </row>
    <row r="452">
      <c r="A452" s="81" t="s">
        <v>1693</v>
      </c>
      <c r="B452" s="82" t="s">
        <v>1694</v>
      </c>
      <c r="C452" s="82" t="s">
        <v>1695</v>
      </c>
      <c r="D452" s="83"/>
      <c r="E452" s="83"/>
      <c r="F452" s="83"/>
      <c r="G452" s="83"/>
      <c r="H452" s="83"/>
      <c r="I452" s="7"/>
      <c r="J452" s="7"/>
      <c r="K452" s="7"/>
      <c r="L452" s="7"/>
      <c r="M452" s="7"/>
      <c r="N452" s="7"/>
      <c r="O452" s="7"/>
      <c r="P452" s="7"/>
      <c r="Q452" s="7"/>
      <c r="R452" s="7"/>
      <c r="S452" s="7"/>
      <c r="T452" s="7"/>
      <c r="U452" s="7"/>
      <c r="V452" s="7"/>
      <c r="W452" s="7"/>
      <c r="X452" s="7"/>
      <c r="Y452" s="7"/>
      <c r="Z452" s="7"/>
    </row>
    <row r="453">
      <c r="A453" s="81" t="s">
        <v>1696</v>
      </c>
      <c r="B453" s="84" t="s">
        <v>1697</v>
      </c>
      <c r="C453" s="79"/>
      <c r="D453" s="79"/>
      <c r="E453" s="79"/>
      <c r="F453" s="79"/>
      <c r="G453" s="79"/>
      <c r="H453" s="80"/>
      <c r="I453" s="7"/>
      <c r="J453" s="7"/>
      <c r="K453" s="7"/>
      <c r="L453" s="7"/>
      <c r="M453" s="7"/>
      <c r="N453" s="7"/>
      <c r="O453" s="7"/>
      <c r="P453" s="7"/>
      <c r="Q453" s="7"/>
      <c r="R453" s="7"/>
      <c r="S453" s="7"/>
      <c r="T453" s="7"/>
      <c r="U453" s="7"/>
      <c r="V453" s="7"/>
      <c r="W453" s="7"/>
      <c r="X453" s="7"/>
      <c r="Y453" s="7"/>
      <c r="Z453" s="7"/>
    </row>
    <row r="454">
      <c r="A454" s="81" t="s">
        <v>1698</v>
      </c>
      <c r="B454" s="84" t="s">
        <v>1699</v>
      </c>
      <c r="C454" s="79"/>
      <c r="D454" s="79"/>
      <c r="E454" s="79"/>
      <c r="F454" s="79"/>
      <c r="G454" s="79"/>
      <c r="H454" s="80"/>
      <c r="I454" s="7"/>
      <c r="J454" s="7"/>
      <c r="K454" s="7"/>
      <c r="L454" s="7"/>
      <c r="M454" s="7"/>
      <c r="N454" s="7"/>
      <c r="O454" s="7"/>
      <c r="P454" s="7"/>
      <c r="Q454" s="7"/>
      <c r="R454" s="7"/>
      <c r="S454" s="7"/>
      <c r="T454" s="7"/>
      <c r="U454" s="7"/>
      <c r="V454" s="7"/>
      <c r="W454" s="7"/>
      <c r="X454" s="7"/>
      <c r="Y454" s="7"/>
      <c r="Z454" s="7"/>
    </row>
    <row r="455">
      <c r="A455" s="81" t="s">
        <v>1700</v>
      </c>
      <c r="B455" s="84" t="s">
        <v>1702</v>
      </c>
      <c r="C455" s="79"/>
      <c r="D455" s="79"/>
      <c r="E455" s="79"/>
      <c r="F455" s="79"/>
      <c r="G455" s="79"/>
      <c r="H455" s="80"/>
      <c r="I455" s="7"/>
      <c r="J455" s="7"/>
      <c r="K455" s="7"/>
      <c r="L455" s="7"/>
      <c r="M455" s="7"/>
      <c r="N455" s="7"/>
      <c r="O455" s="7"/>
      <c r="P455" s="7"/>
      <c r="Q455" s="7"/>
      <c r="R455" s="7"/>
      <c r="S455" s="7"/>
      <c r="T455" s="7"/>
      <c r="U455" s="7"/>
      <c r="V455" s="7"/>
      <c r="W455" s="7"/>
      <c r="X455" s="7"/>
      <c r="Y455" s="7"/>
      <c r="Z455" s="7"/>
    </row>
    <row r="456">
      <c r="A456" s="81" t="s">
        <v>1703</v>
      </c>
      <c r="B456" s="84" t="s">
        <v>1704</v>
      </c>
      <c r="C456" s="79"/>
      <c r="D456" s="79"/>
      <c r="E456" s="79"/>
      <c r="F456" s="79"/>
      <c r="G456" s="79"/>
      <c r="H456" s="80"/>
      <c r="I456" s="7"/>
      <c r="J456" s="7"/>
      <c r="K456" s="7"/>
      <c r="L456" s="7"/>
      <c r="M456" s="7"/>
      <c r="N456" s="7"/>
      <c r="O456" s="7"/>
      <c r="P456" s="7"/>
      <c r="Q456" s="7"/>
      <c r="R456" s="7"/>
      <c r="S456" s="7"/>
      <c r="T456" s="7"/>
      <c r="U456" s="7"/>
      <c r="V456" s="7"/>
      <c r="W456" s="7"/>
      <c r="X456" s="7"/>
      <c r="Y456" s="7"/>
      <c r="Z456" s="7"/>
    </row>
    <row r="457">
      <c r="A457" s="81" t="s">
        <v>1705</v>
      </c>
      <c r="B457" s="84" t="s">
        <v>1706</v>
      </c>
      <c r="C457" s="79"/>
      <c r="D457" s="79"/>
      <c r="E457" s="79"/>
      <c r="F457" s="79"/>
      <c r="G457" s="79"/>
      <c r="H457" s="80"/>
      <c r="I457" s="7"/>
      <c r="J457" s="7"/>
      <c r="K457" s="7"/>
      <c r="L457" s="7"/>
      <c r="M457" s="7"/>
      <c r="N457" s="7"/>
      <c r="O457" s="7"/>
      <c r="P457" s="7"/>
      <c r="Q457" s="7"/>
      <c r="R457" s="7"/>
      <c r="S457" s="7"/>
      <c r="T457" s="7"/>
      <c r="U457" s="7"/>
      <c r="V457" s="7"/>
      <c r="W457" s="7"/>
      <c r="X457" s="7"/>
      <c r="Y457" s="7"/>
      <c r="Z457" s="7"/>
    </row>
    <row r="458">
      <c r="A458" s="81" t="s">
        <v>1707</v>
      </c>
      <c r="B458" s="84" t="s">
        <v>1708</v>
      </c>
      <c r="C458" s="79"/>
      <c r="D458" s="79"/>
      <c r="E458" s="79"/>
      <c r="F458" s="79"/>
      <c r="G458" s="79"/>
      <c r="H458" s="80"/>
      <c r="I458" s="7"/>
      <c r="J458" s="7"/>
      <c r="K458" s="7"/>
      <c r="L458" s="7"/>
      <c r="M458" s="7"/>
      <c r="N458" s="7"/>
      <c r="O458" s="7"/>
      <c r="P458" s="7"/>
      <c r="Q458" s="7"/>
      <c r="R458" s="7"/>
      <c r="S458" s="7"/>
      <c r="T458" s="7"/>
      <c r="U458" s="7"/>
      <c r="V458" s="7"/>
      <c r="W458" s="7"/>
      <c r="X458" s="7"/>
      <c r="Y458" s="7"/>
      <c r="Z458" s="7"/>
    </row>
    <row r="459">
      <c r="A459" s="81" t="s">
        <v>1709</v>
      </c>
      <c r="B459" s="84" t="s">
        <v>1710</v>
      </c>
      <c r="C459" s="79"/>
      <c r="D459" s="79"/>
      <c r="E459" s="79"/>
      <c r="F459" s="79"/>
      <c r="G459" s="79"/>
      <c r="H459" s="80"/>
      <c r="I459" s="7"/>
      <c r="J459" s="7"/>
      <c r="K459" s="7"/>
      <c r="L459" s="7"/>
      <c r="M459" s="7"/>
      <c r="N459" s="7"/>
      <c r="O459" s="7"/>
      <c r="P459" s="7"/>
      <c r="Q459" s="7"/>
      <c r="R459" s="7"/>
      <c r="S459" s="7"/>
      <c r="T459" s="7"/>
      <c r="U459" s="7"/>
      <c r="V459" s="7"/>
      <c r="W459" s="7"/>
      <c r="X459" s="7"/>
      <c r="Y459" s="7"/>
      <c r="Z459" s="7"/>
    </row>
    <row r="460">
      <c r="A460" s="81" t="s">
        <v>1711</v>
      </c>
      <c r="B460" s="84" t="s">
        <v>1712</v>
      </c>
      <c r="C460" s="79"/>
      <c r="D460" s="79"/>
      <c r="E460" s="79"/>
      <c r="F460" s="79"/>
      <c r="G460" s="79"/>
      <c r="H460" s="80"/>
      <c r="I460" s="7"/>
      <c r="J460" s="7"/>
      <c r="K460" s="7"/>
      <c r="L460" s="7"/>
      <c r="M460" s="7"/>
      <c r="N460" s="7"/>
      <c r="O460" s="7"/>
      <c r="P460" s="7"/>
      <c r="Q460" s="7"/>
      <c r="R460" s="7"/>
      <c r="S460" s="7"/>
      <c r="T460" s="7"/>
      <c r="U460" s="7"/>
      <c r="V460" s="7"/>
      <c r="W460" s="7"/>
      <c r="X460" s="7"/>
      <c r="Y460" s="7"/>
      <c r="Z460" s="7"/>
    </row>
    <row r="461">
      <c r="A461" s="81" t="s">
        <v>1713</v>
      </c>
      <c r="B461" s="84" t="s">
        <v>1714</v>
      </c>
      <c r="C461" s="79"/>
      <c r="D461" s="79"/>
      <c r="E461" s="79"/>
      <c r="F461" s="79"/>
      <c r="G461" s="79"/>
      <c r="H461" s="80"/>
      <c r="I461" s="7"/>
      <c r="J461" s="7"/>
      <c r="K461" s="7"/>
      <c r="L461" s="7"/>
      <c r="M461" s="7"/>
      <c r="N461" s="7"/>
      <c r="O461" s="7"/>
      <c r="P461" s="7"/>
      <c r="Q461" s="7"/>
      <c r="R461" s="7"/>
      <c r="S461" s="7"/>
      <c r="T461" s="7"/>
      <c r="U461" s="7"/>
      <c r="V461" s="7"/>
      <c r="W461" s="7"/>
      <c r="X461" s="7"/>
      <c r="Y461" s="7"/>
      <c r="Z461" s="7"/>
    </row>
    <row r="462">
      <c r="A462" s="78" t="s">
        <v>1715</v>
      </c>
      <c r="B462" s="79"/>
      <c r="C462" s="79"/>
      <c r="D462" s="79"/>
      <c r="E462" s="79"/>
      <c r="F462" s="79"/>
      <c r="G462" s="79"/>
      <c r="H462" s="80"/>
      <c r="I462" s="7"/>
      <c r="J462" s="7"/>
      <c r="K462" s="7"/>
      <c r="L462" s="7"/>
      <c r="M462" s="7"/>
      <c r="N462" s="7"/>
      <c r="O462" s="7"/>
      <c r="P462" s="7"/>
      <c r="Q462" s="7"/>
      <c r="R462" s="7"/>
      <c r="S462" s="7"/>
      <c r="T462" s="7"/>
      <c r="U462" s="7"/>
      <c r="V462" s="7"/>
      <c r="W462" s="7"/>
      <c r="X462" s="7"/>
      <c r="Y462" s="7"/>
      <c r="Z462" s="7"/>
    </row>
    <row r="463">
      <c r="A463" s="85" t="s">
        <v>1716</v>
      </c>
      <c r="B463" s="79"/>
      <c r="C463" s="79"/>
      <c r="D463" s="79"/>
      <c r="E463" s="79"/>
      <c r="F463" s="79"/>
      <c r="G463" s="79"/>
      <c r="H463" s="80"/>
      <c r="I463" s="7"/>
      <c r="J463" s="7"/>
      <c r="K463" s="7"/>
      <c r="L463" s="7"/>
      <c r="M463" s="7"/>
      <c r="N463" s="7"/>
      <c r="O463" s="7"/>
      <c r="P463" s="7"/>
      <c r="Q463" s="7"/>
      <c r="R463" s="7"/>
      <c r="S463" s="7"/>
      <c r="T463" s="7"/>
      <c r="U463" s="7"/>
      <c r="V463" s="7"/>
      <c r="W463" s="7"/>
      <c r="X463" s="7"/>
      <c r="Y463" s="7"/>
      <c r="Z463" s="7"/>
    </row>
    <row r="464">
      <c r="A464" s="78" t="s">
        <v>1717</v>
      </c>
      <c r="B464" s="79"/>
      <c r="C464" s="79"/>
      <c r="D464" s="79"/>
      <c r="E464" s="79"/>
      <c r="F464" s="79"/>
      <c r="G464" s="79"/>
      <c r="H464" s="80"/>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I466" s="7"/>
      <c r="J466" s="7"/>
      <c r="K466" s="7"/>
      <c r="L466" s="7"/>
      <c r="M466" s="7"/>
      <c r="N466" s="7"/>
      <c r="O466" s="7"/>
    </row>
    <row r="467">
      <c r="I467" s="7"/>
      <c r="J467" s="7"/>
      <c r="K467" s="7"/>
      <c r="L467" s="7"/>
      <c r="M467" s="7"/>
      <c r="N467" s="7"/>
      <c r="O467" s="7"/>
    </row>
    <row r="468">
      <c r="I468" s="7"/>
      <c r="J468" s="7"/>
      <c r="K468" s="7"/>
      <c r="L468" s="7"/>
      <c r="M468" s="7"/>
      <c r="N468" s="7"/>
      <c r="O468" s="7"/>
    </row>
    <row r="469">
      <c r="I469" s="7"/>
      <c r="J469" s="7"/>
      <c r="K469" s="7"/>
      <c r="L469" s="7"/>
      <c r="M469" s="7"/>
      <c r="N469" s="7"/>
      <c r="O469" s="7"/>
    </row>
    <row r="470">
      <c r="I470" s="7"/>
      <c r="J470" s="7"/>
      <c r="K470" s="7"/>
      <c r="L470" s="7"/>
      <c r="M470" s="7"/>
      <c r="N470" s="7"/>
      <c r="O470" s="7"/>
    </row>
    <row r="471">
      <c r="I471" s="7"/>
      <c r="J471" s="7"/>
      <c r="K471" s="7"/>
      <c r="L471" s="7"/>
      <c r="M471" s="7"/>
      <c r="N471" s="7"/>
      <c r="O471" s="7"/>
    </row>
    <row r="472">
      <c r="I472" s="7"/>
      <c r="J472" s="7"/>
      <c r="K472" s="7"/>
      <c r="L472" s="7"/>
      <c r="M472" s="7"/>
      <c r="N472" s="7"/>
      <c r="O472" s="7"/>
    </row>
    <row r="473">
      <c r="I473" s="7"/>
      <c r="J473" s="7"/>
      <c r="K473" s="7"/>
      <c r="L473" s="7"/>
      <c r="M473" s="7"/>
      <c r="N473" s="7"/>
      <c r="O473" s="7"/>
    </row>
    <row r="474">
      <c r="I474" s="7"/>
      <c r="J474" s="7"/>
      <c r="K474" s="7"/>
      <c r="L474" s="7"/>
      <c r="M474" s="7"/>
      <c r="N474" s="7"/>
      <c r="O474" s="7"/>
    </row>
    <row r="475">
      <c r="I475" s="7"/>
      <c r="J475" s="7"/>
      <c r="K475" s="7"/>
      <c r="L475" s="7"/>
      <c r="M475" s="7"/>
      <c r="N475" s="7"/>
      <c r="O475" s="7"/>
    </row>
    <row r="476">
      <c r="I476" s="7"/>
      <c r="J476" s="7"/>
      <c r="K476" s="7"/>
      <c r="L476" s="7"/>
      <c r="M476" s="7"/>
      <c r="N476" s="7"/>
      <c r="O476" s="7"/>
    </row>
    <row r="477">
      <c r="I477" s="7"/>
      <c r="J477" s="7"/>
      <c r="K477" s="7"/>
      <c r="L477" s="7"/>
      <c r="M477" s="7"/>
      <c r="N477" s="7"/>
      <c r="O477" s="7"/>
    </row>
    <row r="478">
      <c r="I478" s="7"/>
      <c r="J478" s="7"/>
      <c r="K478" s="7"/>
      <c r="L478" s="7"/>
      <c r="M478" s="7"/>
      <c r="N478" s="7"/>
      <c r="O478" s="7"/>
    </row>
    <row r="479">
      <c r="I479" s="7"/>
      <c r="J479" s="7"/>
      <c r="K479" s="7"/>
      <c r="L479" s="7"/>
      <c r="M479" s="7"/>
      <c r="N479" s="7"/>
      <c r="O479" s="7"/>
    </row>
    <row r="480">
      <c r="I480" s="7"/>
      <c r="J480" s="7"/>
      <c r="K480" s="7"/>
      <c r="L480" s="7"/>
      <c r="M480" s="7"/>
      <c r="N480" s="7"/>
      <c r="O480" s="7"/>
    </row>
    <row r="481">
      <c r="I481" s="7"/>
      <c r="J481" s="7"/>
      <c r="K481" s="7"/>
      <c r="L481" s="7"/>
      <c r="M481" s="7"/>
      <c r="N481" s="7"/>
      <c r="O481" s="7"/>
    </row>
    <row r="482">
      <c r="I482" s="7"/>
      <c r="J482" s="7"/>
      <c r="K482" s="7"/>
      <c r="L482" s="7"/>
      <c r="M482" s="7"/>
      <c r="N482" s="7"/>
      <c r="O482" s="7"/>
    </row>
    <row r="483">
      <c r="I483" s="7"/>
      <c r="J483" s="7"/>
      <c r="K483" s="7"/>
      <c r="L483" s="7"/>
      <c r="M483" s="7"/>
      <c r="N483" s="7"/>
      <c r="O483" s="7"/>
    </row>
    <row r="484">
      <c r="I484" s="7"/>
      <c r="J484" s="7"/>
      <c r="K484" s="7"/>
      <c r="L484" s="7"/>
      <c r="M484" s="7"/>
      <c r="N484" s="7"/>
      <c r="O484" s="7"/>
    </row>
    <row r="485">
      <c r="I485" s="7"/>
      <c r="J485" s="7"/>
      <c r="K485" s="7"/>
      <c r="L485" s="7"/>
      <c r="M485" s="7"/>
      <c r="N485" s="7"/>
      <c r="O485" s="7"/>
    </row>
    <row r="486">
      <c r="I486" s="7"/>
      <c r="J486" s="7"/>
      <c r="K486" s="7"/>
      <c r="L486" s="7"/>
      <c r="M486" s="7"/>
      <c r="N486" s="7"/>
      <c r="O486" s="7"/>
    </row>
    <row r="487">
      <c r="I487" s="7"/>
      <c r="J487" s="7"/>
      <c r="K487" s="7"/>
      <c r="L487" s="7"/>
      <c r="M487" s="7"/>
      <c r="N487" s="7"/>
      <c r="O487" s="7"/>
    </row>
    <row r="488">
      <c r="I488" s="7"/>
      <c r="J488" s="7"/>
      <c r="K488" s="7"/>
      <c r="L488" s="7"/>
      <c r="M488" s="7"/>
      <c r="N488" s="7"/>
      <c r="O488" s="7"/>
    </row>
    <row r="489">
      <c r="I489" s="7"/>
      <c r="J489" s="7"/>
      <c r="K489" s="7"/>
      <c r="L489" s="7"/>
      <c r="M489" s="7"/>
      <c r="N489" s="7"/>
      <c r="O489" s="7"/>
    </row>
    <row r="490">
      <c r="I490" s="7"/>
      <c r="J490" s="7"/>
      <c r="K490" s="7"/>
      <c r="L490" s="7"/>
      <c r="M490" s="7"/>
      <c r="N490" s="7"/>
      <c r="O490" s="7"/>
    </row>
    <row r="491">
      <c r="I491" s="7"/>
      <c r="J491" s="7"/>
      <c r="K491" s="7"/>
      <c r="L491" s="7"/>
      <c r="M491" s="7"/>
      <c r="N491" s="7"/>
      <c r="O491" s="7"/>
    </row>
    <row r="492">
      <c r="I492" s="7"/>
      <c r="J492" s="7"/>
      <c r="K492" s="7"/>
      <c r="L492" s="7"/>
      <c r="M492" s="7"/>
      <c r="N492" s="7"/>
      <c r="O492" s="7"/>
    </row>
    <row r="493">
      <c r="I493" s="7"/>
      <c r="J493" s="7"/>
      <c r="K493" s="7"/>
      <c r="L493" s="7"/>
      <c r="M493" s="7"/>
      <c r="N493" s="7"/>
      <c r="O493" s="7"/>
    </row>
    <row r="494">
      <c r="I494" s="7"/>
      <c r="J494" s="7"/>
      <c r="K494" s="7"/>
      <c r="L494" s="7"/>
      <c r="M494" s="7"/>
      <c r="N494" s="7"/>
      <c r="O494" s="7"/>
    </row>
    <row r="495">
      <c r="I495" s="7"/>
      <c r="J495" s="7"/>
      <c r="K495" s="7"/>
      <c r="L495" s="7"/>
      <c r="M495" s="7"/>
      <c r="N495" s="7"/>
      <c r="O495" s="7"/>
    </row>
    <row r="496">
      <c r="I496" s="7"/>
      <c r="J496" s="7"/>
      <c r="K496" s="7"/>
      <c r="L496" s="7"/>
      <c r="M496" s="7"/>
      <c r="N496" s="7"/>
      <c r="O496" s="7"/>
    </row>
    <row r="497">
      <c r="I497" s="7"/>
      <c r="J497" s="7"/>
      <c r="K497" s="7"/>
      <c r="L497" s="7"/>
      <c r="M497" s="7"/>
      <c r="N497" s="7"/>
      <c r="O497" s="7"/>
    </row>
    <row r="498">
      <c r="I498" s="7"/>
      <c r="J498" s="7"/>
      <c r="K498" s="7"/>
      <c r="L498" s="7"/>
      <c r="M498" s="7"/>
      <c r="N498" s="7"/>
      <c r="O498" s="7"/>
    </row>
    <row r="499">
      <c r="I499" s="7"/>
      <c r="J499" s="7"/>
      <c r="K499" s="7"/>
      <c r="L499" s="7"/>
      <c r="M499" s="7"/>
      <c r="N499" s="7"/>
      <c r="O499" s="7"/>
    </row>
    <row r="500">
      <c r="I500" s="7"/>
      <c r="J500" s="7"/>
      <c r="K500" s="7"/>
      <c r="L500" s="7"/>
      <c r="M500" s="7"/>
      <c r="N500" s="7"/>
      <c r="O500" s="7"/>
    </row>
    <row r="501">
      <c r="I501" s="7"/>
      <c r="J501" s="7"/>
      <c r="K501" s="7"/>
      <c r="L501" s="7"/>
      <c r="M501" s="7"/>
      <c r="N501" s="7"/>
      <c r="O501" s="7"/>
    </row>
    <row r="502">
      <c r="I502" s="7"/>
      <c r="J502" s="7"/>
      <c r="K502" s="7"/>
      <c r="L502" s="7"/>
      <c r="M502" s="7"/>
      <c r="N502" s="7"/>
      <c r="O502" s="7"/>
    </row>
    <row r="503">
      <c r="I503" s="7"/>
      <c r="J503" s="7"/>
      <c r="K503" s="7"/>
      <c r="L503" s="7"/>
      <c r="M503" s="7"/>
      <c r="N503" s="7"/>
      <c r="O503" s="7"/>
    </row>
    <row r="504">
      <c r="I504" s="7"/>
      <c r="J504" s="7"/>
      <c r="K504" s="7"/>
      <c r="L504" s="7"/>
      <c r="M504" s="7"/>
      <c r="N504" s="7"/>
      <c r="O504" s="7"/>
    </row>
    <row r="505">
      <c r="I505" s="7"/>
      <c r="J505" s="7"/>
      <c r="K505" s="7"/>
      <c r="L505" s="7"/>
      <c r="M505" s="7"/>
      <c r="N505" s="7"/>
      <c r="O505" s="7"/>
    </row>
    <row r="506">
      <c r="I506" s="7"/>
      <c r="J506" s="7"/>
      <c r="K506" s="7"/>
      <c r="L506" s="7"/>
      <c r="M506" s="7"/>
      <c r="N506" s="7"/>
      <c r="O506" s="7"/>
    </row>
    <row r="507">
      <c r="I507" s="7"/>
      <c r="J507" s="7"/>
      <c r="K507" s="7"/>
      <c r="L507" s="7"/>
      <c r="M507" s="7"/>
      <c r="N507" s="7"/>
      <c r="O507" s="7"/>
    </row>
    <row r="508">
      <c r="I508" s="7"/>
      <c r="J508" s="7"/>
      <c r="K508" s="7"/>
      <c r="L508" s="7"/>
      <c r="M508" s="7"/>
      <c r="N508" s="7"/>
      <c r="O508" s="7"/>
    </row>
    <row r="509">
      <c r="I509" s="7"/>
      <c r="J509" s="7"/>
      <c r="K509" s="7"/>
      <c r="L509" s="7"/>
      <c r="M509" s="7"/>
      <c r="N509" s="7"/>
      <c r="O509" s="7"/>
    </row>
    <row r="510">
      <c r="I510" s="7"/>
      <c r="J510" s="7"/>
      <c r="K510" s="7"/>
      <c r="L510" s="7"/>
      <c r="M510" s="7"/>
      <c r="N510" s="7"/>
      <c r="O510" s="7"/>
    </row>
    <row r="511">
      <c r="I511" s="7"/>
      <c r="J511" s="7"/>
      <c r="K511" s="7"/>
      <c r="L511" s="7"/>
      <c r="M511" s="7"/>
      <c r="N511" s="7"/>
      <c r="O511" s="7"/>
    </row>
    <row r="512">
      <c r="I512" s="7"/>
      <c r="J512" s="7"/>
      <c r="K512" s="7"/>
      <c r="L512" s="7"/>
      <c r="M512" s="7"/>
      <c r="N512" s="7"/>
      <c r="O512" s="7"/>
    </row>
    <row r="513">
      <c r="I513" s="7"/>
      <c r="J513" s="7"/>
      <c r="K513" s="7"/>
      <c r="L513" s="7"/>
      <c r="M513" s="7"/>
      <c r="N513" s="7"/>
      <c r="O513" s="7"/>
    </row>
    <row r="514">
      <c r="I514" s="7"/>
      <c r="J514" s="7"/>
      <c r="K514" s="7"/>
      <c r="L514" s="7"/>
      <c r="M514" s="7"/>
      <c r="N514" s="7"/>
      <c r="O514" s="7"/>
    </row>
    <row r="515">
      <c r="I515" s="7"/>
      <c r="J515" s="7"/>
      <c r="K515" s="7"/>
      <c r="L515" s="7"/>
      <c r="M515" s="7"/>
      <c r="N515" s="7"/>
      <c r="O515" s="7"/>
    </row>
    <row r="516">
      <c r="I516" s="7"/>
      <c r="J516" s="7"/>
      <c r="K516" s="7"/>
      <c r="L516" s="7"/>
      <c r="M516" s="7"/>
      <c r="N516" s="7"/>
      <c r="O516" s="7"/>
    </row>
    <row r="517">
      <c r="I517" s="7"/>
      <c r="J517" s="7"/>
      <c r="K517" s="7"/>
      <c r="L517" s="7"/>
      <c r="M517" s="7"/>
      <c r="N517" s="7"/>
      <c r="O517" s="7"/>
    </row>
    <row r="518">
      <c r="I518" s="7"/>
      <c r="J518" s="7"/>
      <c r="K518" s="7"/>
      <c r="L518" s="7"/>
      <c r="M518" s="7"/>
      <c r="N518" s="7"/>
      <c r="O518" s="7"/>
    </row>
    <row r="519">
      <c r="I519" s="7"/>
      <c r="J519" s="7"/>
      <c r="K519" s="7"/>
      <c r="L519" s="7"/>
      <c r="M519" s="7"/>
      <c r="N519" s="7"/>
      <c r="O519" s="7"/>
    </row>
    <row r="520">
      <c r="I520" s="7"/>
      <c r="J520" s="7"/>
      <c r="K520" s="7"/>
      <c r="L520" s="7"/>
      <c r="M520" s="7"/>
      <c r="N520" s="7"/>
      <c r="O520" s="7"/>
    </row>
    <row r="521">
      <c r="I521" s="7"/>
      <c r="J521" s="7"/>
      <c r="K521" s="7"/>
      <c r="L521" s="7"/>
      <c r="M521" s="7"/>
      <c r="N521" s="7"/>
      <c r="O521" s="7"/>
    </row>
    <row r="522">
      <c r="I522" s="7"/>
      <c r="J522" s="7"/>
      <c r="K522" s="7"/>
      <c r="L522" s="7"/>
      <c r="M522" s="7"/>
      <c r="N522" s="7"/>
      <c r="O522" s="7"/>
    </row>
    <row r="523">
      <c r="I523" s="7"/>
      <c r="J523" s="7"/>
      <c r="K523" s="7"/>
      <c r="L523" s="7"/>
      <c r="M523" s="7"/>
      <c r="N523" s="7"/>
      <c r="O523" s="7"/>
    </row>
    <row r="524">
      <c r="I524" s="7"/>
      <c r="J524" s="7"/>
      <c r="K524" s="7"/>
      <c r="L524" s="7"/>
      <c r="M524" s="7"/>
      <c r="N524" s="7"/>
      <c r="O524" s="7"/>
    </row>
    <row r="525">
      <c r="I525" s="7"/>
      <c r="J525" s="7"/>
      <c r="K525" s="7"/>
      <c r="L525" s="7"/>
      <c r="M525" s="7"/>
      <c r="N525" s="7"/>
      <c r="O525" s="7"/>
    </row>
    <row r="526">
      <c r="I526" s="7"/>
      <c r="J526" s="7"/>
      <c r="K526" s="7"/>
      <c r="L526" s="7"/>
      <c r="M526" s="7"/>
      <c r="N526" s="7"/>
      <c r="O526" s="7"/>
    </row>
    <row r="527">
      <c r="I527" s="7"/>
      <c r="J527" s="7"/>
      <c r="K527" s="7"/>
      <c r="L527" s="7"/>
      <c r="M527" s="7"/>
      <c r="N527" s="7"/>
      <c r="O527" s="7"/>
    </row>
    <row r="528">
      <c r="I528" s="7"/>
      <c r="J528" s="7"/>
      <c r="K528" s="7"/>
      <c r="L528" s="7"/>
      <c r="M528" s="7"/>
      <c r="N528" s="7"/>
      <c r="O528" s="7"/>
    </row>
    <row r="529">
      <c r="I529" s="7"/>
      <c r="J529" s="7"/>
      <c r="K529" s="7"/>
      <c r="L529" s="7"/>
      <c r="M529" s="7"/>
      <c r="N529" s="7"/>
      <c r="O529" s="7"/>
    </row>
    <row r="530">
      <c r="I530" s="7"/>
      <c r="J530" s="7"/>
      <c r="K530" s="7"/>
      <c r="L530" s="7"/>
      <c r="M530" s="7"/>
      <c r="N530" s="7"/>
      <c r="O530" s="7"/>
    </row>
    <row r="531">
      <c r="I531" s="7"/>
      <c r="J531" s="7"/>
      <c r="K531" s="7"/>
      <c r="L531" s="7"/>
      <c r="M531" s="7"/>
      <c r="N531" s="7"/>
      <c r="O531" s="7"/>
    </row>
    <row r="532">
      <c r="I532" s="7"/>
      <c r="J532" s="7"/>
      <c r="K532" s="7"/>
      <c r="L532" s="7"/>
      <c r="M532" s="7"/>
      <c r="N532" s="7"/>
      <c r="O532" s="7"/>
    </row>
    <row r="533">
      <c r="I533" s="7"/>
      <c r="J533" s="7"/>
      <c r="K533" s="7"/>
      <c r="L533" s="7"/>
      <c r="M533" s="7"/>
      <c r="N533" s="7"/>
      <c r="O533" s="7"/>
    </row>
    <row r="534">
      <c r="I534" s="7"/>
      <c r="J534" s="7"/>
      <c r="K534" s="7"/>
      <c r="L534" s="7"/>
      <c r="M534" s="7"/>
      <c r="N534" s="7"/>
      <c r="O534" s="7"/>
    </row>
    <row r="535">
      <c r="I535" s="7"/>
      <c r="J535" s="7"/>
      <c r="K535" s="7"/>
      <c r="L535" s="7"/>
      <c r="M535" s="7"/>
      <c r="N535" s="7"/>
      <c r="O535" s="7"/>
    </row>
    <row r="536">
      <c r="I536" s="7"/>
      <c r="J536" s="7"/>
      <c r="K536" s="7"/>
      <c r="L536" s="7"/>
      <c r="M536" s="7"/>
      <c r="N536" s="7"/>
      <c r="O536" s="7"/>
    </row>
    <row r="537">
      <c r="I537" s="7"/>
      <c r="J537" s="7"/>
      <c r="K537" s="7"/>
      <c r="L537" s="7"/>
      <c r="M537" s="7"/>
      <c r="N537" s="7"/>
      <c r="O537" s="7"/>
    </row>
    <row r="538">
      <c r="I538" s="7"/>
      <c r="J538" s="7"/>
      <c r="K538" s="7"/>
      <c r="L538" s="7"/>
      <c r="M538" s="7"/>
      <c r="N538" s="7"/>
      <c r="O538" s="7"/>
    </row>
    <row r="539">
      <c r="I539" s="7"/>
      <c r="J539" s="7"/>
      <c r="K539" s="7"/>
      <c r="L539" s="7"/>
      <c r="M539" s="7"/>
      <c r="N539" s="7"/>
      <c r="O539" s="7"/>
    </row>
    <row r="540">
      <c r="I540" s="7"/>
      <c r="J540" s="7"/>
      <c r="K540" s="7"/>
      <c r="L540" s="7"/>
      <c r="M540" s="7"/>
      <c r="N540" s="7"/>
      <c r="O540" s="7"/>
    </row>
    <row r="541">
      <c r="I541" s="7"/>
      <c r="J541" s="7"/>
      <c r="K541" s="7"/>
      <c r="L541" s="7"/>
      <c r="M541" s="7"/>
      <c r="N541" s="7"/>
      <c r="O541" s="7"/>
    </row>
    <row r="542">
      <c r="I542" s="7"/>
      <c r="J542" s="7"/>
      <c r="K542" s="7"/>
      <c r="L542" s="7"/>
      <c r="M542" s="7"/>
      <c r="N542" s="7"/>
      <c r="O542" s="7"/>
    </row>
    <row r="543">
      <c r="I543" s="7"/>
      <c r="J543" s="7"/>
      <c r="K543" s="7"/>
      <c r="L543" s="7"/>
      <c r="M543" s="7"/>
      <c r="N543" s="7"/>
      <c r="O543" s="7"/>
    </row>
    <row r="544">
      <c r="I544" s="7"/>
      <c r="J544" s="7"/>
      <c r="K544" s="7"/>
      <c r="L544" s="7"/>
      <c r="M544" s="7"/>
      <c r="N544" s="7"/>
      <c r="O544" s="7"/>
    </row>
    <row r="545">
      <c r="I545" s="7"/>
      <c r="J545" s="7"/>
      <c r="K545" s="7"/>
      <c r="L545" s="7"/>
      <c r="M545" s="7"/>
      <c r="N545" s="7"/>
      <c r="O545" s="7"/>
    </row>
    <row r="546">
      <c r="I546" s="7"/>
      <c r="J546" s="7"/>
      <c r="K546" s="7"/>
      <c r="L546" s="7"/>
      <c r="M546" s="7"/>
      <c r="N546" s="7"/>
      <c r="O546" s="7"/>
    </row>
    <row r="547">
      <c r="I547" s="7"/>
      <c r="J547" s="7"/>
      <c r="K547" s="7"/>
      <c r="L547" s="7"/>
      <c r="M547" s="7"/>
      <c r="N547" s="7"/>
      <c r="O547" s="7"/>
    </row>
    <row r="548">
      <c r="I548" s="7"/>
      <c r="J548" s="7"/>
      <c r="K548" s="7"/>
      <c r="L548" s="7"/>
      <c r="M548" s="7"/>
      <c r="N548" s="7"/>
      <c r="O548" s="7"/>
    </row>
    <row r="549">
      <c r="I549" s="7"/>
      <c r="J549" s="7"/>
      <c r="K549" s="7"/>
      <c r="L549" s="7"/>
      <c r="M549" s="7"/>
      <c r="N549" s="7"/>
      <c r="O549" s="7"/>
    </row>
    <row r="550">
      <c r="I550" s="7"/>
      <c r="J550" s="7"/>
      <c r="K550" s="7"/>
      <c r="L550" s="7"/>
      <c r="M550" s="7"/>
      <c r="N550" s="7"/>
      <c r="O550" s="7"/>
    </row>
    <row r="551">
      <c r="I551" s="7"/>
      <c r="J551" s="7"/>
      <c r="K551" s="7"/>
      <c r="L551" s="7"/>
      <c r="M551" s="7"/>
      <c r="N551" s="7"/>
      <c r="O551" s="7"/>
    </row>
    <row r="552">
      <c r="I552" s="7"/>
      <c r="J552" s="7"/>
      <c r="K552" s="7"/>
      <c r="L552" s="7"/>
      <c r="M552" s="7"/>
      <c r="N552" s="7"/>
      <c r="O552" s="7"/>
    </row>
    <row r="553">
      <c r="I553" s="7"/>
      <c r="J553" s="7"/>
      <c r="K553" s="7"/>
      <c r="L553" s="7"/>
      <c r="M553" s="7"/>
      <c r="N553" s="7"/>
      <c r="O553" s="7"/>
    </row>
    <row r="554">
      <c r="I554" s="7"/>
      <c r="J554" s="7"/>
      <c r="K554" s="7"/>
      <c r="L554" s="7"/>
      <c r="M554" s="7"/>
      <c r="N554" s="7"/>
      <c r="O554" s="7"/>
    </row>
    <row r="555">
      <c r="I555" s="7"/>
      <c r="J555" s="7"/>
      <c r="K555" s="7"/>
      <c r="L555" s="7"/>
      <c r="M555" s="7"/>
      <c r="N555" s="7"/>
      <c r="O555" s="7"/>
    </row>
    <row r="556">
      <c r="I556" s="7"/>
      <c r="J556" s="7"/>
      <c r="K556" s="7"/>
      <c r="L556" s="7"/>
      <c r="M556" s="7"/>
      <c r="N556" s="7"/>
      <c r="O556" s="7"/>
    </row>
    <row r="557">
      <c r="I557" s="7"/>
      <c r="J557" s="7"/>
      <c r="K557" s="7"/>
      <c r="L557" s="7"/>
      <c r="M557" s="7"/>
      <c r="N557" s="7"/>
      <c r="O557" s="7"/>
    </row>
    <row r="558">
      <c r="I558" s="7"/>
      <c r="J558" s="7"/>
      <c r="K558" s="7"/>
      <c r="L558" s="7"/>
      <c r="M558" s="7"/>
      <c r="N558" s="7"/>
      <c r="O558" s="7"/>
    </row>
    <row r="559">
      <c r="I559" s="7"/>
      <c r="J559" s="7"/>
      <c r="K559" s="7"/>
      <c r="L559" s="7"/>
      <c r="M559" s="7"/>
      <c r="N559" s="7"/>
      <c r="O559" s="7"/>
    </row>
    <row r="560">
      <c r="I560" s="7"/>
      <c r="J560" s="7"/>
      <c r="K560" s="7"/>
      <c r="L560" s="7"/>
      <c r="M560" s="7"/>
      <c r="N560" s="7"/>
      <c r="O560" s="7"/>
    </row>
    <row r="561">
      <c r="I561" s="7"/>
      <c r="J561" s="7"/>
      <c r="K561" s="7"/>
      <c r="L561" s="7"/>
      <c r="M561" s="7"/>
      <c r="N561" s="7"/>
      <c r="O561" s="7"/>
    </row>
    <row r="562">
      <c r="I562" s="7"/>
      <c r="J562" s="7"/>
      <c r="K562" s="7"/>
      <c r="L562" s="7"/>
      <c r="M562" s="7"/>
      <c r="N562" s="7"/>
      <c r="O562" s="7"/>
    </row>
    <row r="563">
      <c r="I563" s="7"/>
      <c r="J563" s="7"/>
      <c r="K563" s="7"/>
      <c r="L563" s="7"/>
      <c r="M563" s="7"/>
      <c r="N563" s="7"/>
      <c r="O563" s="7"/>
    </row>
    <row r="564">
      <c r="I564" s="7"/>
      <c r="J564" s="7"/>
      <c r="K564" s="7"/>
      <c r="L564" s="7"/>
      <c r="M564" s="7"/>
      <c r="N564" s="7"/>
      <c r="O564" s="7"/>
    </row>
    <row r="565">
      <c r="I565" s="7"/>
      <c r="J565" s="7"/>
      <c r="K565" s="7"/>
      <c r="L565" s="7"/>
      <c r="M565" s="7"/>
      <c r="N565" s="7"/>
      <c r="O565" s="7"/>
    </row>
    <row r="566">
      <c r="I566" s="7"/>
      <c r="J566" s="7"/>
      <c r="K566" s="7"/>
      <c r="L566" s="7"/>
      <c r="M566" s="7"/>
      <c r="N566" s="7"/>
      <c r="O566" s="7"/>
    </row>
    <row r="567">
      <c r="I567" s="7"/>
      <c r="J567" s="7"/>
      <c r="K567" s="7"/>
      <c r="L567" s="7"/>
      <c r="M567" s="7"/>
      <c r="N567" s="7"/>
      <c r="O567" s="7"/>
    </row>
    <row r="568">
      <c r="I568" s="7"/>
      <c r="J568" s="7"/>
      <c r="K568" s="7"/>
      <c r="L568" s="7"/>
      <c r="M568" s="7"/>
      <c r="N568" s="7"/>
      <c r="O568" s="7"/>
    </row>
    <row r="569">
      <c r="I569" s="7"/>
      <c r="J569" s="7"/>
      <c r="K569" s="7"/>
      <c r="L569" s="7"/>
      <c r="M569" s="7"/>
      <c r="N569" s="7"/>
      <c r="O569" s="7"/>
    </row>
    <row r="570">
      <c r="I570" s="7"/>
      <c r="J570" s="7"/>
      <c r="K570" s="7"/>
      <c r="L570" s="7"/>
      <c r="M570" s="7"/>
      <c r="N570" s="7"/>
      <c r="O570" s="7"/>
    </row>
    <row r="571">
      <c r="I571" s="7"/>
      <c r="J571" s="7"/>
      <c r="K571" s="7"/>
      <c r="L571" s="7"/>
      <c r="M571" s="7"/>
      <c r="N571" s="7"/>
      <c r="O571" s="7"/>
    </row>
    <row r="572">
      <c r="I572" s="7"/>
      <c r="J572" s="7"/>
      <c r="K572" s="7"/>
      <c r="L572" s="7"/>
      <c r="M572" s="7"/>
      <c r="N572" s="7"/>
      <c r="O572" s="7"/>
    </row>
    <row r="573">
      <c r="I573" s="7"/>
      <c r="J573" s="7"/>
      <c r="K573" s="7"/>
      <c r="L573" s="7"/>
      <c r="M573" s="7"/>
      <c r="N573" s="7"/>
      <c r="O573" s="7"/>
    </row>
    <row r="574">
      <c r="I574" s="7"/>
      <c r="J574" s="7"/>
      <c r="K574" s="7"/>
      <c r="L574" s="7"/>
      <c r="M574" s="7"/>
      <c r="N574" s="7"/>
      <c r="O574" s="7"/>
    </row>
    <row r="575">
      <c r="I575" s="7"/>
      <c r="J575" s="7"/>
      <c r="K575" s="7"/>
      <c r="L575" s="7"/>
      <c r="M575" s="7"/>
      <c r="N575" s="7"/>
      <c r="O575" s="7"/>
    </row>
    <row r="576">
      <c r="I576" s="7"/>
      <c r="J576" s="7"/>
      <c r="K576" s="7"/>
      <c r="L576" s="7"/>
      <c r="M576" s="7"/>
      <c r="N576" s="7"/>
      <c r="O576" s="7"/>
    </row>
    <row r="577">
      <c r="I577" s="7"/>
      <c r="J577" s="7"/>
      <c r="K577" s="7"/>
      <c r="L577" s="7"/>
      <c r="M577" s="7"/>
      <c r="N577" s="7"/>
      <c r="O577" s="7"/>
    </row>
    <row r="578">
      <c r="I578" s="7"/>
      <c r="J578" s="7"/>
      <c r="K578" s="7"/>
      <c r="L578" s="7"/>
      <c r="M578" s="7"/>
      <c r="N578" s="7"/>
      <c r="O578" s="7"/>
    </row>
    <row r="579">
      <c r="I579" s="7"/>
      <c r="J579" s="7"/>
      <c r="K579" s="7"/>
      <c r="L579" s="7"/>
      <c r="M579" s="7"/>
      <c r="N579" s="7"/>
      <c r="O579" s="7"/>
    </row>
    <row r="580">
      <c r="I580" s="7"/>
      <c r="J580" s="7"/>
      <c r="K580" s="7"/>
      <c r="L580" s="7"/>
      <c r="M580" s="7"/>
      <c r="N580" s="7"/>
      <c r="O580" s="7"/>
    </row>
    <row r="581">
      <c r="I581" s="7"/>
      <c r="J581" s="7"/>
      <c r="K581" s="7"/>
      <c r="L581" s="7"/>
      <c r="M581" s="7"/>
      <c r="N581" s="7"/>
      <c r="O581" s="7"/>
    </row>
    <row r="582">
      <c r="I582" s="7"/>
      <c r="J582" s="7"/>
      <c r="K582" s="7"/>
      <c r="L582" s="7"/>
      <c r="M582" s="7"/>
      <c r="N582" s="7"/>
      <c r="O582" s="7"/>
    </row>
    <row r="583">
      <c r="I583" s="7"/>
      <c r="J583" s="7"/>
      <c r="K583" s="7"/>
      <c r="L583" s="7"/>
      <c r="M583" s="7"/>
      <c r="N583" s="7"/>
      <c r="O583" s="7"/>
    </row>
    <row r="584">
      <c r="I584" s="7"/>
      <c r="J584" s="7"/>
      <c r="K584" s="7"/>
      <c r="L584" s="7"/>
      <c r="M584" s="7"/>
      <c r="N584" s="7"/>
      <c r="O584" s="7"/>
    </row>
    <row r="585">
      <c r="I585" s="7"/>
      <c r="J585" s="7"/>
      <c r="K585" s="7"/>
      <c r="L585" s="7"/>
      <c r="M585" s="7"/>
      <c r="N585" s="7"/>
      <c r="O585" s="7"/>
    </row>
    <row r="586">
      <c r="I586" s="7"/>
      <c r="J586" s="7"/>
      <c r="K586" s="7"/>
      <c r="L586" s="7"/>
      <c r="M586" s="7"/>
      <c r="N586" s="7"/>
      <c r="O586" s="7"/>
    </row>
    <row r="587">
      <c r="I587" s="7"/>
      <c r="J587" s="7"/>
      <c r="K587" s="7"/>
      <c r="L587" s="7"/>
      <c r="M587" s="7"/>
      <c r="N587" s="7"/>
      <c r="O587" s="7"/>
    </row>
    <row r="588">
      <c r="I588" s="7"/>
      <c r="J588" s="7"/>
      <c r="K588" s="7"/>
      <c r="L588" s="7"/>
      <c r="M588" s="7"/>
      <c r="N588" s="7"/>
      <c r="O588" s="7"/>
    </row>
    <row r="589">
      <c r="I589" s="7"/>
      <c r="J589" s="7"/>
      <c r="K589" s="7"/>
      <c r="L589" s="7"/>
      <c r="M589" s="7"/>
      <c r="N589" s="7"/>
      <c r="O589" s="7"/>
    </row>
    <row r="590">
      <c r="I590" s="7"/>
      <c r="J590" s="7"/>
      <c r="K590" s="7"/>
      <c r="L590" s="7"/>
      <c r="M590" s="7"/>
      <c r="N590" s="7"/>
      <c r="O590" s="7"/>
    </row>
    <row r="591">
      <c r="I591" s="7"/>
      <c r="J591" s="7"/>
      <c r="K591" s="7"/>
      <c r="L591" s="7"/>
      <c r="M591" s="7"/>
      <c r="N591" s="7"/>
      <c r="O591" s="7"/>
    </row>
    <row r="592">
      <c r="I592" s="7"/>
      <c r="J592" s="7"/>
      <c r="K592" s="7"/>
      <c r="L592" s="7"/>
      <c r="M592" s="7"/>
      <c r="N592" s="7"/>
      <c r="O592" s="7"/>
    </row>
    <row r="593">
      <c r="I593" s="7"/>
      <c r="J593" s="7"/>
      <c r="K593" s="7"/>
      <c r="L593" s="7"/>
      <c r="M593" s="7"/>
      <c r="N593" s="7"/>
      <c r="O593" s="7"/>
    </row>
    <row r="594">
      <c r="I594" s="7"/>
      <c r="J594" s="7"/>
      <c r="K594" s="7"/>
      <c r="L594" s="7"/>
      <c r="M594" s="7"/>
      <c r="N594" s="7"/>
      <c r="O594" s="7"/>
    </row>
    <row r="595">
      <c r="I595" s="7"/>
      <c r="J595" s="7"/>
      <c r="K595" s="7"/>
      <c r="L595" s="7"/>
      <c r="M595" s="7"/>
      <c r="N595" s="7"/>
      <c r="O595" s="7"/>
    </row>
    <row r="596">
      <c r="I596" s="7"/>
      <c r="J596" s="7"/>
      <c r="K596" s="7"/>
      <c r="L596" s="7"/>
      <c r="M596" s="7"/>
      <c r="N596" s="7"/>
      <c r="O596" s="7"/>
    </row>
    <row r="597">
      <c r="I597" s="7"/>
      <c r="J597" s="7"/>
      <c r="K597" s="7"/>
      <c r="L597" s="7"/>
      <c r="M597" s="7"/>
      <c r="N597" s="7"/>
      <c r="O597" s="7"/>
    </row>
    <row r="598">
      <c r="I598" s="7"/>
      <c r="J598" s="7"/>
      <c r="K598" s="7"/>
      <c r="L598" s="7"/>
      <c r="M598" s="7"/>
      <c r="N598" s="7"/>
      <c r="O598" s="7"/>
    </row>
    <row r="599">
      <c r="I599" s="7"/>
      <c r="J599" s="7"/>
      <c r="K599" s="7"/>
      <c r="L599" s="7"/>
      <c r="M599" s="7"/>
      <c r="N599" s="7"/>
      <c r="O599" s="7"/>
    </row>
    <row r="600">
      <c r="I600" s="7"/>
      <c r="J600" s="7"/>
      <c r="K600" s="7"/>
      <c r="L600" s="7"/>
      <c r="M600" s="7"/>
      <c r="N600" s="7"/>
      <c r="O600" s="7"/>
    </row>
    <row r="601">
      <c r="I601" s="7"/>
      <c r="J601" s="7"/>
      <c r="K601" s="7"/>
      <c r="L601" s="7"/>
      <c r="M601" s="7"/>
      <c r="N601" s="7"/>
      <c r="O601" s="7"/>
    </row>
    <row r="602">
      <c r="I602" s="7"/>
      <c r="J602" s="7"/>
      <c r="K602" s="7"/>
      <c r="L602" s="7"/>
      <c r="M602" s="7"/>
      <c r="N602" s="7"/>
      <c r="O602" s="7"/>
    </row>
    <row r="603">
      <c r="I603" s="7"/>
      <c r="J603" s="7"/>
      <c r="K603" s="7"/>
      <c r="L603" s="7"/>
      <c r="M603" s="7"/>
      <c r="N603" s="7"/>
      <c r="O603" s="7"/>
    </row>
    <row r="604">
      <c r="I604" s="7"/>
      <c r="J604" s="7"/>
      <c r="K604" s="7"/>
      <c r="L604" s="7"/>
      <c r="M604" s="7"/>
      <c r="N604" s="7"/>
      <c r="O604" s="7"/>
    </row>
    <row r="605">
      <c r="I605" s="7"/>
      <c r="J605" s="7"/>
      <c r="K605" s="7"/>
      <c r="L605" s="7"/>
      <c r="M605" s="7"/>
      <c r="N605" s="7"/>
      <c r="O605" s="7"/>
    </row>
    <row r="606">
      <c r="I606" s="7"/>
      <c r="J606" s="7"/>
      <c r="K606" s="7"/>
      <c r="L606" s="7"/>
      <c r="M606" s="7"/>
      <c r="N606" s="7"/>
      <c r="O606" s="7"/>
    </row>
    <row r="607">
      <c r="I607" s="7"/>
      <c r="J607" s="7"/>
      <c r="K607" s="7"/>
      <c r="L607" s="7"/>
      <c r="M607" s="7"/>
      <c r="N607" s="7"/>
      <c r="O607" s="7"/>
    </row>
    <row r="608">
      <c r="I608" s="7"/>
      <c r="J608" s="7"/>
      <c r="K608" s="7"/>
      <c r="L608" s="7"/>
      <c r="M608" s="7"/>
      <c r="N608" s="7"/>
      <c r="O608" s="7"/>
    </row>
    <row r="609">
      <c r="I609" s="7"/>
      <c r="J609" s="7"/>
      <c r="K609" s="7"/>
      <c r="L609" s="7"/>
      <c r="M609" s="7"/>
      <c r="N609" s="7"/>
      <c r="O609" s="7"/>
    </row>
    <row r="610">
      <c r="I610" s="7"/>
      <c r="J610" s="7"/>
      <c r="K610" s="7"/>
      <c r="L610" s="7"/>
      <c r="M610" s="7"/>
      <c r="N610" s="7"/>
      <c r="O610" s="7"/>
    </row>
    <row r="611">
      <c r="I611" s="7"/>
      <c r="J611" s="7"/>
      <c r="K611" s="7"/>
      <c r="L611" s="7"/>
      <c r="M611" s="7"/>
      <c r="N611" s="7"/>
      <c r="O611" s="7"/>
    </row>
    <row r="612">
      <c r="I612" s="7"/>
      <c r="J612" s="7"/>
      <c r="K612" s="7"/>
      <c r="L612" s="7"/>
      <c r="M612" s="7"/>
      <c r="N612" s="7"/>
      <c r="O612" s="7"/>
    </row>
    <row r="613">
      <c r="I613" s="7"/>
      <c r="J613" s="7"/>
      <c r="K613" s="7"/>
      <c r="L613" s="7"/>
      <c r="M613" s="7"/>
      <c r="N613" s="7"/>
      <c r="O613" s="7"/>
    </row>
    <row r="614">
      <c r="I614" s="7"/>
      <c r="J614" s="7"/>
      <c r="K614" s="7"/>
      <c r="L614" s="7"/>
      <c r="M614" s="7"/>
      <c r="N614" s="7"/>
      <c r="O614" s="7"/>
    </row>
    <row r="615">
      <c r="I615" s="7"/>
      <c r="J615" s="7"/>
      <c r="K615" s="7"/>
      <c r="L615" s="7"/>
      <c r="M615" s="7"/>
      <c r="N615" s="7"/>
      <c r="O615" s="7"/>
    </row>
    <row r="616">
      <c r="I616" s="7"/>
      <c r="J616" s="7"/>
      <c r="K616" s="7"/>
      <c r="L616" s="7"/>
      <c r="M616" s="7"/>
      <c r="N616" s="7"/>
      <c r="O616" s="7"/>
    </row>
    <row r="617">
      <c r="I617" s="7"/>
      <c r="J617" s="7"/>
      <c r="K617" s="7"/>
      <c r="L617" s="7"/>
      <c r="M617" s="7"/>
      <c r="N617" s="7"/>
      <c r="O617" s="7"/>
    </row>
    <row r="618">
      <c r="I618" s="7"/>
      <c r="J618" s="7"/>
      <c r="K618" s="7"/>
      <c r="L618" s="7"/>
      <c r="M618" s="7"/>
      <c r="N618" s="7"/>
      <c r="O618" s="7"/>
    </row>
    <row r="619">
      <c r="I619" s="7"/>
      <c r="J619" s="7"/>
      <c r="K619" s="7"/>
      <c r="L619" s="7"/>
      <c r="M619" s="7"/>
      <c r="N619" s="7"/>
      <c r="O619" s="7"/>
    </row>
    <row r="620">
      <c r="I620" s="7"/>
      <c r="J620" s="7"/>
      <c r="K620" s="7"/>
      <c r="L620" s="7"/>
      <c r="M620" s="7"/>
      <c r="N620" s="7"/>
      <c r="O620" s="7"/>
    </row>
    <row r="621">
      <c r="I621" s="7"/>
      <c r="J621" s="7"/>
      <c r="K621" s="7"/>
      <c r="L621" s="7"/>
      <c r="M621" s="7"/>
      <c r="N621" s="7"/>
      <c r="O621" s="7"/>
    </row>
    <row r="622">
      <c r="I622" s="7"/>
      <c r="J622" s="7"/>
      <c r="K622" s="7"/>
      <c r="L622" s="7"/>
      <c r="M622" s="7"/>
      <c r="N622" s="7"/>
      <c r="O622" s="7"/>
    </row>
    <row r="623">
      <c r="I623" s="7"/>
      <c r="J623" s="7"/>
      <c r="K623" s="7"/>
      <c r="L623" s="7"/>
      <c r="M623" s="7"/>
      <c r="N623" s="7"/>
      <c r="O623" s="7"/>
    </row>
    <row r="624">
      <c r="I624" s="7"/>
      <c r="J624" s="7"/>
      <c r="K624" s="7"/>
      <c r="L624" s="7"/>
      <c r="M624" s="7"/>
      <c r="N624" s="7"/>
      <c r="O624" s="7"/>
    </row>
    <row r="625">
      <c r="I625" s="7"/>
      <c r="J625" s="7"/>
      <c r="K625" s="7"/>
      <c r="L625" s="7"/>
      <c r="M625" s="7"/>
      <c r="N625" s="7"/>
      <c r="O625" s="7"/>
    </row>
    <row r="626">
      <c r="I626" s="7"/>
      <c r="J626" s="7"/>
      <c r="K626" s="7"/>
      <c r="L626" s="7"/>
      <c r="M626" s="7"/>
      <c r="N626" s="7"/>
      <c r="O626" s="7"/>
    </row>
    <row r="627">
      <c r="I627" s="7"/>
      <c r="J627" s="7"/>
      <c r="K627" s="7"/>
      <c r="L627" s="7"/>
      <c r="M627" s="7"/>
      <c r="N627" s="7"/>
      <c r="O627" s="7"/>
    </row>
    <row r="628">
      <c r="I628" s="7"/>
      <c r="J628" s="7"/>
      <c r="K628" s="7"/>
      <c r="L628" s="7"/>
      <c r="M628" s="7"/>
      <c r="N628" s="7"/>
      <c r="O628" s="7"/>
    </row>
    <row r="629">
      <c r="I629" s="7"/>
      <c r="J629" s="7"/>
      <c r="K629" s="7"/>
      <c r="L629" s="7"/>
      <c r="M629" s="7"/>
      <c r="N629" s="7"/>
      <c r="O629" s="7"/>
    </row>
    <row r="630">
      <c r="I630" s="7"/>
      <c r="J630" s="7"/>
      <c r="K630" s="7"/>
      <c r="L630" s="7"/>
      <c r="M630" s="7"/>
      <c r="N630" s="7"/>
      <c r="O630" s="7"/>
    </row>
    <row r="631">
      <c r="I631" s="7"/>
      <c r="J631" s="7"/>
      <c r="K631" s="7"/>
      <c r="L631" s="7"/>
      <c r="M631" s="7"/>
      <c r="N631" s="7"/>
      <c r="O631" s="7"/>
    </row>
    <row r="632">
      <c r="I632" s="7"/>
      <c r="J632" s="7"/>
      <c r="K632" s="7"/>
      <c r="L632" s="7"/>
      <c r="M632" s="7"/>
      <c r="N632" s="7"/>
      <c r="O632" s="7"/>
    </row>
    <row r="633">
      <c r="I633" s="7"/>
      <c r="J633" s="7"/>
      <c r="K633" s="7"/>
      <c r="L633" s="7"/>
      <c r="M633" s="7"/>
      <c r="N633" s="7"/>
      <c r="O633" s="7"/>
    </row>
    <row r="634">
      <c r="I634" s="7"/>
      <c r="J634" s="7"/>
      <c r="K634" s="7"/>
      <c r="L634" s="7"/>
      <c r="M634" s="7"/>
      <c r="N634" s="7"/>
      <c r="O634" s="7"/>
    </row>
    <row r="635">
      <c r="I635" s="7"/>
      <c r="J635" s="7"/>
      <c r="K635" s="7"/>
      <c r="L635" s="7"/>
      <c r="M635" s="7"/>
      <c r="N635" s="7"/>
      <c r="O635" s="7"/>
    </row>
    <row r="636">
      <c r="I636" s="7"/>
      <c r="J636" s="7"/>
      <c r="K636" s="7"/>
      <c r="L636" s="7"/>
      <c r="M636" s="7"/>
      <c r="N636" s="7"/>
      <c r="O636" s="7"/>
    </row>
    <row r="637">
      <c r="I637" s="7"/>
      <c r="J637" s="7"/>
      <c r="K637" s="7"/>
      <c r="L637" s="7"/>
      <c r="M637" s="7"/>
      <c r="N637" s="7"/>
      <c r="O637" s="7"/>
    </row>
    <row r="638">
      <c r="I638" s="7"/>
      <c r="J638" s="7"/>
      <c r="K638" s="7"/>
      <c r="L638" s="7"/>
      <c r="M638" s="7"/>
      <c r="N638" s="7"/>
      <c r="O638" s="7"/>
    </row>
    <row r="639">
      <c r="I639" s="7"/>
      <c r="J639" s="7"/>
      <c r="K639" s="7"/>
      <c r="L639" s="7"/>
      <c r="M639" s="7"/>
      <c r="N639" s="7"/>
      <c r="O639" s="7"/>
    </row>
    <row r="640">
      <c r="I640" s="7"/>
      <c r="J640" s="7"/>
      <c r="K640" s="7"/>
      <c r="L640" s="7"/>
      <c r="M640" s="7"/>
      <c r="N640" s="7"/>
      <c r="O640" s="7"/>
    </row>
    <row r="641">
      <c r="I641" s="7"/>
      <c r="J641" s="7"/>
      <c r="K641" s="7"/>
      <c r="L641" s="7"/>
      <c r="M641" s="7"/>
      <c r="N641" s="7"/>
      <c r="O641" s="7"/>
    </row>
    <row r="642">
      <c r="I642" s="7"/>
      <c r="J642" s="7"/>
      <c r="K642" s="7"/>
      <c r="L642" s="7"/>
      <c r="M642" s="7"/>
      <c r="N642" s="7"/>
      <c r="O642" s="7"/>
    </row>
    <row r="643">
      <c r="I643" s="7"/>
      <c r="J643" s="7"/>
      <c r="K643" s="7"/>
      <c r="L643" s="7"/>
      <c r="M643" s="7"/>
      <c r="N643" s="7"/>
      <c r="O643" s="7"/>
    </row>
    <row r="644">
      <c r="I644" s="7"/>
      <c r="J644" s="7"/>
      <c r="K644" s="7"/>
      <c r="L644" s="7"/>
      <c r="M644" s="7"/>
      <c r="N644" s="7"/>
      <c r="O644" s="7"/>
    </row>
    <row r="645">
      <c r="I645" s="7"/>
      <c r="J645" s="7"/>
      <c r="K645" s="7"/>
      <c r="L645" s="7"/>
      <c r="M645" s="7"/>
      <c r="N645" s="7"/>
      <c r="O645" s="7"/>
    </row>
    <row r="646">
      <c r="I646" s="7"/>
      <c r="J646" s="7"/>
      <c r="K646" s="7"/>
      <c r="L646" s="7"/>
      <c r="M646" s="7"/>
      <c r="N646" s="7"/>
      <c r="O646" s="7"/>
    </row>
    <row r="647">
      <c r="I647" s="7"/>
      <c r="J647" s="7"/>
      <c r="K647" s="7"/>
      <c r="L647" s="7"/>
      <c r="M647" s="7"/>
      <c r="N647" s="7"/>
      <c r="O647" s="7"/>
    </row>
    <row r="648">
      <c r="I648" s="7"/>
      <c r="J648" s="7"/>
      <c r="K648" s="7"/>
      <c r="L648" s="7"/>
      <c r="M648" s="7"/>
      <c r="N648" s="7"/>
      <c r="O648" s="7"/>
    </row>
    <row r="649">
      <c r="I649" s="7"/>
      <c r="J649" s="7"/>
      <c r="K649" s="7"/>
      <c r="L649" s="7"/>
      <c r="M649" s="7"/>
      <c r="N649" s="7"/>
      <c r="O649" s="7"/>
    </row>
    <row r="650">
      <c r="I650" s="7"/>
      <c r="J650" s="7"/>
      <c r="K650" s="7"/>
      <c r="L650" s="7"/>
      <c r="M650" s="7"/>
      <c r="N650" s="7"/>
      <c r="O650" s="7"/>
    </row>
    <row r="651">
      <c r="I651" s="7"/>
      <c r="J651" s="7"/>
      <c r="K651" s="7"/>
      <c r="L651" s="7"/>
      <c r="M651" s="7"/>
      <c r="N651" s="7"/>
      <c r="O651" s="7"/>
    </row>
    <row r="652">
      <c r="I652" s="7"/>
      <c r="J652" s="7"/>
      <c r="K652" s="7"/>
      <c r="L652" s="7"/>
      <c r="M652" s="7"/>
      <c r="N652" s="7"/>
      <c r="O652" s="7"/>
    </row>
    <row r="653">
      <c r="I653" s="7"/>
      <c r="J653" s="7"/>
      <c r="K653" s="7"/>
      <c r="L653" s="7"/>
      <c r="M653" s="7"/>
      <c r="N653" s="7"/>
      <c r="O653" s="7"/>
    </row>
    <row r="654">
      <c r="I654" s="7"/>
      <c r="J654" s="7"/>
      <c r="K654" s="7"/>
      <c r="L654" s="7"/>
      <c r="M654" s="7"/>
      <c r="N654" s="7"/>
      <c r="O654" s="7"/>
    </row>
    <row r="655">
      <c r="I655" s="7"/>
      <c r="J655" s="7"/>
      <c r="K655" s="7"/>
      <c r="L655" s="7"/>
      <c r="M655" s="7"/>
      <c r="N655" s="7"/>
      <c r="O655" s="7"/>
    </row>
    <row r="656">
      <c r="I656" s="7"/>
      <c r="J656" s="7"/>
      <c r="K656" s="7"/>
      <c r="L656" s="7"/>
      <c r="M656" s="7"/>
      <c r="N656" s="7"/>
      <c r="O656" s="7"/>
    </row>
    <row r="657">
      <c r="I657" s="7"/>
      <c r="J657" s="7"/>
      <c r="K657" s="7"/>
      <c r="L657" s="7"/>
      <c r="M657" s="7"/>
      <c r="N657" s="7"/>
      <c r="O657" s="7"/>
    </row>
    <row r="658">
      <c r="I658" s="7"/>
      <c r="J658" s="7"/>
      <c r="K658" s="7"/>
      <c r="L658" s="7"/>
      <c r="M658" s="7"/>
      <c r="N658" s="7"/>
      <c r="O658" s="7"/>
    </row>
    <row r="659">
      <c r="I659" s="7"/>
      <c r="J659" s="7"/>
      <c r="K659" s="7"/>
      <c r="L659" s="7"/>
      <c r="M659" s="7"/>
      <c r="N659" s="7"/>
      <c r="O659" s="7"/>
    </row>
    <row r="660">
      <c r="I660" s="7"/>
      <c r="J660" s="7"/>
      <c r="K660" s="7"/>
      <c r="L660" s="7"/>
      <c r="M660" s="7"/>
      <c r="N660" s="7"/>
      <c r="O660" s="7"/>
    </row>
    <row r="661">
      <c r="I661" s="7"/>
      <c r="J661" s="7"/>
      <c r="K661" s="7"/>
      <c r="L661" s="7"/>
      <c r="M661" s="7"/>
      <c r="N661" s="7"/>
      <c r="O661" s="7"/>
    </row>
    <row r="662">
      <c r="I662" s="7"/>
      <c r="J662" s="7"/>
      <c r="K662" s="7"/>
      <c r="L662" s="7"/>
      <c r="M662" s="7"/>
      <c r="N662" s="7"/>
      <c r="O662" s="7"/>
    </row>
    <row r="663">
      <c r="I663" s="7"/>
      <c r="J663" s="7"/>
      <c r="K663" s="7"/>
      <c r="L663" s="7"/>
      <c r="M663" s="7"/>
      <c r="N663" s="7"/>
      <c r="O663" s="7"/>
    </row>
    <row r="664">
      <c r="I664" s="7"/>
      <c r="J664" s="7"/>
      <c r="K664" s="7"/>
      <c r="L664" s="7"/>
      <c r="M664" s="7"/>
      <c r="N664" s="7"/>
      <c r="O664" s="7"/>
    </row>
    <row r="665">
      <c r="I665" s="7"/>
      <c r="J665" s="7"/>
      <c r="K665" s="7"/>
      <c r="L665" s="7"/>
      <c r="M665" s="7"/>
      <c r="N665" s="7"/>
      <c r="O665" s="7"/>
    </row>
    <row r="666">
      <c r="I666" s="7"/>
      <c r="J666" s="7"/>
      <c r="K666" s="7"/>
      <c r="L666" s="7"/>
      <c r="M666" s="7"/>
      <c r="N666" s="7"/>
      <c r="O666" s="7"/>
    </row>
    <row r="667">
      <c r="I667" s="7"/>
      <c r="J667" s="7"/>
      <c r="K667" s="7"/>
      <c r="L667" s="7"/>
      <c r="M667" s="7"/>
      <c r="N667" s="7"/>
      <c r="O667" s="7"/>
    </row>
    <row r="668">
      <c r="I668" s="7"/>
      <c r="J668" s="7"/>
      <c r="K668" s="7"/>
      <c r="L668" s="7"/>
      <c r="M668" s="7"/>
      <c r="N668" s="7"/>
      <c r="O668" s="7"/>
    </row>
    <row r="669">
      <c r="I669" s="7"/>
      <c r="J669" s="7"/>
      <c r="K669" s="7"/>
      <c r="L669" s="7"/>
      <c r="M669" s="7"/>
      <c r="N669" s="7"/>
      <c r="O669" s="7"/>
    </row>
    <row r="670">
      <c r="I670" s="7"/>
      <c r="J670" s="7"/>
      <c r="K670" s="7"/>
      <c r="L670" s="7"/>
      <c r="M670" s="7"/>
      <c r="N670" s="7"/>
      <c r="O670" s="7"/>
    </row>
    <row r="671">
      <c r="I671" s="7"/>
      <c r="J671" s="7"/>
      <c r="K671" s="7"/>
      <c r="L671" s="7"/>
      <c r="M671" s="7"/>
      <c r="N671" s="7"/>
      <c r="O671" s="7"/>
    </row>
    <row r="672">
      <c r="I672" s="7"/>
      <c r="J672" s="7"/>
      <c r="K672" s="7"/>
      <c r="L672" s="7"/>
      <c r="M672" s="7"/>
      <c r="N672" s="7"/>
      <c r="O672" s="7"/>
    </row>
    <row r="673">
      <c r="I673" s="7"/>
      <c r="J673" s="7"/>
      <c r="K673" s="7"/>
      <c r="L673" s="7"/>
      <c r="M673" s="7"/>
      <c r="N673" s="7"/>
      <c r="O673" s="7"/>
    </row>
    <row r="674">
      <c r="I674" s="7"/>
      <c r="J674" s="7"/>
      <c r="K674" s="7"/>
      <c r="L674" s="7"/>
      <c r="M674" s="7"/>
      <c r="N674" s="7"/>
      <c r="O674" s="7"/>
    </row>
    <row r="675">
      <c r="I675" s="7"/>
      <c r="J675" s="7"/>
      <c r="K675" s="7"/>
      <c r="L675" s="7"/>
      <c r="M675" s="7"/>
      <c r="N675" s="7"/>
      <c r="O675" s="7"/>
    </row>
    <row r="676">
      <c r="I676" s="7"/>
      <c r="J676" s="7"/>
      <c r="K676" s="7"/>
      <c r="L676" s="7"/>
      <c r="M676" s="7"/>
      <c r="N676" s="7"/>
      <c r="O676" s="7"/>
    </row>
    <row r="677">
      <c r="I677" s="7"/>
      <c r="J677" s="7"/>
      <c r="K677" s="7"/>
      <c r="L677" s="7"/>
      <c r="M677" s="7"/>
      <c r="N677" s="7"/>
      <c r="O677" s="7"/>
    </row>
    <row r="678">
      <c r="I678" s="7"/>
      <c r="J678" s="7"/>
      <c r="K678" s="7"/>
      <c r="L678" s="7"/>
      <c r="M678" s="7"/>
      <c r="N678" s="7"/>
      <c r="O678" s="7"/>
    </row>
    <row r="679">
      <c r="I679" s="7"/>
      <c r="J679" s="7"/>
      <c r="K679" s="7"/>
      <c r="L679" s="7"/>
      <c r="M679" s="7"/>
      <c r="N679" s="7"/>
      <c r="O679" s="7"/>
    </row>
    <row r="680">
      <c r="I680" s="7"/>
      <c r="J680" s="7"/>
      <c r="K680" s="7"/>
      <c r="L680" s="7"/>
      <c r="M680" s="7"/>
      <c r="N680" s="7"/>
      <c r="O680" s="7"/>
    </row>
    <row r="681">
      <c r="I681" s="7"/>
      <c r="J681" s="7"/>
      <c r="K681" s="7"/>
      <c r="L681" s="7"/>
      <c r="M681" s="7"/>
      <c r="N681" s="7"/>
      <c r="O681" s="7"/>
    </row>
    <row r="682">
      <c r="I682" s="7"/>
      <c r="J682" s="7"/>
      <c r="K682" s="7"/>
      <c r="L682" s="7"/>
      <c r="M682" s="7"/>
      <c r="N682" s="7"/>
      <c r="O682" s="7"/>
    </row>
    <row r="683">
      <c r="I683" s="7"/>
      <c r="J683" s="7"/>
      <c r="K683" s="7"/>
      <c r="L683" s="7"/>
      <c r="M683" s="7"/>
      <c r="N683" s="7"/>
      <c r="O683" s="7"/>
    </row>
    <row r="684">
      <c r="I684" s="7"/>
      <c r="J684" s="7"/>
      <c r="K684" s="7"/>
      <c r="L684" s="7"/>
      <c r="M684" s="7"/>
      <c r="N684" s="7"/>
      <c r="O684" s="7"/>
    </row>
    <row r="685">
      <c r="I685" s="7"/>
      <c r="J685" s="7"/>
      <c r="K685" s="7"/>
      <c r="L685" s="7"/>
      <c r="M685" s="7"/>
      <c r="N685" s="7"/>
      <c r="O685" s="7"/>
    </row>
    <row r="686">
      <c r="I686" s="7"/>
      <c r="J686" s="7"/>
      <c r="K686" s="7"/>
      <c r="L686" s="7"/>
      <c r="M686" s="7"/>
      <c r="N686" s="7"/>
      <c r="O686" s="7"/>
    </row>
    <row r="687">
      <c r="I687" s="7"/>
      <c r="J687" s="7"/>
      <c r="K687" s="7"/>
      <c r="L687" s="7"/>
      <c r="M687" s="7"/>
      <c r="N687" s="7"/>
      <c r="O687" s="7"/>
    </row>
    <row r="688">
      <c r="I688" s="7"/>
      <c r="J688" s="7"/>
      <c r="K688" s="7"/>
      <c r="L688" s="7"/>
      <c r="M688" s="7"/>
      <c r="N688" s="7"/>
      <c r="O688" s="7"/>
    </row>
    <row r="689">
      <c r="I689" s="7"/>
      <c r="J689" s="7"/>
      <c r="K689" s="7"/>
      <c r="L689" s="7"/>
      <c r="M689" s="7"/>
      <c r="N689" s="7"/>
      <c r="O689" s="7"/>
    </row>
    <row r="690">
      <c r="I690" s="7"/>
      <c r="J690" s="7"/>
      <c r="K690" s="7"/>
      <c r="L690" s="7"/>
      <c r="M690" s="7"/>
      <c r="N690" s="7"/>
      <c r="O690" s="7"/>
    </row>
    <row r="691">
      <c r="I691" s="7"/>
      <c r="J691" s="7"/>
      <c r="K691" s="7"/>
      <c r="L691" s="7"/>
      <c r="M691" s="7"/>
      <c r="N691" s="7"/>
      <c r="O691" s="7"/>
    </row>
    <row r="692">
      <c r="I692" s="7"/>
      <c r="J692" s="7"/>
      <c r="K692" s="7"/>
      <c r="L692" s="7"/>
      <c r="M692" s="7"/>
      <c r="N692" s="7"/>
      <c r="O692" s="7"/>
    </row>
    <row r="693">
      <c r="I693" s="7"/>
      <c r="J693" s="7"/>
      <c r="K693" s="7"/>
      <c r="L693" s="7"/>
      <c r="M693" s="7"/>
      <c r="N693" s="7"/>
      <c r="O693" s="7"/>
    </row>
    <row r="694">
      <c r="I694" s="7"/>
      <c r="J694" s="7"/>
      <c r="K694" s="7"/>
      <c r="L694" s="7"/>
      <c r="M694" s="7"/>
      <c r="N694" s="7"/>
      <c r="O694" s="7"/>
    </row>
    <row r="695">
      <c r="I695" s="7"/>
      <c r="J695" s="7"/>
      <c r="K695" s="7"/>
      <c r="L695" s="7"/>
      <c r="M695" s="7"/>
      <c r="N695" s="7"/>
      <c r="O695" s="7"/>
    </row>
    <row r="696">
      <c r="I696" s="7"/>
      <c r="J696" s="7"/>
      <c r="K696" s="7"/>
      <c r="L696" s="7"/>
      <c r="M696" s="7"/>
      <c r="N696" s="7"/>
      <c r="O696" s="7"/>
    </row>
    <row r="697">
      <c r="I697" s="7"/>
      <c r="J697" s="7"/>
      <c r="K697" s="7"/>
      <c r="L697" s="7"/>
      <c r="M697" s="7"/>
      <c r="N697" s="7"/>
      <c r="O697" s="7"/>
    </row>
    <row r="698">
      <c r="I698" s="7"/>
      <c r="J698" s="7"/>
      <c r="K698" s="7"/>
      <c r="L698" s="7"/>
      <c r="M698" s="7"/>
      <c r="N698" s="7"/>
      <c r="O698" s="7"/>
    </row>
    <row r="699">
      <c r="I699" s="7"/>
      <c r="J699" s="7"/>
      <c r="K699" s="7"/>
      <c r="L699" s="7"/>
      <c r="M699" s="7"/>
      <c r="N699" s="7"/>
      <c r="O699" s="7"/>
    </row>
    <row r="700">
      <c r="I700" s="7"/>
      <c r="J700" s="7"/>
      <c r="K700" s="7"/>
      <c r="L700" s="7"/>
      <c r="M700" s="7"/>
      <c r="N700" s="7"/>
      <c r="O700" s="7"/>
    </row>
    <row r="701">
      <c r="I701" s="7"/>
      <c r="J701" s="7"/>
      <c r="K701" s="7"/>
      <c r="L701" s="7"/>
      <c r="M701" s="7"/>
      <c r="N701" s="7"/>
      <c r="O701" s="7"/>
    </row>
    <row r="702">
      <c r="I702" s="7"/>
      <c r="J702" s="7"/>
      <c r="K702" s="7"/>
      <c r="L702" s="7"/>
      <c r="M702" s="7"/>
      <c r="N702" s="7"/>
      <c r="O702" s="7"/>
    </row>
    <row r="703">
      <c r="I703" s="7"/>
      <c r="J703" s="7"/>
      <c r="K703" s="7"/>
      <c r="L703" s="7"/>
      <c r="M703" s="7"/>
      <c r="N703" s="7"/>
      <c r="O703" s="7"/>
    </row>
    <row r="704">
      <c r="I704" s="7"/>
      <c r="J704" s="7"/>
      <c r="K704" s="7"/>
      <c r="L704" s="7"/>
      <c r="M704" s="7"/>
      <c r="N704" s="7"/>
      <c r="O704" s="7"/>
    </row>
    <row r="705">
      <c r="I705" s="7"/>
      <c r="J705" s="7"/>
      <c r="K705" s="7"/>
      <c r="L705" s="7"/>
      <c r="M705" s="7"/>
      <c r="N705" s="7"/>
      <c r="O705" s="7"/>
    </row>
    <row r="706">
      <c r="I706" s="7"/>
      <c r="J706" s="7"/>
      <c r="K706" s="7"/>
      <c r="L706" s="7"/>
      <c r="M706" s="7"/>
      <c r="N706" s="7"/>
      <c r="O706" s="7"/>
    </row>
    <row r="707">
      <c r="I707" s="7"/>
      <c r="J707" s="7"/>
      <c r="K707" s="7"/>
      <c r="L707" s="7"/>
      <c r="M707" s="7"/>
      <c r="N707" s="7"/>
      <c r="O707" s="7"/>
    </row>
    <row r="708">
      <c r="I708" s="7"/>
      <c r="J708" s="7"/>
      <c r="K708" s="7"/>
      <c r="L708" s="7"/>
      <c r="M708" s="7"/>
      <c r="N708" s="7"/>
      <c r="O708" s="7"/>
    </row>
    <row r="709">
      <c r="I709" s="7"/>
      <c r="J709" s="7"/>
      <c r="K709" s="7"/>
      <c r="L709" s="7"/>
      <c r="M709" s="7"/>
      <c r="N709" s="7"/>
      <c r="O709" s="7"/>
    </row>
    <row r="710">
      <c r="I710" s="7"/>
      <c r="J710" s="7"/>
      <c r="K710" s="7"/>
      <c r="L710" s="7"/>
      <c r="M710" s="7"/>
      <c r="N710" s="7"/>
      <c r="O710" s="7"/>
    </row>
    <row r="711">
      <c r="I711" s="7"/>
      <c r="J711" s="7"/>
      <c r="K711" s="7"/>
      <c r="L711" s="7"/>
      <c r="M711" s="7"/>
      <c r="N711" s="7"/>
      <c r="O711" s="7"/>
    </row>
    <row r="712">
      <c r="I712" s="7"/>
      <c r="J712" s="7"/>
      <c r="K712" s="7"/>
      <c r="L712" s="7"/>
      <c r="M712" s="7"/>
      <c r="N712" s="7"/>
      <c r="O712" s="7"/>
    </row>
    <row r="713">
      <c r="I713" s="7"/>
      <c r="J713" s="7"/>
      <c r="K713" s="7"/>
      <c r="L713" s="7"/>
      <c r="M713" s="7"/>
      <c r="N713" s="7"/>
      <c r="O713" s="7"/>
    </row>
    <row r="714">
      <c r="I714" s="7"/>
      <c r="J714" s="7"/>
      <c r="K714" s="7"/>
      <c r="L714" s="7"/>
      <c r="M714" s="7"/>
      <c r="N714" s="7"/>
      <c r="O714" s="7"/>
    </row>
    <row r="715">
      <c r="I715" s="7"/>
      <c r="J715" s="7"/>
      <c r="K715" s="7"/>
      <c r="L715" s="7"/>
      <c r="M715" s="7"/>
      <c r="N715" s="7"/>
      <c r="O715" s="7"/>
    </row>
    <row r="716">
      <c r="I716" s="7"/>
      <c r="J716" s="7"/>
      <c r="K716" s="7"/>
      <c r="L716" s="7"/>
      <c r="M716" s="7"/>
      <c r="N716" s="7"/>
      <c r="O716" s="7"/>
    </row>
    <row r="717">
      <c r="I717" s="7"/>
      <c r="J717" s="7"/>
      <c r="K717" s="7"/>
      <c r="L717" s="7"/>
      <c r="M717" s="7"/>
      <c r="N717" s="7"/>
      <c r="O717" s="7"/>
    </row>
    <row r="718">
      <c r="I718" s="7"/>
      <c r="J718" s="7"/>
      <c r="K718" s="7"/>
      <c r="L718" s="7"/>
      <c r="M718" s="7"/>
      <c r="N718" s="7"/>
      <c r="O718" s="7"/>
    </row>
    <row r="719">
      <c r="I719" s="7"/>
      <c r="J719" s="7"/>
      <c r="K719" s="7"/>
      <c r="L719" s="7"/>
      <c r="M719" s="7"/>
      <c r="N719" s="7"/>
      <c r="O719" s="7"/>
    </row>
    <row r="720">
      <c r="I720" s="7"/>
      <c r="J720" s="7"/>
      <c r="K720" s="7"/>
      <c r="L720" s="7"/>
      <c r="M720" s="7"/>
      <c r="N720" s="7"/>
      <c r="O720" s="7"/>
    </row>
    <row r="721">
      <c r="I721" s="7"/>
      <c r="J721" s="7"/>
      <c r="K721" s="7"/>
      <c r="L721" s="7"/>
      <c r="M721" s="7"/>
      <c r="N721" s="7"/>
      <c r="O721" s="7"/>
    </row>
    <row r="722">
      <c r="I722" s="7"/>
      <c r="J722" s="7"/>
      <c r="K722" s="7"/>
      <c r="L722" s="7"/>
      <c r="M722" s="7"/>
      <c r="N722" s="7"/>
      <c r="O722" s="7"/>
    </row>
    <row r="723">
      <c r="I723" s="7"/>
      <c r="J723" s="7"/>
      <c r="K723" s="7"/>
      <c r="L723" s="7"/>
      <c r="M723" s="7"/>
      <c r="N723" s="7"/>
      <c r="O723" s="7"/>
    </row>
    <row r="724">
      <c r="I724" s="7"/>
      <c r="J724" s="7"/>
      <c r="K724" s="7"/>
      <c r="L724" s="7"/>
      <c r="M724" s="7"/>
      <c r="N724" s="7"/>
      <c r="O724" s="7"/>
    </row>
    <row r="725">
      <c r="I725" s="7"/>
      <c r="J725" s="7"/>
      <c r="K725" s="7"/>
      <c r="L725" s="7"/>
      <c r="M725" s="7"/>
      <c r="N725" s="7"/>
      <c r="O725" s="7"/>
    </row>
    <row r="726">
      <c r="I726" s="7"/>
      <c r="J726" s="7"/>
      <c r="K726" s="7"/>
      <c r="L726" s="7"/>
      <c r="M726" s="7"/>
      <c r="N726" s="7"/>
      <c r="O726" s="7"/>
    </row>
    <row r="727">
      <c r="I727" s="7"/>
      <c r="J727" s="7"/>
      <c r="K727" s="7"/>
      <c r="L727" s="7"/>
      <c r="M727" s="7"/>
      <c r="N727" s="7"/>
      <c r="O727" s="7"/>
    </row>
    <row r="728">
      <c r="I728" s="7"/>
      <c r="J728" s="7"/>
      <c r="K728" s="7"/>
      <c r="L728" s="7"/>
      <c r="M728" s="7"/>
      <c r="N728" s="7"/>
      <c r="O728" s="7"/>
    </row>
    <row r="729">
      <c r="I729" s="7"/>
      <c r="J729" s="7"/>
      <c r="K729" s="7"/>
      <c r="L729" s="7"/>
      <c r="M729" s="7"/>
      <c r="N729" s="7"/>
      <c r="O729" s="7"/>
    </row>
    <row r="730">
      <c r="I730" s="7"/>
      <c r="J730" s="7"/>
      <c r="K730" s="7"/>
      <c r="L730" s="7"/>
      <c r="M730" s="7"/>
      <c r="N730" s="7"/>
      <c r="O730" s="7"/>
    </row>
    <row r="731">
      <c r="I731" s="7"/>
      <c r="J731" s="7"/>
      <c r="K731" s="7"/>
      <c r="L731" s="7"/>
      <c r="M731" s="7"/>
      <c r="N731" s="7"/>
      <c r="O731" s="7"/>
    </row>
    <row r="732">
      <c r="I732" s="7"/>
      <c r="J732" s="7"/>
      <c r="K732" s="7"/>
      <c r="L732" s="7"/>
      <c r="M732" s="7"/>
      <c r="N732" s="7"/>
      <c r="O732" s="7"/>
    </row>
    <row r="733">
      <c r="I733" s="7"/>
      <c r="J733" s="7"/>
      <c r="K733" s="7"/>
      <c r="L733" s="7"/>
      <c r="M733" s="7"/>
      <c r="N733" s="7"/>
      <c r="O733" s="7"/>
    </row>
    <row r="734">
      <c r="I734" s="7"/>
      <c r="J734" s="7"/>
      <c r="K734" s="7"/>
      <c r="L734" s="7"/>
      <c r="M734" s="7"/>
      <c r="N734" s="7"/>
      <c r="O734" s="7"/>
    </row>
    <row r="735">
      <c r="I735" s="7"/>
      <c r="J735" s="7"/>
      <c r="K735" s="7"/>
      <c r="L735" s="7"/>
      <c r="M735" s="7"/>
      <c r="N735" s="7"/>
      <c r="O735" s="7"/>
    </row>
    <row r="736">
      <c r="I736" s="7"/>
      <c r="J736" s="7"/>
      <c r="K736" s="7"/>
      <c r="L736" s="7"/>
      <c r="M736" s="7"/>
      <c r="N736" s="7"/>
      <c r="O736" s="7"/>
    </row>
    <row r="737">
      <c r="I737" s="7"/>
      <c r="J737" s="7"/>
      <c r="K737" s="7"/>
      <c r="L737" s="7"/>
      <c r="M737" s="7"/>
      <c r="N737" s="7"/>
      <c r="O737" s="7"/>
    </row>
    <row r="738">
      <c r="I738" s="7"/>
      <c r="J738" s="7"/>
      <c r="K738" s="7"/>
      <c r="L738" s="7"/>
      <c r="M738" s="7"/>
      <c r="N738" s="7"/>
      <c r="O738" s="7"/>
    </row>
    <row r="739">
      <c r="I739" s="7"/>
      <c r="J739" s="7"/>
      <c r="K739" s="7"/>
      <c r="L739" s="7"/>
      <c r="M739" s="7"/>
      <c r="N739" s="7"/>
      <c r="O739" s="7"/>
    </row>
    <row r="740">
      <c r="I740" s="7"/>
      <c r="J740" s="7"/>
      <c r="K740" s="7"/>
      <c r="L740" s="7"/>
      <c r="M740" s="7"/>
      <c r="N740" s="7"/>
      <c r="O740" s="7"/>
    </row>
    <row r="741">
      <c r="I741" s="7"/>
      <c r="J741" s="7"/>
      <c r="K741" s="7"/>
      <c r="L741" s="7"/>
      <c r="M741" s="7"/>
      <c r="N741" s="7"/>
      <c r="O741" s="7"/>
    </row>
    <row r="742">
      <c r="I742" s="7"/>
      <c r="J742" s="7"/>
      <c r="K742" s="7"/>
      <c r="L742" s="7"/>
      <c r="M742" s="7"/>
      <c r="N742" s="7"/>
      <c r="O742" s="7"/>
    </row>
    <row r="743">
      <c r="I743" s="7"/>
      <c r="J743" s="7"/>
      <c r="K743" s="7"/>
      <c r="L743" s="7"/>
      <c r="M743" s="7"/>
      <c r="N743" s="7"/>
      <c r="O743" s="7"/>
    </row>
    <row r="744">
      <c r="I744" s="7"/>
      <c r="J744" s="7"/>
      <c r="K744" s="7"/>
      <c r="L744" s="7"/>
      <c r="M744" s="7"/>
      <c r="N744" s="7"/>
      <c r="O744" s="7"/>
    </row>
    <row r="745">
      <c r="I745" s="7"/>
      <c r="J745" s="7"/>
      <c r="K745" s="7"/>
      <c r="L745" s="7"/>
      <c r="M745" s="7"/>
      <c r="N745" s="7"/>
      <c r="O745" s="7"/>
    </row>
    <row r="746">
      <c r="I746" s="7"/>
      <c r="J746" s="7"/>
      <c r="K746" s="7"/>
      <c r="L746" s="7"/>
      <c r="M746" s="7"/>
      <c r="N746" s="7"/>
      <c r="O746" s="7"/>
    </row>
    <row r="747">
      <c r="I747" s="7"/>
      <c r="J747" s="7"/>
      <c r="K747" s="7"/>
      <c r="L747" s="7"/>
      <c r="M747" s="7"/>
      <c r="N747" s="7"/>
      <c r="O747" s="7"/>
    </row>
    <row r="748">
      <c r="I748" s="7"/>
      <c r="J748" s="7"/>
      <c r="K748" s="7"/>
      <c r="L748" s="7"/>
      <c r="M748" s="7"/>
      <c r="N748" s="7"/>
      <c r="O748" s="7"/>
    </row>
    <row r="749">
      <c r="I749" s="7"/>
      <c r="J749" s="7"/>
      <c r="K749" s="7"/>
      <c r="L749" s="7"/>
      <c r="M749" s="7"/>
      <c r="N749" s="7"/>
      <c r="O749" s="7"/>
    </row>
    <row r="750">
      <c r="I750" s="7"/>
      <c r="J750" s="7"/>
      <c r="K750" s="7"/>
      <c r="L750" s="7"/>
      <c r="M750" s="7"/>
      <c r="N750" s="7"/>
      <c r="O750" s="7"/>
    </row>
    <row r="751">
      <c r="I751" s="7"/>
      <c r="J751" s="7"/>
      <c r="K751" s="7"/>
      <c r="L751" s="7"/>
      <c r="M751" s="7"/>
      <c r="N751" s="7"/>
      <c r="O751" s="7"/>
    </row>
    <row r="752">
      <c r="I752" s="7"/>
      <c r="J752" s="7"/>
      <c r="K752" s="7"/>
      <c r="L752" s="7"/>
      <c r="M752" s="7"/>
      <c r="N752" s="7"/>
      <c r="O752" s="7"/>
    </row>
    <row r="753">
      <c r="I753" s="7"/>
      <c r="J753" s="7"/>
      <c r="K753" s="7"/>
      <c r="L753" s="7"/>
      <c r="M753" s="7"/>
      <c r="N753" s="7"/>
      <c r="O753" s="7"/>
    </row>
    <row r="754">
      <c r="I754" s="7"/>
      <c r="J754" s="7"/>
      <c r="K754" s="7"/>
      <c r="L754" s="7"/>
      <c r="M754" s="7"/>
      <c r="N754" s="7"/>
      <c r="O754" s="7"/>
    </row>
    <row r="755">
      <c r="I755" s="7"/>
      <c r="J755" s="7"/>
      <c r="K755" s="7"/>
      <c r="L755" s="7"/>
      <c r="M755" s="7"/>
      <c r="N755" s="7"/>
      <c r="O755" s="7"/>
    </row>
    <row r="756">
      <c r="I756" s="7"/>
      <c r="J756" s="7"/>
      <c r="K756" s="7"/>
      <c r="L756" s="7"/>
      <c r="M756" s="7"/>
      <c r="N756" s="7"/>
      <c r="O756" s="7"/>
    </row>
    <row r="757">
      <c r="I757" s="7"/>
      <c r="J757" s="7"/>
      <c r="K757" s="7"/>
      <c r="L757" s="7"/>
      <c r="M757" s="7"/>
      <c r="N757" s="7"/>
      <c r="O757" s="7"/>
    </row>
    <row r="758">
      <c r="I758" s="7"/>
      <c r="J758" s="7"/>
      <c r="K758" s="7"/>
      <c r="L758" s="7"/>
      <c r="M758" s="7"/>
      <c r="N758" s="7"/>
      <c r="O758" s="7"/>
    </row>
    <row r="759">
      <c r="I759" s="7"/>
      <c r="J759" s="7"/>
      <c r="K759" s="7"/>
      <c r="L759" s="7"/>
      <c r="M759" s="7"/>
      <c r="N759" s="7"/>
      <c r="O759" s="7"/>
    </row>
    <row r="760">
      <c r="I760" s="7"/>
      <c r="J760" s="7"/>
      <c r="K760" s="7"/>
      <c r="L760" s="7"/>
      <c r="M760" s="7"/>
      <c r="N760" s="7"/>
      <c r="O760" s="7"/>
    </row>
    <row r="761">
      <c r="I761" s="7"/>
      <c r="J761" s="7"/>
      <c r="K761" s="7"/>
      <c r="L761" s="7"/>
      <c r="M761" s="7"/>
      <c r="N761" s="7"/>
      <c r="O761" s="7"/>
    </row>
    <row r="762">
      <c r="I762" s="7"/>
      <c r="J762" s="7"/>
      <c r="K762" s="7"/>
      <c r="L762" s="7"/>
      <c r="M762" s="7"/>
      <c r="N762" s="7"/>
      <c r="O762" s="7"/>
    </row>
    <row r="763">
      <c r="I763" s="7"/>
      <c r="J763" s="7"/>
      <c r="K763" s="7"/>
      <c r="L763" s="7"/>
      <c r="M763" s="7"/>
      <c r="N763" s="7"/>
      <c r="O763" s="7"/>
    </row>
    <row r="764">
      <c r="I764" s="7"/>
      <c r="J764" s="7"/>
      <c r="K764" s="7"/>
      <c r="L764" s="7"/>
      <c r="M764" s="7"/>
      <c r="N764" s="7"/>
      <c r="O764" s="7"/>
    </row>
    <row r="765">
      <c r="I765" s="7"/>
      <c r="J765" s="7"/>
      <c r="K765" s="7"/>
      <c r="L765" s="7"/>
      <c r="M765" s="7"/>
      <c r="N765" s="7"/>
      <c r="O765" s="7"/>
    </row>
    <row r="766">
      <c r="I766" s="7"/>
      <c r="J766" s="7"/>
      <c r="K766" s="7"/>
      <c r="L766" s="7"/>
      <c r="M766" s="7"/>
      <c r="N766" s="7"/>
      <c r="O766" s="7"/>
    </row>
    <row r="767">
      <c r="I767" s="7"/>
      <c r="J767" s="7"/>
      <c r="K767" s="7"/>
      <c r="L767" s="7"/>
      <c r="M767" s="7"/>
      <c r="N767" s="7"/>
      <c r="O767" s="7"/>
    </row>
    <row r="768">
      <c r="I768" s="7"/>
      <c r="J768" s="7"/>
      <c r="K768" s="7"/>
      <c r="L768" s="7"/>
      <c r="M768" s="7"/>
      <c r="N768" s="7"/>
      <c r="O768" s="7"/>
    </row>
    <row r="769">
      <c r="I769" s="7"/>
      <c r="J769" s="7"/>
      <c r="K769" s="7"/>
      <c r="L769" s="7"/>
      <c r="M769" s="7"/>
      <c r="N769" s="7"/>
      <c r="O769" s="7"/>
    </row>
    <row r="770">
      <c r="I770" s="7"/>
      <c r="J770" s="7"/>
      <c r="K770" s="7"/>
      <c r="L770" s="7"/>
      <c r="M770" s="7"/>
      <c r="N770" s="7"/>
      <c r="O770" s="7"/>
    </row>
    <row r="771">
      <c r="I771" s="7"/>
      <c r="J771" s="7"/>
      <c r="K771" s="7"/>
      <c r="L771" s="7"/>
      <c r="M771" s="7"/>
      <c r="N771" s="7"/>
      <c r="O771" s="7"/>
    </row>
    <row r="772">
      <c r="I772" s="7"/>
      <c r="J772" s="7"/>
      <c r="K772" s="7"/>
      <c r="L772" s="7"/>
      <c r="M772" s="7"/>
      <c r="N772" s="7"/>
      <c r="O772" s="7"/>
    </row>
    <row r="773">
      <c r="I773" s="7"/>
      <c r="J773" s="7"/>
      <c r="K773" s="7"/>
      <c r="L773" s="7"/>
      <c r="M773" s="7"/>
      <c r="N773" s="7"/>
      <c r="O773" s="7"/>
    </row>
    <row r="774">
      <c r="I774" s="7"/>
      <c r="J774" s="7"/>
      <c r="K774" s="7"/>
      <c r="L774" s="7"/>
      <c r="M774" s="7"/>
      <c r="N774" s="7"/>
      <c r="O774" s="7"/>
    </row>
    <row r="775">
      <c r="I775" s="7"/>
      <c r="J775" s="7"/>
      <c r="K775" s="7"/>
      <c r="L775" s="7"/>
      <c r="M775" s="7"/>
      <c r="N775" s="7"/>
      <c r="O775" s="7"/>
    </row>
    <row r="776">
      <c r="I776" s="7"/>
      <c r="J776" s="7"/>
      <c r="K776" s="7"/>
      <c r="L776" s="7"/>
      <c r="M776" s="7"/>
      <c r="N776" s="7"/>
      <c r="O776" s="7"/>
    </row>
    <row r="777">
      <c r="I777" s="7"/>
      <c r="J777" s="7"/>
      <c r="K777" s="7"/>
      <c r="L777" s="7"/>
      <c r="M777" s="7"/>
      <c r="N777" s="7"/>
      <c r="O777" s="7"/>
    </row>
    <row r="778">
      <c r="I778" s="7"/>
      <c r="J778" s="7"/>
      <c r="K778" s="7"/>
      <c r="L778" s="7"/>
      <c r="M778" s="7"/>
      <c r="N778" s="7"/>
      <c r="O778" s="7"/>
    </row>
    <row r="779">
      <c r="I779" s="7"/>
      <c r="J779" s="7"/>
      <c r="K779" s="7"/>
      <c r="L779" s="7"/>
      <c r="M779" s="7"/>
      <c r="N779" s="7"/>
      <c r="O779" s="7"/>
    </row>
    <row r="780">
      <c r="I780" s="7"/>
      <c r="J780" s="7"/>
      <c r="K780" s="7"/>
      <c r="L780" s="7"/>
      <c r="M780" s="7"/>
      <c r="N780" s="7"/>
      <c r="O780" s="7"/>
    </row>
    <row r="781">
      <c r="I781" s="7"/>
      <c r="J781" s="7"/>
      <c r="K781" s="7"/>
      <c r="L781" s="7"/>
      <c r="M781" s="7"/>
      <c r="N781" s="7"/>
      <c r="O781" s="7"/>
    </row>
    <row r="782">
      <c r="I782" s="7"/>
      <c r="J782" s="7"/>
      <c r="K782" s="7"/>
      <c r="L782" s="7"/>
      <c r="M782" s="7"/>
      <c r="N782" s="7"/>
      <c r="O782" s="7"/>
    </row>
    <row r="783">
      <c r="I783" s="7"/>
      <c r="J783" s="7"/>
      <c r="K783" s="7"/>
      <c r="L783" s="7"/>
      <c r="M783" s="7"/>
      <c r="N783" s="7"/>
      <c r="O783" s="7"/>
    </row>
    <row r="784">
      <c r="I784" s="7"/>
      <c r="J784" s="7"/>
      <c r="K784" s="7"/>
      <c r="L784" s="7"/>
      <c r="M784" s="7"/>
      <c r="N784" s="7"/>
      <c r="O784" s="7"/>
    </row>
    <row r="785">
      <c r="I785" s="7"/>
      <c r="J785" s="7"/>
      <c r="K785" s="7"/>
      <c r="L785" s="7"/>
      <c r="M785" s="7"/>
      <c r="N785" s="7"/>
      <c r="O785" s="7"/>
    </row>
    <row r="786">
      <c r="I786" s="7"/>
      <c r="J786" s="7"/>
      <c r="K786" s="7"/>
      <c r="L786" s="7"/>
      <c r="M786" s="7"/>
      <c r="N786" s="7"/>
      <c r="O786" s="7"/>
    </row>
    <row r="787">
      <c r="I787" s="7"/>
      <c r="J787" s="7"/>
      <c r="K787" s="7"/>
      <c r="L787" s="7"/>
      <c r="M787" s="7"/>
      <c r="N787" s="7"/>
      <c r="O787" s="7"/>
    </row>
    <row r="788">
      <c r="I788" s="7"/>
      <c r="J788" s="7"/>
      <c r="K788" s="7"/>
      <c r="L788" s="7"/>
      <c r="M788" s="7"/>
      <c r="N788" s="7"/>
      <c r="O788" s="7"/>
    </row>
    <row r="789">
      <c r="I789" s="7"/>
      <c r="J789" s="7"/>
      <c r="K789" s="7"/>
      <c r="L789" s="7"/>
      <c r="M789" s="7"/>
      <c r="N789" s="7"/>
      <c r="O789" s="7"/>
    </row>
    <row r="790">
      <c r="I790" s="7"/>
      <c r="J790" s="7"/>
      <c r="K790" s="7"/>
      <c r="L790" s="7"/>
      <c r="M790" s="7"/>
      <c r="N790" s="7"/>
      <c r="O790" s="7"/>
    </row>
    <row r="791">
      <c r="I791" s="7"/>
      <c r="J791" s="7"/>
      <c r="K791" s="7"/>
      <c r="L791" s="7"/>
      <c r="M791" s="7"/>
      <c r="N791" s="7"/>
      <c r="O791" s="7"/>
    </row>
    <row r="792">
      <c r="I792" s="7"/>
      <c r="J792" s="7"/>
      <c r="K792" s="7"/>
      <c r="L792" s="7"/>
      <c r="M792" s="7"/>
      <c r="N792" s="7"/>
      <c r="O792" s="7"/>
    </row>
    <row r="793">
      <c r="I793" s="7"/>
      <c r="J793" s="7"/>
      <c r="K793" s="7"/>
      <c r="L793" s="7"/>
      <c r="M793" s="7"/>
      <c r="N793" s="7"/>
      <c r="O793" s="7"/>
    </row>
    <row r="794">
      <c r="I794" s="7"/>
      <c r="J794" s="7"/>
      <c r="K794" s="7"/>
      <c r="L794" s="7"/>
      <c r="M794" s="7"/>
      <c r="N794" s="7"/>
      <c r="O794" s="7"/>
    </row>
    <row r="795">
      <c r="I795" s="7"/>
      <c r="J795" s="7"/>
      <c r="K795" s="7"/>
      <c r="L795" s="7"/>
      <c r="M795" s="7"/>
      <c r="N795" s="7"/>
      <c r="O795" s="7"/>
    </row>
    <row r="796">
      <c r="I796" s="7"/>
      <c r="J796" s="7"/>
      <c r="K796" s="7"/>
      <c r="L796" s="7"/>
      <c r="M796" s="7"/>
      <c r="N796" s="7"/>
      <c r="O796" s="7"/>
    </row>
    <row r="797">
      <c r="I797" s="7"/>
      <c r="J797" s="7"/>
      <c r="K797" s="7"/>
      <c r="L797" s="7"/>
      <c r="M797" s="7"/>
      <c r="N797" s="7"/>
      <c r="O797" s="7"/>
    </row>
    <row r="798">
      <c r="I798" s="7"/>
      <c r="J798" s="7"/>
      <c r="K798" s="7"/>
      <c r="L798" s="7"/>
      <c r="M798" s="7"/>
      <c r="N798" s="7"/>
      <c r="O798" s="7"/>
    </row>
    <row r="799">
      <c r="I799" s="7"/>
      <c r="J799" s="7"/>
      <c r="K799" s="7"/>
      <c r="L799" s="7"/>
      <c r="M799" s="7"/>
      <c r="N799" s="7"/>
      <c r="O799" s="7"/>
    </row>
    <row r="800">
      <c r="I800" s="7"/>
      <c r="J800" s="7"/>
      <c r="K800" s="7"/>
      <c r="L800" s="7"/>
      <c r="M800" s="7"/>
      <c r="N800" s="7"/>
      <c r="O800" s="7"/>
    </row>
    <row r="801">
      <c r="I801" s="7"/>
      <c r="J801" s="7"/>
      <c r="K801" s="7"/>
      <c r="L801" s="7"/>
      <c r="M801" s="7"/>
      <c r="N801" s="7"/>
      <c r="O801" s="7"/>
    </row>
    <row r="802">
      <c r="I802" s="7"/>
      <c r="J802" s="7"/>
      <c r="K802" s="7"/>
      <c r="L802" s="7"/>
      <c r="M802" s="7"/>
      <c r="N802" s="7"/>
      <c r="O802" s="7"/>
    </row>
    <row r="803">
      <c r="I803" s="7"/>
      <c r="J803" s="7"/>
      <c r="K803" s="7"/>
      <c r="L803" s="7"/>
      <c r="M803" s="7"/>
      <c r="N803" s="7"/>
      <c r="O803" s="7"/>
    </row>
    <row r="804">
      <c r="I804" s="7"/>
      <c r="J804" s="7"/>
      <c r="K804" s="7"/>
      <c r="L804" s="7"/>
      <c r="M804" s="7"/>
      <c r="N804" s="7"/>
      <c r="O804" s="7"/>
    </row>
    <row r="805">
      <c r="I805" s="7"/>
      <c r="J805" s="7"/>
      <c r="K805" s="7"/>
      <c r="L805" s="7"/>
      <c r="M805" s="7"/>
      <c r="N805" s="7"/>
      <c r="O805" s="7"/>
    </row>
    <row r="806">
      <c r="I806" s="7"/>
      <c r="J806" s="7"/>
      <c r="K806" s="7"/>
      <c r="L806" s="7"/>
      <c r="M806" s="7"/>
      <c r="N806" s="7"/>
      <c r="O806" s="7"/>
    </row>
    <row r="807">
      <c r="I807" s="7"/>
      <c r="J807" s="7"/>
      <c r="K807" s="7"/>
      <c r="L807" s="7"/>
      <c r="M807" s="7"/>
      <c r="N807" s="7"/>
      <c r="O807" s="7"/>
    </row>
    <row r="808">
      <c r="I808" s="7"/>
      <c r="J808" s="7"/>
      <c r="K808" s="7"/>
      <c r="L808" s="7"/>
      <c r="M808" s="7"/>
      <c r="N808" s="7"/>
      <c r="O808" s="7"/>
    </row>
    <row r="809">
      <c r="I809" s="7"/>
      <c r="J809" s="7"/>
      <c r="K809" s="7"/>
      <c r="L809" s="7"/>
      <c r="M809" s="7"/>
      <c r="N809" s="7"/>
      <c r="O809" s="7"/>
    </row>
    <row r="810">
      <c r="I810" s="7"/>
      <c r="J810" s="7"/>
      <c r="K810" s="7"/>
      <c r="L810" s="7"/>
      <c r="M810" s="7"/>
      <c r="N810" s="7"/>
      <c r="O810" s="7"/>
    </row>
    <row r="811">
      <c r="I811" s="7"/>
      <c r="J811" s="7"/>
      <c r="K811" s="7"/>
      <c r="L811" s="7"/>
      <c r="M811" s="7"/>
      <c r="N811" s="7"/>
      <c r="O811" s="7"/>
    </row>
    <row r="812">
      <c r="I812" s="7"/>
      <c r="J812" s="7"/>
      <c r="K812" s="7"/>
      <c r="L812" s="7"/>
      <c r="M812" s="7"/>
      <c r="N812" s="7"/>
      <c r="O812" s="7"/>
    </row>
    <row r="813">
      <c r="I813" s="7"/>
      <c r="J813" s="7"/>
      <c r="K813" s="7"/>
      <c r="L813" s="7"/>
      <c r="M813" s="7"/>
      <c r="N813" s="7"/>
      <c r="O813" s="7"/>
    </row>
    <row r="814">
      <c r="I814" s="7"/>
      <c r="J814" s="7"/>
      <c r="K814" s="7"/>
      <c r="L814" s="7"/>
      <c r="M814" s="7"/>
      <c r="N814" s="7"/>
      <c r="O814" s="7"/>
    </row>
    <row r="815">
      <c r="I815" s="7"/>
      <c r="J815" s="7"/>
      <c r="K815" s="7"/>
      <c r="L815" s="7"/>
      <c r="M815" s="7"/>
      <c r="N815" s="7"/>
      <c r="O815" s="7"/>
    </row>
    <row r="816">
      <c r="I816" s="7"/>
      <c r="J816" s="7"/>
      <c r="K816" s="7"/>
      <c r="L816" s="7"/>
      <c r="M816" s="7"/>
      <c r="N816" s="7"/>
      <c r="O816" s="7"/>
    </row>
    <row r="817">
      <c r="I817" s="7"/>
      <c r="J817" s="7"/>
      <c r="K817" s="7"/>
      <c r="L817" s="7"/>
      <c r="M817" s="7"/>
      <c r="N817" s="7"/>
      <c r="O817" s="7"/>
    </row>
    <row r="818">
      <c r="I818" s="7"/>
      <c r="J818" s="7"/>
      <c r="K818" s="7"/>
      <c r="L818" s="7"/>
      <c r="M818" s="7"/>
      <c r="N818" s="7"/>
      <c r="O818" s="7"/>
    </row>
    <row r="819">
      <c r="I819" s="7"/>
      <c r="J819" s="7"/>
      <c r="K819" s="7"/>
      <c r="L819" s="7"/>
      <c r="M819" s="7"/>
      <c r="N819" s="7"/>
      <c r="O819" s="7"/>
    </row>
    <row r="820">
      <c r="I820" s="7"/>
      <c r="J820" s="7"/>
      <c r="K820" s="7"/>
      <c r="L820" s="7"/>
      <c r="M820" s="7"/>
      <c r="N820" s="7"/>
      <c r="O820" s="7"/>
    </row>
    <row r="821">
      <c r="I821" s="7"/>
      <c r="J821" s="7"/>
      <c r="K821" s="7"/>
      <c r="L821" s="7"/>
      <c r="M821" s="7"/>
      <c r="N821" s="7"/>
      <c r="O821" s="7"/>
    </row>
    <row r="822">
      <c r="I822" s="7"/>
      <c r="J822" s="7"/>
      <c r="K822" s="7"/>
      <c r="L822" s="7"/>
      <c r="M822" s="7"/>
      <c r="N822" s="7"/>
      <c r="O822" s="7"/>
    </row>
    <row r="823">
      <c r="I823" s="7"/>
      <c r="J823" s="7"/>
      <c r="K823" s="7"/>
      <c r="L823" s="7"/>
      <c r="M823" s="7"/>
      <c r="N823" s="7"/>
      <c r="O823" s="7"/>
    </row>
    <row r="824">
      <c r="I824" s="7"/>
      <c r="J824" s="7"/>
      <c r="K824" s="7"/>
      <c r="L824" s="7"/>
      <c r="M824" s="7"/>
      <c r="N824" s="7"/>
      <c r="O824" s="7"/>
    </row>
    <row r="825">
      <c r="I825" s="7"/>
      <c r="J825" s="7"/>
      <c r="K825" s="7"/>
      <c r="L825" s="7"/>
      <c r="M825" s="7"/>
      <c r="N825" s="7"/>
      <c r="O825" s="7"/>
    </row>
    <row r="826">
      <c r="I826" s="7"/>
      <c r="J826" s="7"/>
      <c r="K826" s="7"/>
      <c r="L826" s="7"/>
      <c r="M826" s="7"/>
      <c r="N826" s="7"/>
      <c r="O826" s="7"/>
    </row>
    <row r="827">
      <c r="I827" s="7"/>
      <c r="J827" s="7"/>
      <c r="K827" s="7"/>
      <c r="L827" s="7"/>
      <c r="M827" s="7"/>
      <c r="N827" s="7"/>
      <c r="O827" s="7"/>
    </row>
    <row r="828">
      <c r="I828" s="7"/>
      <c r="J828" s="7"/>
      <c r="K828" s="7"/>
      <c r="L828" s="7"/>
      <c r="M828" s="7"/>
      <c r="N828" s="7"/>
      <c r="O828" s="7"/>
    </row>
    <row r="829">
      <c r="I829" s="7"/>
      <c r="J829" s="7"/>
      <c r="K829" s="7"/>
      <c r="L829" s="7"/>
      <c r="M829" s="7"/>
      <c r="N829" s="7"/>
      <c r="O829" s="7"/>
    </row>
    <row r="830">
      <c r="I830" s="7"/>
      <c r="J830" s="7"/>
      <c r="K830" s="7"/>
      <c r="L830" s="7"/>
      <c r="M830" s="7"/>
      <c r="N830" s="7"/>
      <c r="O830" s="7"/>
    </row>
    <row r="831">
      <c r="I831" s="7"/>
      <c r="J831" s="7"/>
      <c r="K831" s="7"/>
      <c r="L831" s="7"/>
      <c r="M831" s="7"/>
      <c r="N831" s="7"/>
      <c r="O831" s="7"/>
    </row>
    <row r="832">
      <c r="I832" s="7"/>
      <c r="J832" s="7"/>
      <c r="K832" s="7"/>
      <c r="L832" s="7"/>
      <c r="M832" s="7"/>
      <c r="N832" s="7"/>
      <c r="O832" s="7"/>
    </row>
    <row r="833">
      <c r="I833" s="7"/>
      <c r="J833" s="7"/>
      <c r="K833" s="7"/>
      <c r="L833" s="7"/>
      <c r="M833" s="7"/>
      <c r="N833" s="7"/>
      <c r="O833" s="7"/>
    </row>
    <row r="834">
      <c r="I834" s="7"/>
      <c r="J834" s="7"/>
      <c r="K834" s="7"/>
      <c r="L834" s="7"/>
      <c r="M834" s="7"/>
      <c r="N834" s="7"/>
      <c r="O834" s="7"/>
    </row>
    <row r="835">
      <c r="I835" s="7"/>
      <c r="J835" s="7"/>
      <c r="K835" s="7"/>
      <c r="L835" s="7"/>
      <c r="M835" s="7"/>
      <c r="N835" s="7"/>
      <c r="O835" s="7"/>
    </row>
    <row r="836">
      <c r="I836" s="7"/>
      <c r="J836" s="7"/>
      <c r="K836" s="7"/>
      <c r="L836" s="7"/>
      <c r="M836" s="7"/>
      <c r="N836" s="7"/>
      <c r="O836" s="7"/>
    </row>
    <row r="837">
      <c r="I837" s="7"/>
      <c r="J837" s="7"/>
      <c r="K837" s="7"/>
      <c r="L837" s="7"/>
      <c r="M837" s="7"/>
      <c r="N837" s="7"/>
      <c r="O837" s="7"/>
    </row>
    <row r="838">
      <c r="I838" s="7"/>
      <c r="J838" s="7"/>
      <c r="K838" s="7"/>
      <c r="L838" s="7"/>
      <c r="M838" s="7"/>
      <c r="N838" s="7"/>
      <c r="O838" s="7"/>
    </row>
    <row r="839">
      <c r="I839" s="7"/>
      <c r="J839" s="7"/>
      <c r="K839" s="7"/>
      <c r="L839" s="7"/>
      <c r="M839" s="7"/>
      <c r="N839" s="7"/>
      <c r="O839" s="7"/>
    </row>
    <row r="840">
      <c r="I840" s="7"/>
      <c r="J840" s="7"/>
      <c r="K840" s="7"/>
      <c r="L840" s="7"/>
      <c r="M840" s="7"/>
      <c r="N840" s="7"/>
      <c r="O840" s="7"/>
    </row>
    <row r="841">
      <c r="I841" s="7"/>
      <c r="J841" s="7"/>
      <c r="K841" s="7"/>
      <c r="L841" s="7"/>
      <c r="M841" s="7"/>
      <c r="N841" s="7"/>
      <c r="O841" s="7"/>
    </row>
    <row r="842">
      <c r="I842" s="7"/>
      <c r="J842" s="7"/>
      <c r="K842" s="7"/>
      <c r="L842" s="7"/>
      <c r="M842" s="7"/>
      <c r="N842" s="7"/>
      <c r="O842" s="7"/>
    </row>
    <row r="843">
      <c r="I843" s="7"/>
      <c r="J843" s="7"/>
      <c r="K843" s="7"/>
      <c r="L843" s="7"/>
      <c r="M843" s="7"/>
      <c r="N843" s="7"/>
      <c r="O843" s="7"/>
    </row>
    <row r="844">
      <c r="I844" s="7"/>
      <c r="J844" s="7"/>
      <c r="K844" s="7"/>
      <c r="L844" s="7"/>
      <c r="M844" s="7"/>
      <c r="N844" s="7"/>
      <c r="O844" s="7"/>
    </row>
    <row r="845">
      <c r="I845" s="7"/>
      <c r="J845" s="7"/>
      <c r="K845" s="7"/>
      <c r="L845" s="7"/>
      <c r="M845" s="7"/>
      <c r="N845" s="7"/>
      <c r="O845" s="7"/>
    </row>
    <row r="846">
      <c r="I846" s="7"/>
      <c r="J846" s="7"/>
      <c r="K846" s="7"/>
      <c r="L846" s="7"/>
      <c r="M846" s="7"/>
      <c r="N846" s="7"/>
      <c r="O846" s="7"/>
    </row>
    <row r="847">
      <c r="I847" s="7"/>
      <c r="J847" s="7"/>
      <c r="K847" s="7"/>
      <c r="L847" s="7"/>
      <c r="M847" s="7"/>
      <c r="N847" s="7"/>
      <c r="O847" s="7"/>
    </row>
    <row r="848">
      <c r="I848" s="7"/>
      <c r="J848" s="7"/>
      <c r="K848" s="7"/>
      <c r="L848" s="7"/>
      <c r="M848" s="7"/>
      <c r="N848" s="7"/>
      <c r="O848" s="7"/>
    </row>
    <row r="849">
      <c r="I849" s="7"/>
      <c r="J849" s="7"/>
      <c r="K849" s="7"/>
      <c r="L849" s="7"/>
      <c r="M849" s="7"/>
      <c r="N849" s="7"/>
      <c r="O849" s="7"/>
    </row>
    <row r="850">
      <c r="I850" s="7"/>
      <c r="J850" s="7"/>
      <c r="K850" s="7"/>
      <c r="L850" s="7"/>
      <c r="M850" s="7"/>
      <c r="N850" s="7"/>
      <c r="O850" s="7"/>
    </row>
    <row r="851">
      <c r="I851" s="7"/>
      <c r="J851" s="7"/>
      <c r="K851" s="7"/>
      <c r="L851" s="7"/>
      <c r="M851" s="7"/>
      <c r="N851" s="7"/>
      <c r="O851" s="7"/>
    </row>
    <row r="852">
      <c r="I852" s="7"/>
      <c r="J852" s="7"/>
      <c r="K852" s="7"/>
      <c r="L852" s="7"/>
      <c r="M852" s="7"/>
      <c r="N852" s="7"/>
      <c r="O852" s="7"/>
    </row>
    <row r="853">
      <c r="I853" s="7"/>
      <c r="J853" s="7"/>
      <c r="K853" s="7"/>
      <c r="L853" s="7"/>
      <c r="M853" s="7"/>
      <c r="N853" s="7"/>
      <c r="O853" s="7"/>
    </row>
    <row r="854">
      <c r="I854" s="7"/>
      <c r="J854" s="7"/>
      <c r="K854" s="7"/>
      <c r="L854" s="7"/>
      <c r="M854" s="7"/>
      <c r="N854" s="7"/>
      <c r="O854" s="7"/>
    </row>
    <row r="855">
      <c r="I855" s="7"/>
      <c r="J855" s="7"/>
      <c r="K855" s="7"/>
      <c r="L855" s="7"/>
      <c r="M855" s="7"/>
      <c r="N855" s="7"/>
      <c r="O855" s="7"/>
    </row>
    <row r="856">
      <c r="I856" s="7"/>
      <c r="J856" s="7"/>
      <c r="K856" s="7"/>
      <c r="L856" s="7"/>
      <c r="M856" s="7"/>
      <c r="N856" s="7"/>
      <c r="O856" s="7"/>
    </row>
    <row r="857">
      <c r="I857" s="7"/>
      <c r="J857" s="7"/>
      <c r="K857" s="7"/>
      <c r="L857" s="7"/>
      <c r="M857" s="7"/>
      <c r="N857" s="7"/>
      <c r="O857" s="7"/>
    </row>
    <row r="858">
      <c r="I858" s="7"/>
      <c r="J858" s="7"/>
      <c r="K858" s="7"/>
      <c r="L858" s="7"/>
      <c r="M858" s="7"/>
      <c r="N858" s="7"/>
      <c r="O858" s="7"/>
    </row>
    <row r="859">
      <c r="I859" s="7"/>
      <c r="J859" s="7"/>
      <c r="K859" s="7"/>
      <c r="L859" s="7"/>
      <c r="M859" s="7"/>
      <c r="N859" s="7"/>
      <c r="O859" s="7"/>
    </row>
    <row r="860">
      <c r="I860" s="7"/>
      <c r="J860" s="7"/>
      <c r="K860" s="7"/>
      <c r="L860" s="7"/>
      <c r="M860" s="7"/>
      <c r="N860" s="7"/>
      <c r="O860" s="7"/>
    </row>
    <row r="861">
      <c r="I861" s="7"/>
      <c r="J861" s="7"/>
      <c r="K861" s="7"/>
      <c r="L861" s="7"/>
      <c r="M861" s="7"/>
      <c r="N861" s="7"/>
      <c r="O861" s="7"/>
    </row>
    <row r="862">
      <c r="I862" s="7"/>
      <c r="J862" s="7"/>
      <c r="K862" s="7"/>
      <c r="L862" s="7"/>
      <c r="M862" s="7"/>
      <c r="N862" s="7"/>
      <c r="O862" s="7"/>
    </row>
    <row r="863">
      <c r="I863" s="7"/>
      <c r="J863" s="7"/>
      <c r="K863" s="7"/>
      <c r="L863" s="7"/>
      <c r="M863" s="7"/>
      <c r="N863" s="7"/>
      <c r="O863" s="7"/>
    </row>
    <row r="864">
      <c r="I864" s="7"/>
      <c r="J864" s="7"/>
      <c r="K864" s="7"/>
      <c r="L864" s="7"/>
      <c r="M864" s="7"/>
      <c r="N864" s="7"/>
      <c r="O864" s="7"/>
    </row>
    <row r="865">
      <c r="I865" s="7"/>
      <c r="J865" s="7"/>
      <c r="K865" s="7"/>
      <c r="L865" s="7"/>
      <c r="M865" s="7"/>
      <c r="N865" s="7"/>
      <c r="O865" s="7"/>
    </row>
    <row r="866">
      <c r="I866" s="7"/>
      <c r="J866" s="7"/>
      <c r="K866" s="7"/>
      <c r="L866" s="7"/>
      <c r="M866" s="7"/>
      <c r="N866" s="7"/>
      <c r="O866" s="7"/>
    </row>
    <row r="867">
      <c r="I867" s="7"/>
      <c r="J867" s="7"/>
      <c r="K867" s="7"/>
      <c r="L867" s="7"/>
      <c r="M867" s="7"/>
      <c r="N867" s="7"/>
      <c r="O867" s="7"/>
    </row>
    <row r="868">
      <c r="I868" s="7"/>
      <c r="J868" s="7"/>
      <c r="K868" s="7"/>
      <c r="L868" s="7"/>
      <c r="M868" s="7"/>
      <c r="N868" s="7"/>
      <c r="O868" s="7"/>
    </row>
    <row r="869">
      <c r="I869" s="7"/>
      <c r="J869" s="7"/>
      <c r="K869" s="7"/>
      <c r="L869" s="7"/>
      <c r="M869" s="7"/>
      <c r="N869" s="7"/>
      <c r="O869" s="7"/>
    </row>
    <row r="870">
      <c r="I870" s="7"/>
      <c r="J870" s="7"/>
      <c r="K870" s="7"/>
      <c r="L870" s="7"/>
      <c r="M870" s="7"/>
      <c r="N870" s="7"/>
      <c r="O870" s="7"/>
    </row>
    <row r="871">
      <c r="I871" s="7"/>
      <c r="J871" s="7"/>
      <c r="K871" s="7"/>
      <c r="L871" s="7"/>
      <c r="M871" s="7"/>
      <c r="N871" s="7"/>
      <c r="O871" s="7"/>
    </row>
    <row r="872">
      <c r="I872" s="7"/>
      <c r="J872" s="7"/>
      <c r="K872" s="7"/>
      <c r="L872" s="7"/>
      <c r="M872" s="7"/>
      <c r="N872" s="7"/>
      <c r="O872" s="7"/>
    </row>
    <row r="873">
      <c r="I873" s="7"/>
      <c r="J873" s="7"/>
      <c r="K873" s="7"/>
      <c r="L873" s="7"/>
      <c r="M873" s="7"/>
      <c r="N873" s="7"/>
      <c r="O873" s="7"/>
    </row>
    <row r="874">
      <c r="I874" s="7"/>
      <c r="J874" s="7"/>
      <c r="K874" s="7"/>
      <c r="L874" s="7"/>
      <c r="M874" s="7"/>
      <c r="N874" s="7"/>
      <c r="O874" s="7"/>
    </row>
    <row r="875">
      <c r="I875" s="7"/>
      <c r="J875" s="7"/>
      <c r="K875" s="7"/>
      <c r="L875" s="7"/>
      <c r="M875" s="7"/>
      <c r="N875" s="7"/>
      <c r="O875" s="7"/>
    </row>
    <row r="876">
      <c r="I876" s="7"/>
      <c r="J876" s="7"/>
      <c r="K876" s="7"/>
      <c r="L876" s="7"/>
      <c r="M876" s="7"/>
      <c r="N876" s="7"/>
      <c r="O876" s="7"/>
    </row>
    <row r="877">
      <c r="I877" s="7"/>
      <c r="J877" s="7"/>
      <c r="K877" s="7"/>
      <c r="L877" s="7"/>
      <c r="M877" s="7"/>
      <c r="N877" s="7"/>
      <c r="O877" s="7"/>
    </row>
    <row r="878">
      <c r="I878" s="7"/>
      <c r="J878" s="7"/>
      <c r="K878" s="7"/>
      <c r="L878" s="7"/>
      <c r="M878" s="7"/>
      <c r="N878" s="7"/>
      <c r="O878" s="7"/>
    </row>
    <row r="879">
      <c r="I879" s="7"/>
      <c r="J879" s="7"/>
      <c r="K879" s="7"/>
      <c r="L879" s="7"/>
      <c r="M879" s="7"/>
      <c r="N879" s="7"/>
      <c r="O879" s="7"/>
    </row>
    <row r="880">
      <c r="I880" s="7"/>
      <c r="J880" s="7"/>
      <c r="K880" s="7"/>
      <c r="L880" s="7"/>
      <c r="M880" s="7"/>
      <c r="N880" s="7"/>
      <c r="O880" s="7"/>
    </row>
    <row r="881">
      <c r="I881" s="7"/>
      <c r="J881" s="7"/>
      <c r="K881" s="7"/>
      <c r="L881" s="7"/>
      <c r="M881" s="7"/>
      <c r="N881" s="7"/>
      <c r="O881" s="7"/>
    </row>
    <row r="882">
      <c r="I882" s="7"/>
      <c r="J882" s="7"/>
      <c r="K882" s="7"/>
      <c r="L882" s="7"/>
      <c r="M882" s="7"/>
      <c r="N882" s="7"/>
      <c r="O882" s="7"/>
    </row>
    <row r="883">
      <c r="I883" s="7"/>
      <c r="J883" s="7"/>
      <c r="K883" s="7"/>
      <c r="L883" s="7"/>
      <c r="M883" s="7"/>
      <c r="N883" s="7"/>
      <c r="O883" s="7"/>
    </row>
    <row r="884">
      <c r="I884" s="7"/>
      <c r="J884" s="7"/>
      <c r="K884" s="7"/>
      <c r="L884" s="7"/>
      <c r="M884" s="7"/>
      <c r="N884" s="7"/>
      <c r="O884" s="7"/>
    </row>
    <row r="885">
      <c r="I885" s="7"/>
      <c r="J885" s="7"/>
      <c r="K885" s="7"/>
      <c r="L885" s="7"/>
      <c r="M885" s="7"/>
      <c r="N885" s="7"/>
      <c r="O885" s="7"/>
    </row>
    <row r="886">
      <c r="I886" s="7"/>
      <c r="J886" s="7"/>
      <c r="K886" s="7"/>
      <c r="L886" s="7"/>
      <c r="M886" s="7"/>
      <c r="N886" s="7"/>
      <c r="O886" s="7"/>
    </row>
    <row r="887">
      <c r="I887" s="7"/>
      <c r="J887" s="7"/>
      <c r="K887" s="7"/>
      <c r="L887" s="7"/>
      <c r="M887" s="7"/>
      <c r="N887" s="7"/>
      <c r="O887" s="7"/>
    </row>
    <row r="888">
      <c r="I888" s="7"/>
      <c r="J888" s="7"/>
      <c r="K888" s="7"/>
      <c r="L888" s="7"/>
      <c r="M888" s="7"/>
      <c r="N888" s="7"/>
      <c r="O888" s="7"/>
    </row>
    <row r="889">
      <c r="I889" s="7"/>
      <c r="J889" s="7"/>
      <c r="K889" s="7"/>
      <c r="L889" s="7"/>
      <c r="M889" s="7"/>
      <c r="N889" s="7"/>
      <c r="O889" s="7"/>
    </row>
    <row r="890">
      <c r="I890" s="7"/>
      <c r="J890" s="7"/>
      <c r="K890" s="7"/>
      <c r="L890" s="7"/>
      <c r="M890" s="7"/>
      <c r="N890" s="7"/>
      <c r="O890" s="7"/>
    </row>
    <row r="891">
      <c r="I891" s="7"/>
      <c r="J891" s="7"/>
      <c r="K891" s="7"/>
      <c r="L891" s="7"/>
      <c r="M891" s="7"/>
      <c r="N891" s="7"/>
      <c r="O891" s="7"/>
    </row>
    <row r="892">
      <c r="I892" s="7"/>
      <c r="J892" s="7"/>
      <c r="K892" s="7"/>
      <c r="L892" s="7"/>
      <c r="M892" s="7"/>
      <c r="N892" s="7"/>
      <c r="O892" s="7"/>
    </row>
    <row r="893">
      <c r="I893" s="7"/>
      <c r="J893" s="7"/>
      <c r="K893" s="7"/>
      <c r="L893" s="7"/>
      <c r="M893" s="7"/>
      <c r="N893" s="7"/>
      <c r="O893" s="7"/>
    </row>
    <row r="894">
      <c r="I894" s="7"/>
      <c r="J894" s="7"/>
      <c r="K894" s="7"/>
      <c r="L894" s="7"/>
      <c r="M894" s="7"/>
      <c r="N894" s="7"/>
      <c r="O894" s="7"/>
    </row>
    <row r="895">
      <c r="I895" s="7"/>
      <c r="J895" s="7"/>
      <c r="K895" s="7"/>
      <c r="L895" s="7"/>
      <c r="M895" s="7"/>
      <c r="N895" s="7"/>
      <c r="O895" s="7"/>
    </row>
    <row r="896">
      <c r="I896" s="7"/>
      <c r="J896" s="7"/>
      <c r="K896" s="7"/>
      <c r="L896" s="7"/>
      <c r="M896" s="7"/>
      <c r="N896" s="7"/>
      <c r="O896" s="7"/>
    </row>
    <row r="897">
      <c r="I897" s="7"/>
      <c r="J897" s="7"/>
      <c r="K897" s="7"/>
      <c r="L897" s="7"/>
      <c r="M897" s="7"/>
      <c r="N897" s="7"/>
      <c r="O897" s="7"/>
    </row>
    <row r="898">
      <c r="I898" s="7"/>
      <c r="J898" s="7"/>
      <c r="K898" s="7"/>
      <c r="L898" s="7"/>
      <c r="M898" s="7"/>
      <c r="N898" s="7"/>
      <c r="O898" s="7"/>
    </row>
    <row r="899">
      <c r="I899" s="7"/>
      <c r="J899" s="7"/>
      <c r="K899" s="7"/>
      <c r="L899" s="7"/>
      <c r="M899" s="7"/>
      <c r="N899" s="7"/>
      <c r="O899" s="7"/>
    </row>
    <row r="900">
      <c r="I900" s="7"/>
      <c r="J900" s="7"/>
      <c r="K900" s="7"/>
      <c r="L900" s="7"/>
      <c r="M900" s="7"/>
      <c r="N900" s="7"/>
      <c r="O900" s="7"/>
    </row>
    <row r="901">
      <c r="I901" s="7"/>
      <c r="J901" s="7"/>
      <c r="K901" s="7"/>
      <c r="L901" s="7"/>
      <c r="M901" s="7"/>
      <c r="N901" s="7"/>
      <c r="O901" s="7"/>
    </row>
    <row r="902">
      <c r="I902" s="7"/>
      <c r="J902" s="7"/>
      <c r="K902" s="7"/>
      <c r="L902" s="7"/>
      <c r="M902" s="7"/>
      <c r="N902" s="7"/>
      <c r="O902" s="7"/>
    </row>
    <row r="903">
      <c r="I903" s="7"/>
      <c r="J903" s="7"/>
      <c r="K903" s="7"/>
      <c r="L903" s="7"/>
      <c r="M903" s="7"/>
      <c r="N903" s="7"/>
      <c r="O903" s="7"/>
    </row>
    <row r="904">
      <c r="I904" s="7"/>
      <c r="J904" s="7"/>
      <c r="K904" s="7"/>
      <c r="L904" s="7"/>
      <c r="M904" s="7"/>
      <c r="N904" s="7"/>
      <c r="O904" s="7"/>
    </row>
    <row r="905">
      <c r="I905" s="7"/>
      <c r="J905" s="7"/>
      <c r="K905" s="7"/>
      <c r="L905" s="7"/>
      <c r="M905" s="7"/>
      <c r="N905" s="7"/>
      <c r="O905" s="7"/>
    </row>
    <row r="906">
      <c r="I906" s="7"/>
      <c r="J906" s="7"/>
      <c r="K906" s="7"/>
      <c r="L906" s="7"/>
      <c r="M906" s="7"/>
      <c r="N906" s="7"/>
      <c r="O906" s="7"/>
    </row>
    <row r="907">
      <c r="I907" s="7"/>
      <c r="J907" s="7"/>
      <c r="K907" s="7"/>
      <c r="L907" s="7"/>
      <c r="M907" s="7"/>
      <c r="N907" s="7"/>
      <c r="O907" s="7"/>
    </row>
    <row r="908">
      <c r="I908" s="7"/>
      <c r="J908" s="7"/>
      <c r="K908" s="7"/>
      <c r="L908" s="7"/>
      <c r="M908" s="7"/>
      <c r="N908" s="7"/>
      <c r="O908" s="7"/>
    </row>
    <row r="909">
      <c r="I909" s="7"/>
      <c r="J909" s="7"/>
      <c r="K909" s="7"/>
      <c r="L909" s="7"/>
      <c r="M909" s="7"/>
      <c r="N909" s="7"/>
      <c r="O909" s="7"/>
    </row>
    <row r="910">
      <c r="I910" s="7"/>
      <c r="J910" s="7"/>
      <c r="K910" s="7"/>
      <c r="L910" s="7"/>
      <c r="M910" s="7"/>
      <c r="N910" s="7"/>
      <c r="O910" s="7"/>
    </row>
    <row r="911">
      <c r="I911" s="7"/>
      <c r="J911" s="7"/>
      <c r="K911" s="7"/>
      <c r="L911" s="7"/>
      <c r="M911" s="7"/>
      <c r="N911" s="7"/>
      <c r="O911" s="7"/>
    </row>
    <row r="912">
      <c r="I912" s="7"/>
      <c r="J912" s="7"/>
      <c r="K912" s="7"/>
      <c r="L912" s="7"/>
      <c r="M912" s="7"/>
      <c r="N912" s="7"/>
      <c r="O912" s="7"/>
    </row>
    <row r="913">
      <c r="I913" s="7"/>
      <c r="J913" s="7"/>
      <c r="K913" s="7"/>
      <c r="L913" s="7"/>
      <c r="M913" s="7"/>
      <c r="N913" s="7"/>
      <c r="O913" s="7"/>
    </row>
    <row r="914">
      <c r="I914" s="7"/>
      <c r="J914" s="7"/>
      <c r="K914" s="7"/>
      <c r="L914" s="7"/>
      <c r="M914" s="7"/>
      <c r="N914" s="7"/>
      <c r="O914" s="7"/>
    </row>
    <row r="915">
      <c r="I915" s="7"/>
      <c r="J915" s="7"/>
      <c r="K915" s="7"/>
      <c r="L915" s="7"/>
      <c r="M915" s="7"/>
      <c r="N915" s="7"/>
      <c r="O915" s="7"/>
    </row>
    <row r="916">
      <c r="I916" s="7"/>
      <c r="J916" s="7"/>
      <c r="K916" s="7"/>
      <c r="L916" s="7"/>
      <c r="M916" s="7"/>
      <c r="N916" s="7"/>
      <c r="O916" s="7"/>
    </row>
    <row r="917">
      <c r="I917" s="7"/>
      <c r="J917" s="7"/>
      <c r="K917" s="7"/>
      <c r="L917" s="7"/>
      <c r="M917" s="7"/>
      <c r="N917" s="7"/>
      <c r="O917" s="7"/>
    </row>
    <row r="918">
      <c r="I918" s="7"/>
      <c r="J918" s="7"/>
      <c r="K918" s="7"/>
      <c r="L918" s="7"/>
      <c r="M918" s="7"/>
      <c r="N918" s="7"/>
      <c r="O918" s="7"/>
    </row>
    <row r="919">
      <c r="I919" s="7"/>
      <c r="J919" s="7"/>
      <c r="K919" s="7"/>
      <c r="L919" s="7"/>
      <c r="M919" s="7"/>
      <c r="N919" s="7"/>
      <c r="O919" s="7"/>
    </row>
    <row r="920">
      <c r="I920" s="7"/>
      <c r="J920" s="7"/>
      <c r="K920" s="7"/>
      <c r="L920" s="7"/>
      <c r="M920" s="7"/>
      <c r="N920" s="7"/>
      <c r="O920" s="7"/>
    </row>
    <row r="921">
      <c r="I921" s="7"/>
      <c r="J921" s="7"/>
      <c r="K921" s="7"/>
      <c r="L921" s="7"/>
      <c r="M921" s="7"/>
      <c r="N921" s="7"/>
      <c r="O921" s="7"/>
    </row>
    <row r="922">
      <c r="I922" s="7"/>
      <c r="J922" s="7"/>
      <c r="K922" s="7"/>
      <c r="L922" s="7"/>
      <c r="M922" s="7"/>
      <c r="N922" s="7"/>
      <c r="O922" s="7"/>
    </row>
    <row r="923">
      <c r="I923" s="7"/>
      <c r="J923" s="7"/>
      <c r="K923" s="7"/>
      <c r="L923" s="7"/>
      <c r="M923" s="7"/>
      <c r="N923" s="7"/>
      <c r="O923" s="7"/>
    </row>
    <row r="924">
      <c r="I924" s="7"/>
      <c r="J924" s="7"/>
      <c r="K924" s="7"/>
      <c r="L924" s="7"/>
      <c r="M924" s="7"/>
      <c r="N924" s="7"/>
      <c r="O924" s="7"/>
    </row>
    <row r="925">
      <c r="I925" s="7"/>
      <c r="J925" s="7"/>
      <c r="K925" s="7"/>
      <c r="L925" s="7"/>
      <c r="M925" s="7"/>
      <c r="N925" s="7"/>
      <c r="O925" s="7"/>
    </row>
    <row r="926">
      <c r="I926" s="7"/>
      <c r="J926" s="7"/>
      <c r="K926" s="7"/>
      <c r="L926" s="7"/>
      <c r="M926" s="7"/>
      <c r="N926" s="7"/>
      <c r="O926" s="7"/>
    </row>
    <row r="927">
      <c r="I927" s="7"/>
      <c r="J927" s="7"/>
      <c r="K927" s="7"/>
      <c r="L927" s="7"/>
      <c r="M927" s="7"/>
      <c r="N927" s="7"/>
      <c r="O927" s="7"/>
    </row>
    <row r="928">
      <c r="I928" s="7"/>
      <c r="J928" s="7"/>
      <c r="K928" s="7"/>
      <c r="L928" s="7"/>
      <c r="M928" s="7"/>
      <c r="N928" s="7"/>
      <c r="O928" s="7"/>
    </row>
    <row r="929">
      <c r="I929" s="7"/>
      <c r="J929" s="7"/>
      <c r="K929" s="7"/>
      <c r="L929" s="7"/>
      <c r="M929" s="7"/>
      <c r="N929" s="7"/>
      <c r="O929" s="7"/>
    </row>
    <row r="930">
      <c r="I930" s="7"/>
      <c r="J930" s="7"/>
      <c r="K930" s="7"/>
      <c r="L930" s="7"/>
      <c r="M930" s="7"/>
      <c r="N930" s="7"/>
      <c r="O930" s="7"/>
    </row>
    <row r="931">
      <c r="I931" s="7"/>
      <c r="J931" s="7"/>
      <c r="K931" s="7"/>
      <c r="L931" s="7"/>
      <c r="M931" s="7"/>
      <c r="N931" s="7"/>
      <c r="O931" s="7"/>
    </row>
    <row r="932">
      <c r="I932" s="7"/>
      <c r="J932" s="7"/>
      <c r="K932" s="7"/>
      <c r="L932" s="7"/>
      <c r="M932" s="7"/>
      <c r="N932" s="7"/>
      <c r="O932" s="7"/>
    </row>
    <row r="933">
      <c r="I933" s="7"/>
      <c r="J933" s="7"/>
      <c r="K933" s="7"/>
      <c r="L933" s="7"/>
      <c r="M933" s="7"/>
      <c r="N933" s="7"/>
      <c r="O933" s="7"/>
    </row>
    <row r="934">
      <c r="I934" s="7"/>
      <c r="J934" s="7"/>
      <c r="K934" s="7"/>
      <c r="L934" s="7"/>
      <c r="M934" s="7"/>
      <c r="N934" s="7"/>
      <c r="O934" s="7"/>
    </row>
    <row r="935">
      <c r="I935" s="7"/>
      <c r="J935" s="7"/>
      <c r="K935" s="7"/>
      <c r="L935" s="7"/>
      <c r="M935" s="7"/>
      <c r="N935" s="7"/>
      <c r="O935" s="7"/>
    </row>
    <row r="936">
      <c r="I936" s="7"/>
      <c r="J936" s="7"/>
      <c r="K936" s="7"/>
      <c r="L936" s="7"/>
      <c r="M936" s="7"/>
      <c r="N936" s="7"/>
      <c r="O936" s="7"/>
    </row>
    <row r="937">
      <c r="I937" s="7"/>
      <c r="J937" s="7"/>
      <c r="K937" s="7"/>
      <c r="L937" s="7"/>
      <c r="M937" s="7"/>
      <c r="N937" s="7"/>
      <c r="O937" s="7"/>
    </row>
    <row r="938">
      <c r="I938" s="7"/>
      <c r="J938" s="7"/>
      <c r="K938" s="7"/>
      <c r="L938" s="7"/>
      <c r="M938" s="7"/>
      <c r="N938" s="7"/>
      <c r="O938" s="7"/>
    </row>
    <row r="939">
      <c r="I939" s="7"/>
      <c r="J939" s="7"/>
      <c r="K939" s="7"/>
      <c r="L939" s="7"/>
      <c r="M939" s="7"/>
      <c r="N939" s="7"/>
      <c r="O939" s="7"/>
    </row>
    <row r="940">
      <c r="I940" s="7"/>
      <c r="J940" s="7"/>
      <c r="K940" s="7"/>
      <c r="L940" s="7"/>
      <c r="M940" s="7"/>
      <c r="N940" s="7"/>
      <c r="O940" s="7"/>
    </row>
    <row r="941">
      <c r="I941" s="7"/>
      <c r="J941" s="7"/>
      <c r="K941" s="7"/>
      <c r="L941" s="7"/>
      <c r="M941" s="7"/>
      <c r="N941" s="7"/>
      <c r="O941" s="7"/>
    </row>
    <row r="942">
      <c r="I942" s="7"/>
      <c r="J942" s="7"/>
      <c r="K942" s="7"/>
      <c r="L942" s="7"/>
      <c r="M942" s="7"/>
      <c r="N942" s="7"/>
      <c r="O942" s="7"/>
    </row>
    <row r="943">
      <c r="I943" s="7"/>
      <c r="J943" s="7"/>
      <c r="K943" s="7"/>
      <c r="L943" s="7"/>
      <c r="M943" s="7"/>
      <c r="N943" s="7"/>
      <c r="O943" s="7"/>
    </row>
    <row r="944">
      <c r="I944" s="7"/>
      <c r="J944" s="7"/>
      <c r="K944" s="7"/>
      <c r="L944" s="7"/>
      <c r="M944" s="7"/>
      <c r="N944" s="7"/>
      <c r="O944" s="7"/>
    </row>
    <row r="945">
      <c r="I945" s="7"/>
      <c r="J945" s="7"/>
      <c r="K945" s="7"/>
      <c r="L945" s="7"/>
      <c r="M945" s="7"/>
      <c r="N945" s="7"/>
      <c r="O945" s="7"/>
    </row>
    <row r="946">
      <c r="I946" s="7"/>
      <c r="J946" s="7"/>
      <c r="K946" s="7"/>
      <c r="L946" s="7"/>
      <c r="M946" s="7"/>
      <c r="N946" s="7"/>
      <c r="O946" s="7"/>
    </row>
    <row r="947">
      <c r="I947" s="7"/>
      <c r="J947" s="7"/>
      <c r="K947" s="7"/>
      <c r="L947" s="7"/>
      <c r="M947" s="7"/>
      <c r="N947" s="7"/>
      <c r="O947" s="7"/>
    </row>
    <row r="948">
      <c r="I948" s="7"/>
      <c r="J948" s="7"/>
      <c r="K948" s="7"/>
      <c r="L948" s="7"/>
      <c r="M948" s="7"/>
      <c r="N948" s="7"/>
      <c r="O948" s="7"/>
    </row>
    <row r="949">
      <c r="I949" s="7"/>
      <c r="J949" s="7"/>
      <c r="K949" s="7"/>
      <c r="L949" s="7"/>
      <c r="M949" s="7"/>
      <c r="N949" s="7"/>
      <c r="O949" s="7"/>
    </row>
    <row r="950">
      <c r="I950" s="7"/>
      <c r="J950" s="7"/>
      <c r="K950" s="7"/>
      <c r="L950" s="7"/>
      <c r="M950" s="7"/>
      <c r="N950" s="7"/>
      <c r="O950" s="7"/>
    </row>
    <row r="951">
      <c r="I951" s="7"/>
      <c r="J951" s="7"/>
      <c r="K951" s="7"/>
      <c r="L951" s="7"/>
      <c r="M951" s="7"/>
      <c r="N951" s="7"/>
      <c r="O951" s="7"/>
    </row>
    <row r="952">
      <c r="I952" s="7"/>
      <c r="J952" s="7"/>
      <c r="K952" s="7"/>
      <c r="L952" s="7"/>
      <c r="M952" s="7"/>
      <c r="N952" s="7"/>
      <c r="O952" s="7"/>
    </row>
    <row r="953">
      <c r="I953" s="7"/>
      <c r="J953" s="7"/>
      <c r="K953" s="7"/>
      <c r="L953" s="7"/>
      <c r="M953" s="7"/>
      <c r="N953" s="7"/>
      <c r="O953" s="7"/>
    </row>
    <row r="954">
      <c r="I954" s="7"/>
      <c r="J954" s="7"/>
      <c r="K954" s="7"/>
      <c r="L954" s="7"/>
      <c r="M954" s="7"/>
      <c r="N954" s="7"/>
      <c r="O954" s="7"/>
    </row>
    <row r="955">
      <c r="I955" s="7"/>
      <c r="J955" s="7"/>
      <c r="K955" s="7"/>
      <c r="L955" s="7"/>
      <c r="M955" s="7"/>
      <c r="N955" s="7"/>
      <c r="O955" s="7"/>
    </row>
    <row r="956">
      <c r="I956" s="7"/>
      <c r="J956" s="7"/>
      <c r="K956" s="7"/>
      <c r="L956" s="7"/>
      <c r="M956" s="7"/>
      <c r="N956" s="7"/>
      <c r="O956" s="7"/>
    </row>
    <row r="957">
      <c r="I957" s="7"/>
      <c r="J957" s="7"/>
      <c r="K957" s="7"/>
      <c r="L957" s="7"/>
      <c r="M957" s="7"/>
      <c r="N957" s="7"/>
      <c r="O957" s="7"/>
    </row>
    <row r="958">
      <c r="I958" s="7"/>
      <c r="J958" s="7"/>
      <c r="K958" s="7"/>
      <c r="L958" s="7"/>
      <c r="M958" s="7"/>
      <c r="N958" s="7"/>
      <c r="O958" s="7"/>
    </row>
    <row r="959">
      <c r="I959" s="7"/>
      <c r="J959" s="7"/>
      <c r="K959" s="7"/>
      <c r="L959" s="7"/>
      <c r="M959" s="7"/>
      <c r="N959" s="7"/>
      <c r="O959" s="7"/>
    </row>
    <row r="960">
      <c r="I960" s="7"/>
      <c r="J960" s="7"/>
      <c r="K960" s="7"/>
      <c r="L960" s="7"/>
      <c r="M960" s="7"/>
      <c r="N960" s="7"/>
      <c r="O960" s="7"/>
    </row>
    <row r="961">
      <c r="I961" s="7"/>
      <c r="J961" s="7"/>
      <c r="K961" s="7"/>
      <c r="L961" s="7"/>
      <c r="M961" s="7"/>
      <c r="N961" s="7"/>
      <c r="O961" s="7"/>
    </row>
    <row r="962">
      <c r="I962" s="7"/>
      <c r="J962" s="7"/>
      <c r="K962" s="7"/>
      <c r="L962" s="7"/>
      <c r="M962" s="7"/>
      <c r="N962" s="7"/>
      <c r="O962" s="7"/>
    </row>
    <row r="963">
      <c r="I963" s="7"/>
      <c r="J963" s="7"/>
      <c r="K963" s="7"/>
      <c r="L963" s="7"/>
      <c r="M963" s="7"/>
      <c r="N963" s="7"/>
      <c r="O963" s="7"/>
    </row>
    <row r="964">
      <c r="I964" s="7"/>
      <c r="J964" s="7"/>
      <c r="K964" s="7"/>
      <c r="L964" s="7"/>
      <c r="M964" s="7"/>
      <c r="N964" s="7"/>
      <c r="O964" s="7"/>
    </row>
    <row r="965">
      <c r="I965" s="7"/>
      <c r="J965" s="7"/>
      <c r="K965" s="7"/>
      <c r="L965" s="7"/>
      <c r="M965" s="7"/>
      <c r="N965" s="7"/>
      <c r="O965" s="7"/>
    </row>
    <row r="966">
      <c r="I966" s="7"/>
      <c r="J966" s="7"/>
      <c r="K966" s="7"/>
      <c r="L966" s="7"/>
      <c r="M966" s="7"/>
      <c r="N966" s="7"/>
      <c r="O966" s="7"/>
    </row>
    <row r="967">
      <c r="I967" s="7"/>
      <c r="J967" s="7"/>
      <c r="K967" s="7"/>
      <c r="L967" s="7"/>
      <c r="M967" s="7"/>
      <c r="N967" s="7"/>
      <c r="O967" s="7"/>
    </row>
    <row r="968">
      <c r="I968" s="7"/>
      <c r="J968" s="7"/>
      <c r="K968" s="7"/>
      <c r="L968" s="7"/>
      <c r="M968" s="7"/>
      <c r="N968" s="7"/>
      <c r="O968" s="7"/>
    </row>
    <row r="969">
      <c r="I969" s="7"/>
      <c r="J969" s="7"/>
      <c r="K969" s="7"/>
      <c r="L969" s="7"/>
      <c r="M969" s="7"/>
      <c r="N969" s="7"/>
      <c r="O969" s="7"/>
    </row>
    <row r="970">
      <c r="I970" s="7"/>
      <c r="J970" s="7"/>
      <c r="K970" s="7"/>
      <c r="L970" s="7"/>
      <c r="M970" s="7"/>
      <c r="N970" s="7"/>
      <c r="O970" s="7"/>
    </row>
    <row r="971">
      <c r="I971" s="7"/>
      <c r="J971" s="7"/>
      <c r="K971" s="7"/>
      <c r="L971" s="7"/>
      <c r="M971" s="7"/>
      <c r="N971" s="7"/>
      <c r="O971" s="7"/>
    </row>
    <row r="972">
      <c r="I972" s="7"/>
      <c r="J972" s="7"/>
      <c r="K972" s="7"/>
      <c r="L972" s="7"/>
      <c r="M972" s="7"/>
      <c r="N972" s="7"/>
      <c r="O972" s="7"/>
    </row>
    <row r="973">
      <c r="I973" s="7"/>
      <c r="J973" s="7"/>
      <c r="K973" s="7"/>
      <c r="L973" s="7"/>
      <c r="M973" s="7"/>
      <c r="N973" s="7"/>
      <c r="O973" s="7"/>
    </row>
    <row r="974">
      <c r="I974" s="7"/>
      <c r="J974" s="7"/>
      <c r="K974" s="7"/>
      <c r="L974" s="7"/>
      <c r="M974" s="7"/>
      <c r="N974" s="7"/>
      <c r="O974" s="7"/>
    </row>
    <row r="975">
      <c r="I975" s="7"/>
      <c r="J975" s="7"/>
      <c r="K975" s="7"/>
      <c r="L975" s="7"/>
      <c r="M975" s="7"/>
      <c r="N975" s="7"/>
      <c r="O975" s="7"/>
    </row>
    <row r="976">
      <c r="I976" s="7"/>
      <c r="J976" s="7"/>
      <c r="K976" s="7"/>
      <c r="L976" s="7"/>
      <c r="M976" s="7"/>
      <c r="N976" s="7"/>
      <c r="O976" s="7"/>
    </row>
    <row r="977">
      <c r="I977" s="7"/>
      <c r="J977" s="7"/>
      <c r="K977" s="7"/>
      <c r="L977" s="7"/>
      <c r="M977" s="7"/>
      <c r="N977" s="7"/>
      <c r="O977" s="7"/>
    </row>
    <row r="978">
      <c r="I978" s="7"/>
      <c r="J978" s="7"/>
      <c r="K978" s="7"/>
      <c r="L978" s="7"/>
      <c r="M978" s="7"/>
      <c r="N978" s="7"/>
      <c r="O978" s="7"/>
    </row>
    <row r="979">
      <c r="I979" s="7"/>
      <c r="J979" s="7"/>
      <c r="K979" s="7"/>
      <c r="L979" s="7"/>
      <c r="M979" s="7"/>
      <c r="N979" s="7"/>
      <c r="O979" s="7"/>
    </row>
    <row r="980">
      <c r="I980" s="7"/>
      <c r="J980" s="7"/>
      <c r="K980" s="7"/>
      <c r="L980" s="7"/>
      <c r="M980" s="7"/>
      <c r="N980" s="7"/>
      <c r="O980" s="7"/>
    </row>
    <row r="981">
      <c r="I981" s="7"/>
      <c r="J981" s="7"/>
      <c r="K981" s="7"/>
      <c r="L981" s="7"/>
      <c r="M981" s="7"/>
      <c r="N981" s="7"/>
      <c r="O981" s="7"/>
    </row>
    <row r="982">
      <c r="I982" s="7"/>
      <c r="J982" s="7"/>
      <c r="K982" s="7"/>
      <c r="L982" s="7"/>
      <c r="M982" s="7"/>
      <c r="N982" s="7"/>
      <c r="O982" s="7"/>
    </row>
    <row r="983">
      <c r="I983" s="7"/>
      <c r="J983" s="7"/>
      <c r="K983" s="7"/>
      <c r="L983" s="7"/>
      <c r="M983" s="7"/>
      <c r="N983" s="7"/>
      <c r="O983" s="7"/>
    </row>
    <row r="984">
      <c r="I984" s="7"/>
      <c r="J984" s="7"/>
      <c r="K984" s="7"/>
      <c r="L984" s="7"/>
      <c r="M984" s="7"/>
      <c r="N984" s="7"/>
      <c r="O984" s="7"/>
    </row>
    <row r="985">
      <c r="I985" s="7"/>
      <c r="J985" s="7"/>
      <c r="K985" s="7"/>
      <c r="L985" s="7"/>
      <c r="M985" s="7"/>
      <c r="N985" s="7"/>
      <c r="O985" s="7"/>
    </row>
    <row r="986">
      <c r="I986" s="7"/>
      <c r="J986" s="7"/>
      <c r="K986" s="7"/>
      <c r="L986" s="7"/>
      <c r="M986" s="7"/>
      <c r="N986" s="7"/>
      <c r="O986" s="7"/>
    </row>
    <row r="987">
      <c r="I987" s="7"/>
      <c r="J987" s="7"/>
      <c r="K987" s="7"/>
      <c r="L987" s="7"/>
      <c r="M987" s="7"/>
      <c r="N987" s="7"/>
      <c r="O987" s="7"/>
    </row>
    <row r="988">
      <c r="I988" s="7"/>
      <c r="J988" s="7"/>
      <c r="K988" s="7"/>
      <c r="L988" s="7"/>
      <c r="M988" s="7"/>
      <c r="N988" s="7"/>
      <c r="O988" s="7"/>
    </row>
    <row r="989">
      <c r="I989" s="7"/>
      <c r="J989" s="7"/>
      <c r="K989" s="7"/>
      <c r="L989" s="7"/>
      <c r="M989" s="7"/>
      <c r="N989" s="7"/>
      <c r="O989" s="7"/>
    </row>
    <row r="990">
      <c r="I990" s="7"/>
      <c r="J990" s="7"/>
      <c r="K990" s="7"/>
      <c r="L990" s="7"/>
      <c r="M990" s="7"/>
      <c r="N990" s="7"/>
      <c r="O990" s="7"/>
    </row>
    <row r="991">
      <c r="I991" s="7"/>
      <c r="J991" s="7"/>
      <c r="K991" s="7"/>
      <c r="L991" s="7"/>
      <c r="M991" s="7"/>
      <c r="N991" s="7"/>
      <c r="O991" s="7"/>
    </row>
    <row r="992">
      <c r="I992" s="7"/>
      <c r="J992" s="7"/>
      <c r="K992" s="7"/>
      <c r="L992" s="7"/>
      <c r="M992" s="7"/>
      <c r="N992" s="7"/>
      <c r="O992" s="7"/>
    </row>
    <row r="993">
      <c r="I993" s="7"/>
      <c r="J993" s="7"/>
      <c r="K993" s="7"/>
      <c r="L993" s="7"/>
      <c r="M993" s="7"/>
      <c r="N993" s="7"/>
      <c r="O993" s="7"/>
    </row>
    <row r="994">
      <c r="I994" s="7"/>
      <c r="J994" s="7"/>
      <c r="K994" s="7"/>
      <c r="L994" s="7"/>
      <c r="M994" s="7"/>
      <c r="N994" s="7"/>
      <c r="O994" s="7"/>
    </row>
    <row r="995">
      <c r="I995" s="7"/>
      <c r="J995" s="7"/>
      <c r="K995" s="7"/>
      <c r="L995" s="7"/>
      <c r="M995" s="7"/>
      <c r="N995" s="7"/>
      <c r="O995" s="7"/>
    </row>
    <row r="996">
      <c r="I996" s="7"/>
      <c r="J996" s="7"/>
      <c r="K996" s="7"/>
      <c r="L996" s="7"/>
      <c r="M996" s="7"/>
      <c r="N996" s="7"/>
      <c r="O996" s="7"/>
    </row>
    <row r="997">
      <c r="I997" s="7"/>
      <c r="J997" s="7"/>
      <c r="K997" s="7"/>
      <c r="L997" s="7"/>
      <c r="M997" s="7"/>
      <c r="N997" s="7"/>
      <c r="O997" s="7"/>
    </row>
    <row r="998">
      <c r="I998" s="7"/>
      <c r="J998" s="7"/>
      <c r="K998" s="7"/>
      <c r="L998" s="7"/>
      <c r="M998" s="7"/>
      <c r="N998" s="7"/>
      <c r="O998" s="7"/>
    </row>
    <row r="999">
      <c r="I999" s="7"/>
      <c r="J999" s="7"/>
      <c r="K999" s="7"/>
      <c r="L999" s="7"/>
      <c r="M999" s="7"/>
      <c r="N999" s="7"/>
      <c r="O999" s="7"/>
    </row>
    <row r="1000">
      <c r="I1000" s="7"/>
      <c r="J1000" s="7"/>
      <c r="K1000" s="7"/>
      <c r="L1000" s="7"/>
      <c r="M1000" s="7"/>
      <c r="N1000" s="7"/>
      <c r="O1000" s="7"/>
    </row>
    <row r="1001">
      <c r="I1001" s="7"/>
      <c r="J1001" s="7"/>
      <c r="K1001" s="7"/>
      <c r="L1001" s="7"/>
      <c r="M1001" s="7"/>
      <c r="N1001" s="7"/>
      <c r="O1001" s="7"/>
    </row>
    <row r="1002">
      <c r="I1002" s="7"/>
      <c r="J1002" s="7"/>
      <c r="K1002" s="7"/>
      <c r="L1002" s="7"/>
      <c r="M1002" s="7"/>
      <c r="N1002" s="7"/>
      <c r="O1002" s="7"/>
    </row>
    <row r="1003">
      <c r="I1003" s="7"/>
      <c r="J1003" s="7"/>
      <c r="K1003" s="7"/>
      <c r="L1003" s="7"/>
      <c r="M1003" s="7"/>
      <c r="N1003" s="7"/>
      <c r="O1003" s="7"/>
    </row>
    <row r="1004">
      <c r="I1004" s="7"/>
      <c r="J1004" s="7"/>
      <c r="K1004" s="7"/>
      <c r="L1004" s="7"/>
      <c r="M1004" s="7"/>
      <c r="N1004" s="7"/>
      <c r="O1004" s="7"/>
    </row>
    <row r="1005">
      <c r="I1005" s="7"/>
      <c r="J1005" s="7"/>
      <c r="K1005" s="7"/>
      <c r="L1005" s="7"/>
      <c r="M1005" s="7"/>
      <c r="N1005" s="7"/>
      <c r="O1005" s="7"/>
    </row>
    <row r="1006">
      <c r="I1006" s="7"/>
      <c r="J1006" s="7"/>
      <c r="K1006" s="7"/>
      <c r="L1006" s="7"/>
      <c r="M1006" s="7"/>
      <c r="N1006" s="7"/>
      <c r="O1006" s="7"/>
    </row>
    <row r="1007">
      <c r="I1007" s="7"/>
      <c r="J1007" s="7"/>
      <c r="K1007" s="7"/>
      <c r="L1007" s="7"/>
      <c r="M1007" s="7"/>
      <c r="N1007" s="7"/>
      <c r="O1007" s="7"/>
    </row>
    <row r="1008">
      <c r="I1008" s="7"/>
      <c r="J1008" s="7"/>
      <c r="K1008" s="7"/>
      <c r="L1008" s="7"/>
      <c r="M1008" s="7"/>
      <c r="N1008" s="7"/>
      <c r="O1008" s="7"/>
    </row>
    <row r="1009">
      <c r="I1009" s="7"/>
      <c r="J1009" s="7"/>
      <c r="K1009" s="7"/>
      <c r="L1009" s="7"/>
      <c r="M1009" s="7"/>
      <c r="N1009" s="7"/>
      <c r="O1009" s="7"/>
    </row>
    <row r="1010">
      <c r="I1010" s="7"/>
      <c r="J1010" s="7"/>
      <c r="K1010" s="7"/>
      <c r="L1010" s="7"/>
      <c r="M1010" s="7"/>
      <c r="N1010" s="7"/>
      <c r="O1010" s="7"/>
    </row>
    <row r="1011">
      <c r="I1011" s="7"/>
      <c r="J1011" s="7"/>
      <c r="K1011" s="7"/>
      <c r="L1011" s="7"/>
      <c r="M1011" s="7"/>
      <c r="N1011" s="7"/>
      <c r="O1011" s="7"/>
    </row>
    <row r="1012">
      <c r="I1012" s="7"/>
      <c r="J1012" s="7"/>
      <c r="K1012" s="7"/>
      <c r="L1012" s="7"/>
      <c r="M1012" s="7"/>
      <c r="N1012" s="7"/>
      <c r="O1012" s="7"/>
    </row>
    <row r="1013">
      <c r="I1013" s="7"/>
      <c r="J1013" s="7"/>
      <c r="K1013" s="7"/>
      <c r="L1013" s="7"/>
      <c r="M1013" s="7"/>
      <c r="N1013" s="7"/>
      <c r="O1013" s="7"/>
    </row>
    <row r="1014">
      <c r="I1014" s="7"/>
      <c r="J1014" s="7"/>
      <c r="K1014" s="7"/>
      <c r="L1014" s="7"/>
      <c r="M1014" s="7"/>
      <c r="N1014" s="7"/>
      <c r="O1014" s="7"/>
    </row>
    <row r="1015">
      <c r="I1015" s="7"/>
      <c r="J1015" s="7"/>
      <c r="K1015" s="7"/>
      <c r="L1015" s="7"/>
      <c r="M1015" s="7"/>
      <c r="N1015" s="7"/>
      <c r="O1015" s="7"/>
    </row>
    <row r="1016">
      <c r="I1016" s="7"/>
      <c r="J1016" s="7"/>
      <c r="K1016" s="7"/>
      <c r="L1016" s="7"/>
      <c r="M1016" s="7"/>
      <c r="N1016" s="7"/>
      <c r="O1016" s="7"/>
    </row>
    <row r="1017">
      <c r="I1017" s="7"/>
      <c r="J1017" s="7"/>
      <c r="K1017" s="7"/>
      <c r="L1017" s="7"/>
      <c r="M1017" s="7"/>
      <c r="N1017" s="7"/>
      <c r="O1017" s="7"/>
    </row>
    <row r="1018">
      <c r="I1018" s="7"/>
      <c r="J1018" s="7"/>
      <c r="K1018" s="7"/>
      <c r="L1018" s="7"/>
      <c r="M1018" s="7"/>
      <c r="N1018" s="7"/>
      <c r="O1018" s="7"/>
    </row>
    <row r="1019">
      <c r="I1019" s="7"/>
      <c r="J1019" s="7"/>
      <c r="K1019" s="7"/>
      <c r="L1019" s="7"/>
      <c r="M1019" s="7"/>
      <c r="N1019" s="7"/>
      <c r="O1019" s="7"/>
    </row>
    <row r="1020">
      <c r="I1020" s="7"/>
      <c r="J1020" s="7"/>
      <c r="K1020" s="7"/>
      <c r="L1020" s="7"/>
      <c r="M1020" s="7"/>
      <c r="N1020" s="7"/>
      <c r="O1020" s="7"/>
    </row>
    <row r="1021">
      <c r="I1021" s="7"/>
      <c r="J1021" s="7"/>
      <c r="K1021" s="7"/>
      <c r="L1021" s="7"/>
      <c r="M1021" s="7"/>
      <c r="N1021" s="7"/>
      <c r="O1021" s="7"/>
    </row>
    <row r="1022">
      <c r="I1022" s="7"/>
      <c r="J1022" s="7"/>
      <c r="K1022" s="7"/>
      <c r="L1022" s="7"/>
      <c r="M1022" s="7"/>
      <c r="N1022" s="7"/>
      <c r="O1022" s="7"/>
    </row>
    <row r="1023">
      <c r="I1023" s="7"/>
      <c r="J1023" s="7"/>
      <c r="K1023" s="7"/>
      <c r="L1023" s="7"/>
      <c r="M1023" s="7"/>
      <c r="N1023" s="7"/>
      <c r="O1023" s="7"/>
    </row>
    <row r="1024">
      <c r="I1024" s="7"/>
      <c r="J1024" s="7"/>
      <c r="K1024" s="7"/>
      <c r="L1024" s="7"/>
      <c r="M1024" s="7"/>
      <c r="N1024" s="7"/>
      <c r="O1024" s="7"/>
    </row>
  </sheetData>
  <mergeCells count="751">
    <mergeCell ref="D12:E12"/>
    <mergeCell ref="F12:H12"/>
    <mergeCell ref="B10:C10"/>
    <mergeCell ref="D10:E10"/>
    <mergeCell ref="F10:H10"/>
    <mergeCell ref="B11:C11"/>
    <mergeCell ref="D11:E11"/>
    <mergeCell ref="F11:H11"/>
    <mergeCell ref="B12:C12"/>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19:C19"/>
    <mergeCell ref="D19:E19"/>
    <mergeCell ref="F19:H19"/>
    <mergeCell ref="B20:C20"/>
    <mergeCell ref="D20:E20"/>
    <mergeCell ref="F20:H20"/>
    <mergeCell ref="B21:C21"/>
    <mergeCell ref="D24:E24"/>
    <mergeCell ref="F24:H24"/>
    <mergeCell ref="B22:C22"/>
    <mergeCell ref="D22:E22"/>
    <mergeCell ref="F22:H22"/>
    <mergeCell ref="B23:C23"/>
    <mergeCell ref="D23:E23"/>
    <mergeCell ref="F23:H23"/>
    <mergeCell ref="B24:C24"/>
    <mergeCell ref="D27:E27"/>
    <mergeCell ref="F27:H27"/>
    <mergeCell ref="B25:C25"/>
    <mergeCell ref="D25:E25"/>
    <mergeCell ref="F25:H25"/>
    <mergeCell ref="B26:C26"/>
    <mergeCell ref="D26:E26"/>
    <mergeCell ref="F26:H26"/>
    <mergeCell ref="B27:C27"/>
    <mergeCell ref="D30:E30"/>
    <mergeCell ref="F30:H30"/>
    <mergeCell ref="B28:C28"/>
    <mergeCell ref="D28:E28"/>
    <mergeCell ref="F28:H28"/>
    <mergeCell ref="B29:C29"/>
    <mergeCell ref="D29:E29"/>
    <mergeCell ref="F29:H29"/>
    <mergeCell ref="B30:C30"/>
    <mergeCell ref="D33:E33"/>
    <mergeCell ref="F33:H33"/>
    <mergeCell ref="B31:C31"/>
    <mergeCell ref="D31:E31"/>
    <mergeCell ref="F31:H31"/>
    <mergeCell ref="B32:C32"/>
    <mergeCell ref="D32:E32"/>
    <mergeCell ref="F32:H32"/>
    <mergeCell ref="B33:C33"/>
    <mergeCell ref="D36:E36"/>
    <mergeCell ref="F36:H36"/>
    <mergeCell ref="B34:C34"/>
    <mergeCell ref="D34:E34"/>
    <mergeCell ref="F34:H34"/>
    <mergeCell ref="B35:C35"/>
    <mergeCell ref="D35:E35"/>
    <mergeCell ref="F35:H35"/>
    <mergeCell ref="B36:C36"/>
    <mergeCell ref="D39:E39"/>
    <mergeCell ref="F39:H39"/>
    <mergeCell ref="B37:C37"/>
    <mergeCell ref="D37:E37"/>
    <mergeCell ref="F37:H37"/>
    <mergeCell ref="B38:C38"/>
    <mergeCell ref="D38:E38"/>
    <mergeCell ref="F38:H38"/>
    <mergeCell ref="B39:C39"/>
    <mergeCell ref="D42:E42"/>
    <mergeCell ref="F42:H42"/>
    <mergeCell ref="B40:C40"/>
    <mergeCell ref="D40:E40"/>
    <mergeCell ref="F40:H40"/>
    <mergeCell ref="B41:C41"/>
    <mergeCell ref="D41:E41"/>
    <mergeCell ref="F41:H41"/>
    <mergeCell ref="B42:C42"/>
    <mergeCell ref="D45:E45"/>
    <mergeCell ref="F45:H45"/>
    <mergeCell ref="B43:C43"/>
    <mergeCell ref="D43:E43"/>
    <mergeCell ref="F43:H43"/>
    <mergeCell ref="B44:C44"/>
    <mergeCell ref="D44:E44"/>
    <mergeCell ref="F44:H44"/>
    <mergeCell ref="B45:C45"/>
    <mergeCell ref="D48:E48"/>
    <mergeCell ref="F48:H48"/>
    <mergeCell ref="B46:C46"/>
    <mergeCell ref="D46:E46"/>
    <mergeCell ref="F46:H46"/>
    <mergeCell ref="B47:C47"/>
    <mergeCell ref="D47:E47"/>
    <mergeCell ref="F47:H47"/>
    <mergeCell ref="B48:C48"/>
    <mergeCell ref="D51:E51"/>
    <mergeCell ref="F51:H51"/>
    <mergeCell ref="B49:C49"/>
    <mergeCell ref="D49:E49"/>
    <mergeCell ref="F49:H49"/>
    <mergeCell ref="B50:C50"/>
    <mergeCell ref="D50:E50"/>
    <mergeCell ref="F50:H50"/>
    <mergeCell ref="B51:C51"/>
    <mergeCell ref="D54:E54"/>
    <mergeCell ref="F54:H54"/>
    <mergeCell ref="B52:C52"/>
    <mergeCell ref="D52:E52"/>
    <mergeCell ref="F52:H52"/>
    <mergeCell ref="B53:C53"/>
    <mergeCell ref="D53:E53"/>
    <mergeCell ref="F53:H53"/>
    <mergeCell ref="B54:C54"/>
    <mergeCell ref="D57:E57"/>
    <mergeCell ref="F57:H57"/>
    <mergeCell ref="B55:C55"/>
    <mergeCell ref="D55:E55"/>
    <mergeCell ref="F55:H55"/>
    <mergeCell ref="B56:C56"/>
    <mergeCell ref="D56:E56"/>
    <mergeCell ref="F56:H56"/>
    <mergeCell ref="B57:C57"/>
    <mergeCell ref="D60:E60"/>
    <mergeCell ref="F60:H60"/>
    <mergeCell ref="B58:C58"/>
    <mergeCell ref="D58:E58"/>
    <mergeCell ref="F58:H58"/>
    <mergeCell ref="B59:C59"/>
    <mergeCell ref="D59:E59"/>
    <mergeCell ref="F59:H59"/>
    <mergeCell ref="B60:C60"/>
    <mergeCell ref="D63:E63"/>
    <mergeCell ref="F63:H63"/>
    <mergeCell ref="B61:C61"/>
    <mergeCell ref="D61:E61"/>
    <mergeCell ref="F61:H61"/>
    <mergeCell ref="B62:C62"/>
    <mergeCell ref="D62:E62"/>
    <mergeCell ref="F62:H62"/>
    <mergeCell ref="B63:C63"/>
    <mergeCell ref="D66:E66"/>
    <mergeCell ref="F66:H66"/>
    <mergeCell ref="B64:C64"/>
    <mergeCell ref="D64:E64"/>
    <mergeCell ref="F64:H64"/>
    <mergeCell ref="B65:C65"/>
    <mergeCell ref="D65:E65"/>
    <mergeCell ref="F65:H65"/>
    <mergeCell ref="B66:C66"/>
    <mergeCell ref="D69:E69"/>
    <mergeCell ref="F69:H69"/>
    <mergeCell ref="B67:C67"/>
    <mergeCell ref="D67:E67"/>
    <mergeCell ref="F67:H67"/>
    <mergeCell ref="B68:C68"/>
    <mergeCell ref="D68:E68"/>
    <mergeCell ref="F68:H68"/>
    <mergeCell ref="B69:C69"/>
    <mergeCell ref="D72:E72"/>
    <mergeCell ref="F72:H72"/>
    <mergeCell ref="B70:C70"/>
    <mergeCell ref="D70:E70"/>
    <mergeCell ref="F70:H70"/>
    <mergeCell ref="B71:C71"/>
    <mergeCell ref="D71:E71"/>
    <mergeCell ref="F71:H71"/>
    <mergeCell ref="B72:C72"/>
    <mergeCell ref="D75:E75"/>
    <mergeCell ref="F75:H75"/>
    <mergeCell ref="B73:C73"/>
    <mergeCell ref="D73:E73"/>
    <mergeCell ref="F73:H73"/>
    <mergeCell ref="B74:C74"/>
    <mergeCell ref="D74:E74"/>
    <mergeCell ref="F74:H74"/>
    <mergeCell ref="B75:C75"/>
    <mergeCell ref="D78:E78"/>
    <mergeCell ref="F78:H78"/>
    <mergeCell ref="B76:C76"/>
    <mergeCell ref="D76:E76"/>
    <mergeCell ref="F76:H76"/>
    <mergeCell ref="B77:C77"/>
    <mergeCell ref="D77:E77"/>
    <mergeCell ref="F77:H77"/>
    <mergeCell ref="B78:C78"/>
    <mergeCell ref="D81:E81"/>
    <mergeCell ref="F81:H81"/>
    <mergeCell ref="B79:C79"/>
    <mergeCell ref="D79:E79"/>
    <mergeCell ref="F79:H79"/>
    <mergeCell ref="B80:C80"/>
    <mergeCell ref="D80:E80"/>
    <mergeCell ref="F80:H80"/>
    <mergeCell ref="B81:C81"/>
    <mergeCell ref="D84:E84"/>
    <mergeCell ref="F84:H84"/>
    <mergeCell ref="B82:C82"/>
    <mergeCell ref="D82:E82"/>
    <mergeCell ref="F82:H82"/>
    <mergeCell ref="B83:C83"/>
    <mergeCell ref="D83:E83"/>
    <mergeCell ref="F83:H83"/>
    <mergeCell ref="B84:C84"/>
    <mergeCell ref="D87:E87"/>
    <mergeCell ref="F87:H87"/>
    <mergeCell ref="B85:C85"/>
    <mergeCell ref="D85:E85"/>
    <mergeCell ref="F85:H85"/>
    <mergeCell ref="B86:C86"/>
    <mergeCell ref="D86:E86"/>
    <mergeCell ref="F86:H86"/>
    <mergeCell ref="B87:C87"/>
    <mergeCell ref="D90:E90"/>
    <mergeCell ref="F90:H90"/>
    <mergeCell ref="B88:C88"/>
    <mergeCell ref="D88:E88"/>
    <mergeCell ref="F88:H88"/>
    <mergeCell ref="B89:C89"/>
    <mergeCell ref="D89:E89"/>
    <mergeCell ref="F89:H89"/>
    <mergeCell ref="B90:C90"/>
    <mergeCell ref="D93:E93"/>
    <mergeCell ref="F93:H93"/>
    <mergeCell ref="B91:C91"/>
    <mergeCell ref="D91:E91"/>
    <mergeCell ref="F91:H91"/>
    <mergeCell ref="B92:C92"/>
    <mergeCell ref="D92:E92"/>
    <mergeCell ref="F92:H92"/>
    <mergeCell ref="B93:C93"/>
    <mergeCell ref="D96:E96"/>
    <mergeCell ref="F96:H96"/>
    <mergeCell ref="B94:C94"/>
    <mergeCell ref="D94:E94"/>
    <mergeCell ref="F94:H94"/>
    <mergeCell ref="B95:C95"/>
    <mergeCell ref="D95:E95"/>
    <mergeCell ref="F95:H95"/>
    <mergeCell ref="B96:C96"/>
    <mergeCell ref="D99:E99"/>
    <mergeCell ref="F99:H99"/>
    <mergeCell ref="B97:C97"/>
    <mergeCell ref="D97:E97"/>
    <mergeCell ref="F97:H97"/>
    <mergeCell ref="B98:C98"/>
    <mergeCell ref="D98:E98"/>
    <mergeCell ref="F98:H98"/>
    <mergeCell ref="B99:C99"/>
    <mergeCell ref="D102:E102"/>
    <mergeCell ref="F102:H102"/>
    <mergeCell ref="B100:C100"/>
    <mergeCell ref="D100:E100"/>
    <mergeCell ref="F100:H100"/>
    <mergeCell ref="B101:C101"/>
    <mergeCell ref="D101:E101"/>
    <mergeCell ref="F101:H101"/>
    <mergeCell ref="B102:C102"/>
    <mergeCell ref="D105:E105"/>
    <mergeCell ref="F105:H105"/>
    <mergeCell ref="B103:C103"/>
    <mergeCell ref="D103:E103"/>
    <mergeCell ref="F103:H103"/>
    <mergeCell ref="B104:C104"/>
    <mergeCell ref="D104:E104"/>
    <mergeCell ref="F104:H104"/>
    <mergeCell ref="B105:C105"/>
    <mergeCell ref="D108:E108"/>
    <mergeCell ref="F108:H108"/>
    <mergeCell ref="B106:C106"/>
    <mergeCell ref="D106:E106"/>
    <mergeCell ref="F106:H106"/>
    <mergeCell ref="B107:C107"/>
    <mergeCell ref="D107:E107"/>
    <mergeCell ref="F107:H107"/>
    <mergeCell ref="B108:C108"/>
    <mergeCell ref="D111:E111"/>
    <mergeCell ref="F111:H111"/>
    <mergeCell ref="B109:C109"/>
    <mergeCell ref="D109:E109"/>
    <mergeCell ref="F109:H109"/>
    <mergeCell ref="B110:C110"/>
    <mergeCell ref="D110:E110"/>
    <mergeCell ref="F110:H110"/>
    <mergeCell ref="B111:C111"/>
    <mergeCell ref="D114:E114"/>
    <mergeCell ref="F114:H114"/>
    <mergeCell ref="B112:C112"/>
    <mergeCell ref="D112:E112"/>
    <mergeCell ref="F112:H112"/>
    <mergeCell ref="B113:C113"/>
    <mergeCell ref="D113:E113"/>
    <mergeCell ref="F113:H113"/>
    <mergeCell ref="B114:C114"/>
    <mergeCell ref="D117:E117"/>
    <mergeCell ref="F117:H117"/>
    <mergeCell ref="B115:C115"/>
    <mergeCell ref="D115:E115"/>
    <mergeCell ref="F115:H115"/>
    <mergeCell ref="B116:C116"/>
    <mergeCell ref="D116:E116"/>
    <mergeCell ref="F116:H116"/>
    <mergeCell ref="B117:C117"/>
    <mergeCell ref="D120:E120"/>
    <mergeCell ref="F120:H120"/>
    <mergeCell ref="B118:C118"/>
    <mergeCell ref="D118:E118"/>
    <mergeCell ref="F118:H118"/>
    <mergeCell ref="B119:C119"/>
    <mergeCell ref="D119:E119"/>
    <mergeCell ref="F119:H119"/>
    <mergeCell ref="B120:C120"/>
    <mergeCell ref="D3:E3"/>
    <mergeCell ref="F3:H3"/>
    <mergeCell ref="B1:C1"/>
    <mergeCell ref="D1:E1"/>
    <mergeCell ref="F1:H1"/>
    <mergeCell ref="B2:C2"/>
    <mergeCell ref="D2:E2"/>
    <mergeCell ref="F2:H2"/>
    <mergeCell ref="B3:C3"/>
    <mergeCell ref="D6:E6"/>
    <mergeCell ref="F6:H6"/>
    <mergeCell ref="B4:C4"/>
    <mergeCell ref="D4:E4"/>
    <mergeCell ref="F4:H4"/>
    <mergeCell ref="B5:C5"/>
    <mergeCell ref="D5:E5"/>
    <mergeCell ref="F5:H5"/>
    <mergeCell ref="B6:C6"/>
    <mergeCell ref="D9:E9"/>
    <mergeCell ref="F9:H9"/>
    <mergeCell ref="B7:C7"/>
    <mergeCell ref="D7:E7"/>
    <mergeCell ref="F7:H7"/>
    <mergeCell ref="B8:C8"/>
    <mergeCell ref="D8:E8"/>
    <mergeCell ref="F8:H8"/>
    <mergeCell ref="B9:C9"/>
    <mergeCell ref="B121:C121"/>
    <mergeCell ref="D121:E121"/>
    <mergeCell ref="F121:H121"/>
    <mergeCell ref="B122:C122"/>
    <mergeCell ref="D122:E122"/>
    <mergeCell ref="F122:H122"/>
    <mergeCell ref="B123:C123"/>
    <mergeCell ref="D123:E123"/>
    <mergeCell ref="F123:H123"/>
    <mergeCell ref="F126:H126"/>
    <mergeCell ref="F127:H127"/>
    <mergeCell ref="F128:H128"/>
    <mergeCell ref="F129:H129"/>
    <mergeCell ref="F130:H130"/>
    <mergeCell ref="F131:H131"/>
    <mergeCell ref="F132:H132"/>
    <mergeCell ref="F133:H133"/>
    <mergeCell ref="F134:H134"/>
    <mergeCell ref="F135:H135"/>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G337:H337"/>
    <mergeCell ref="G338:H338"/>
    <mergeCell ref="G339:H339"/>
    <mergeCell ref="G340:H340"/>
    <mergeCell ref="G330:H330"/>
    <mergeCell ref="G331:H331"/>
    <mergeCell ref="G332:H332"/>
    <mergeCell ref="G333:H333"/>
    <mergeCell ref="G334:H334"/>
    <mergeCell ref="G335:H335"/>
    <mergeCell ref="G336:H336"/>
    <mergeCell ref="G392:I392"/>
    <mergeCell ref="G393:I393"/>
    <mergeCell ref="A388:B388"/>
    <mergeCell ref="A389:B389"/>
    <mergeCell ref="A390:B390"/>
    <mergeCell ref="A391:B391"/>
    <mergeCell ref="G391:I391"/>
    <mergeCell ref="A392:B392"/>
    <mergeCell ref="A393:B393"/>
    <mergeCell ref="G398:I398"/>
    <mergeCell ref="G399:I399"/>
    <mergeCell ref="A394:B394"/>
    <mergeCell ref="G394:I394"/>
    <mergeCell ref="A395:B395"/>
    <mergeCell ref="G395:I395"/>
    <mergeCell ref="A396:B396"/>
    <mergeCell ref="G396:I396"/>
    <mergeCell ref="G397:I397"/>
    <mergeCell ref="G401:I401"/>
    <mergeCell ref="G402:I402"/>
    <mergeCell ref="A397:B397"/>
    <mergeCell ref="A398:B398"/>
    <mergeCell ref="A399:B399"/>
    <mergeCell ref="A400:B400"/>
    <mergeCell ref="G400:I400"/>
    <mergeCell ref="A401:B401"/>
    <mergeCell ref="A402:B402"/>
    <mergeCell ref="G407:I407"/>
    <mergeCell ref="G408:I408"/>
    <mergeCell ref="A403:B403"/>
    <mergeCell ref="G403:I403"/>
    <mergeCell ref="A404:B404"/>
    <mergeCell ref="G404:I404"/>
    <mergeCell ref="A405:B405"/>
    <mergeCell ref="G405:I405"/>
    <mergeCell ref="G406:I406"/>
    <mergeCell ref="G410:I410"/>
    <mergeCell ref="G411:I411"/>
    <mergeCell ref="A406:B406"/>
    <mergeCell ref="A407:B407"/>
    <mergeCell ref="A408:B408"/>
    <mergeCell ref="A409:B409"/>
    <mergeCell ref="G409:I409"/>
    <mergeCell ref="A410:B410"/>
    <mergeCell ref="A411:B411"/>
    <mergeCell ref="E422:H422"/>
    <mergeCell ref="E423:H423"/>
    <mergeCell ref="E424:H424"/>
    <mergeCell ref="E425:H425"/>
    <mergeCell ref="E426:H426"/>
    <mergeCell ref="E427:H427"/>
    <mergeCell ref="E428:H428"/>
    <mergeCell ref="E429:H429"/>
    <mergeCell ref="E430:H430"/>
    <mergeCell ref="E431:H431"/>
    <mergeCell ref="E432:H432"/>
    <mergeCell ref="E433:H433"/>
    <mergeCell ref="E434:H434"/>
    <mergeCell ref="E435:H435"/>
    <mergeCell ref="E436:H436"/>
    <mergeCell ref="E437:H437"/>
    <mergeCell ref="E438:H438"/>
    <mergeCell ref="E439:H439"/>
    <mergeCell ref="E440:H440"/>
    <mergeCell ref="A451:H451"/>
    <mergeCell ref="B453:H453"/>
    <mergeCell ref="B461:H461"/>
    <mergeCell ref="A462:H462"/>
    <mergeCell ref="A463:H463"/>
    <mergeCell ref="A464:H464"/>
    <mergeCell ref="B454:H454"/>
    <mergeCell ref="B455:H455"/>
    <mergeCell ref="B456:H456"/>
    <mergeCell ref="B457:H457"/>
    <mergeCell ref="B458:H458"/>
    <mergeCell ref="B459:H459"/>
    <mergeCell ref="B460:H460"/>
    <mergeCell ref="F313:H313"/>
    <mergeCell ref="F314:H314"/>
    <mergeCell ref="F315:H315"/>
    <mergeCell ref="F316:H316"/>
    <mergeCell ref="F317:H317"/>
    <mergeCell ref="F318:H318"/>
    <mergeCell ref="F319:H319"/>
    <mergeCell ref="F320:H320"/>
    <mergeCell ref="G324:H324"/>
    <mergeCell ref="G325:H325"/>
    <mergeCell ref="G326:H326"/>
    <mergeCell ref="G327:H327"/>
    <mergeCell ref="G328:H328"/>
    <mergeCell ref="G329:H329"/>
    <mergeCell ref="G349:I349"/>
    <mergeCell ref="G350:I350"/>
    <mergeCell ref="G346:I346"/>
    <mergeCell ref="A347:B347"/>
    <mergeCell ref="G347:I347"/>
    <mergeCell ref="A348:B348"/>
    <mergeCell ref="G348:I348"/>
    <mergeCell ref="A349:B349"/>
    <mergeCell ref="A350:B350"/>
    <mergeCell ref="A351:B351"/>
    <mergeCell ref="G351:I351"/>
    <mergeCell ref="A352:B352"/>
    <mergeCell ref="G352:I352"/>
    <mergeCell ref="A353:B353"/>
    <mergeCell ref="G353:I353"/>
    <mergeCell ref="G354:I354"/>
    <mergeCell ref="A354:B354"/>
    <mergeCell ref="A355:B355"/>
    <mergeCell ref="A356:B356"/>
    <mergeCell ref="A357:B357"/>
    <mergeCell ref="A358:B358"/>
    <mergeCell ref="A359:B359"/>
    <mergeCell ref="A360:B360"/>
    <mergeCell ref="B414:I414"/>
    <mergeCell ref="A415:I415"/>
    <mergeCell ref="E417:H417"/>
    <mergeCell ref="E418:H418"/>
    <mergeCell ref="E419:H419"/>
    <mergeCell ref="E420:H420"/>
    <mergeCell ref="E421:H421"/>
    <mergeCell ref="G362:I362"/>
    <mergeCell ref="G363:I363"/>
    <mergeCell ref="G355:I355"/>
    <mergeCell ref="G356:I356"/>
    <mergeCell ref="G357:I357"/>
    <mergeCell ref="G358:I358"/>
    <mergeCell ref="G359:I359"/>
    <mergeCell ref="G360:I360"/>
    <mergeCell ref="G361:I361"/>
    <mergeCell ref="G365:I365"/>
    <mergeCell ref="G366:I366"/>
    <mergeCell ref="A361:B361"/>
    <mergeCell ref="A362:B362"/>
    <mergeCell ref="A363:B363"/>
    <mergeCell ref="A364:B364"/>
    <mergeCell ref="G364:I364"/>
    <mergeCell ref="A365:B365"/>
    <mergeCell ref="A366:B366"/>
    <mergeCell ref="G371:I371"/>
    <mergeCell ref="G372:I372"/>
    <mergeCell ref="A367:B367"/>
    <mergeCell ref="G367:I367"/>
    <mergeCell ref="A368:B368"/>
    <mergeCell ref="G368:I368"/>
    <mergeCell ref="A369:B369"/>
    <mergeCell ref="G369:I369"/>
    <mergeCell ref="G370:I370"/>
    <mergeCell ref="G374:I374"/>
    <mergeCell ref="G375:I375"/>
    <mergeCell ref="A370:B370"/>
    <mergeCell ref="A371:B371"/>
    <mergeCell ref="A372:B372"/>
    <mergeCell ref="A373:B373"/>
    <mergeCell ref="G373:I373"/>
    <mergeCell ref="A374:B374"/>
    <mergeCell ref="A375:B375"/>
    <mergeCell ref="G380:I380"/>
    <mergeCell ref="G381:I381"/>
    <mergeCell ref="A376:B376"/>
    <mergeCell ref="G376:I376"/>
    <mergeCell ref="A377:B377"/>
    <mergeCell ref="G377:I377"/>
    <mergeCell ref="A378:B378"/>
    <mergeCell ref="G378:I378"/>
    <mergeCell ref="G379:I379"/>
    <mergeCell ref="G383:I383"/>
    <mergeCell ref="G384:I384"/>
    <mergeCell ref="A379:B379"/>
    <mergeCell ref="A380:B380"/>
    <mergeCell ref="A381:B381"/>
    <mergeCell ref="A382:B382"/>
    <mergeCell ref="G382:I382"/>
    <mergeCell ref="A383:B383"/>
    <mergeCell ref="A384:B384"/>
    <mergeCell ref="G389:I389"/>
    <mergeCell ref="G390:I390"/>
    <mergeCell ref="A385:B385"/>
    <mergeCell ref="G385:I385"/>
    <mergeCell ref="A386:B386"/>
    <mergeCell ref="G386:I386"/>
    <mergeCell ref="A387:B387"/>
    <mergeCell ref="G387:I387"/>
    <mergeCell ref="G388:I388"/>
  </mergeCells>
  <conditionalFormatting sqref="A1:Z1">
    <cfRule type="notContainsBlanks" dxfId="0" priority="1">
      <formula>LEN(TRIM(A1))&gt;0</formula>
    </cfRule>
  </conditionalFormatting>
  <conditionalFormatting sqref="J347:J411">
    <cfRule type="containsText" dxfId="0" priority="2" operator="containsText" text="Yes">
      <formula>NOT(ISERROR(SEARCH(("Yes"),(J347))))</formula>
    </cfRule>
  </conditionalFormatting>
  <conditionalFormatting sqref="J347:J411">
    <cfRule type="containsText" dxfId="1" priority="3" operator="containsText" text="No">
      <formula>NOT(ISERROR(SEARCH(("No"),(J347))))</formula>
    </cfRule>
  </conditionalFormatting>
  <conditionalFormatting sqref="J347:J411">
    <cfRule type="containsText" dxfId="2" priority="4" operator="containsText" text="Changes">
      <formula>NOT(ISERROR(SEARCH(("Changes"),(J347))))</formula>
    </cfRule>
  </conditionalFormatting>
  <hyperlinks>
    <hyperlink r:id="rId4" ref="A2"/>
    <hyperlink r:id="rId5" location="Hats" ref="D2"/>
    <hyperlink r:id="rId6" ref="A3"/>
    <hyperlink r:id="rId7" location="Hats" ref="D3"/>
    <hyperlink r:id="rId8" ref="A4"/>
    <hyperlink r:id="rId9" ref="A5"/>
    <hyperlink r:id="rId10" location="Hats" ref="D5"/>
    <hyperlink r:id="rId11" ref="A6"/>
    <hyperlink r:id="rId12" ref="D6"/>
    <hyperlink r:id="rId13" ref="A7"/>
    <hyperlink r:id="rId14" location="Hats" ref="D7"/>
    <hyperlink r:id="rId15" ref="A8"/>
    <hyperlink r:id="rId16" ref="D8"/>
    <hyperlink r:id="rId17" ref="A9"/>
    <hyperlink r:id="rId18" ref="A10"/>
    <hyperlink r:id="rId19" location="Villager_Shops" ref="D10"/>
    <hyperlink r:id="rId20" ref="A11"/>
    <hyperlink r:id="rId21" location="Hats" ref="D11"/>
    <hyperlink r:id="rId22" ref="A12"/>
    <hyperlink r:id="rId23" ref="D12"/>
    <hyperlink r:id="rId24" ref="A13"/>
    <hyperlink r:id="rId25" ref="D13"/>
    <hyperlink r:id="rId26" ref="A14"/>
    <hyperlink r:id="rId27" ref="D14"/>
    <hyperlink r:id="rId28" ref="A15"/>
    <hyperlink r:id="rId29" location="Hats" ref="D15"/>
    <hyperlink r:id="rId30" ref="A16"/>
    <hyperlink r:id="rId31" location="Hats" ref="D16"/>
    <hyperlink r:id="rId32" ref="A17"/>
    <hyperlink r:id="rId33" ref="D17"/>
    <hyperlink r:id="rId34" ref="A18"/>
    <hyperlink r:id="rId35" ref="D18"/>
    <hyperlink r:id="rId36" location="Hats" ref="D19"/>
    <hyperlink r:id="rId37" ref="A20"/>
    <hyperlink r:id="rId38" ref="D20"/>
    <hyperlink r:id="rId39" ref="A21"/>
    <hyperlink r:id="rId40" ref="D21"/>
    <hyperlink r:id="rId41" ref="A22"/>
    <hyperlink r:id="rId42" location="Hats" ref="D22"/>
    <hyperlink r:id="rId43" ref="A23"/>
    <hyperlink r:id="rId44" location="Prize_Machine" ref="D23"/>
    <hyperlink r:id="rId45" ref="A24"/>
    <hyperlink r:id="rId46" ref="D24"/>
    <hyperlink r:id="rId47" ref="A25"/>
    <hyperlink r:id="rId48" ref="D25"/>
    <hyperlink r:id="rId49" ref="A26"/>
    <hyperlink r:id="rId50" ref="A27"/>
    <hyperlink r:id="rId51" ref="D27"/>
    <hyperlink r:id="rId52" ref="A28"/>
    <hyperlink r:id="rId53" location="Monster_Eradication_Goals" ref="D28"/>
    <hyperlink r:id="rId54" ref="D29"/>
    <hyperlink r:id="rId55" ref="A30"/>
    <hyperlink r:id="rId56" ref="D30"/>
    <hyperlink r:id="rId57" ref="A31"/>
    <hyperlink r:id="rId58" ref="D31"/>
    <hyperlink r:id="rId59" ref="A32"/>
    <hyperlink r:id="rId60" ref="D32"/>
    <hyperlink r:id="rId61" ref="A33"/>
    <hyperlink r:id="rId62" location="Hats" ref="D33"/>
    <hyperlink r:id="rId63" ref="A34"/>
    <hyperlink r:id="rId64" ref="D34"/>
    <hyperlink r:id="rId65" ref="A35"/>
    <hyperlink r:id="rId66" location="Hats" ref="D35"/>
    <hyperlink r:id="rId67" ref="A36"/>
    <hyperlink r:id="rId68" location="Hats" ref="D36"/>
    <hyperlink r:id="rId69" ref="A37"/>
    <hyperlink r:id="rId70" location="Hats" ref="D37"/>
    <hyperlink r:id="rId71" ref="A38"/>
    <hyperlink r:id="rId72" location="Help_Wanted_Quests" ref="D38"/>
    <hyperlink r:id="rId73" ref="A39"/>
    <hyperlink r:id="rId74" ref="D39"/>
    <hyperlink r:id="rId75" ref="A40"/>
    <hyperlink r:id="rId76" location="Hats" ref="D40"/>
    <hyperlink r:id="rId77" ref="A41"/>
    <hyperlink r:id="rId78" ref="D41"/>
    <hyperlink r:id="rId79" ref="A42"/>
    <hyperlink r:id="rId80" location="Hats" ref="D42"/>
    <hyperlink r:id="rId81" ref="A43"/>
    <hyperlink r:id="rId82" location="Hats" ref="D43"/>
    <hyperlink r:id="rId83" ref="A44"/>
    <hyperlink r:id="rId84" location="Hats" ref="D44"/>
    <hyperlink r:id="rId85" ref="A45"/>
    <hyperlink r:id="rId86" ref="D45"/>
    <hyperlink r:id="rId87" ref="A46"/>
    <hyperlink r:id="rId88" location="cite_note-tgp-2" ref="D46"/>
    <hyperlink r:id="rId89" ref="A47"/>
    <hyperlink r:id="rId90" ref="D47"/>
    <hyperlink r:id="rId91" ref="A48"/>
    <hyperlink r:id="rId92" ref="D48"/>
    <hyperlink r:id="rId93" ref="A49"/>
    <hyperlink r:id="rId94" ref="D49"/>
    <hyperlink r:id="rId95" ref="A50"/>
    <hyperlink r:id="rId96" ref="D50"/>
    <hyperlink r:id="rId97" ref="A51"/>
    <hyperlink r:id="rId98" location="Calico_Egg_Merchant" ref="D51"/>
    <hyperlink r:id="rId99" ref="A52"/>
    <hyperlink r:id="rId100" ref="D52"/>
    <hyperlink r:id="rId101" ref="A53"/>
    <hyperlink r:id="rId102" ref="D53"/>
    <hyperlink r:id="rId103" ref="A54"/>
    <hyperlink r:id="rId104" ref="D54"/>
    <hyperlink r:id="rId105" ref="A55"/>
    <hyperlink r:id="rId106" ref="D55"/>
    <hyperlink r:id="rId107" ref="A56"/>
    <hyperlink r:id="rId108" ref="A57"/>
    <hyperlink r:id="rId109" location="Hats" ref="D57"/>
    <hyperlink r:id="rId110" ref="A58"/>
    <hyperlink r:id="rId111" ref="D58"/>
    <hyperlink r:id="rId112" ref="A59"/>
    <hyperlink r:id="rId113" ref="D59"/>
    <hyperlink r:id="rId114" ref="A60"/>
    <hyperlink r:id="rId115" location="Emily.27s_Outfit_Services" ref="D60"/>
    <hyperlink r:id="rId116" ref="A61"/>
    <hyperlink r:id="rId117" location="Monster_Eradication_Goals" ref="D61"/>
    <hyperlink r:id="rId118" ref="A62"/>
    <hyperlink r:id="rId119" ref="D62"/>
    <hyperlink r:id="rId120" ref="A63"/>
    <hyperlink r:id="rId121" location="Emily.27s_Outfit_Services" ref="D63"/>
    <hyperlink r:id="rId122" ref="A64"/>
    <hyperlink r:id="rId123" ref="D64"/>
    <hyperlink r:id="rId124" ref="A65"/>
    <hyperlink r:id="rId125" ref="D65"/>
    <hyperlink r:id="rId126" ref="A66"/>
    <hyperlink r:id="rId127" ref="D66"/>
    <hyperlink r:id="rId128" ref="A67"/>
    <hyperlink r:id="rId129" ref="A68"/>
    <hyperlink r:id="rId130" location="Monster_Eradication_Goals" ref="D68"/>
    <hyperlink r:id="rId131" ref="A69"/>
    <hyperlink r:id="rId132" location="Hats" ref="D69"/>
    <hyperlink r:id="rId133" ref="A70"/>
    <hyperlink r:id="rId134" ref="D70"/>
    <hyperlink r:id="rId135" ref="A71"/>
    <hyperlink r:id="rId136" ref="D71"/>
    <hyperlink r:id="rId137" ref="A72"/>
    <hyperlink r:id="rId138" ref="A73"/>
    <hyperlink r:id="rId139" location="Hats" ref="D73"/>
    <hyperlink r:id="rId140" ref="A74"/>
    <hyperlink r:id="rId141" ref="D74"/>
    <hyperlink r:id="rId142" ref="A75"/>
    <hyperlink r:id="rId143" ref="D75"/>
    <hyperlink r:id="rId144" ref="A76"/>
    <hyperlink r:id="rId145" location="Hats" ref="D76"/>
    <hyperlink r:id="rId146" ref="A77"/>
    <hyperlink r:id="rId147" ref="D77"/>
    <hyperlink r:id="rId148" ref="A78"/>
    <hyperlink r:id="rId149" ref="D78"/>
    <hyperlink r:id="rId150" ref="A79"/>
    <hyperlink r:id="rId151" location="Skull_Cavern" ref="D79"/>
    <hyperlink r:id="rId152" ref="A80"/>
    <hyperlink r:id="rId153" ref="D80"/>
    <hyperlink r:id="rId154" ref="A81"/>
    <hyperlink r:id="rId155" location="Presents" ref="D81"/>
    <hyperlink r:id="rId156" ref="A82"/>
    <hyperlink r:id="rId157" location="Hats" ref="D82"/>
    <hyperlink r:id="rId158" ref="A83"/>
    <hyperlink r:id="rId159" location="Hats" ref="D83"/>
    <hyperlink r:id="rId160" ref="A84"/>
    <hyperlink r:id="rId161" location="Hats" ref="D84"/>
    <hyperlink r:id="rId162" ref="A85"/>
    <hyperlink r:id="rId163" location="Hats" ref="D85"/>
    <hyperlink r:id="rId164" ref="A86"/>
    <hyperlink r:id="rId165" ref="D86"/>
    <hyperlink r:id="rId166" ref="A87"/>
    <hyperlink r:id="rId167" location="Hats" ref="D87"/>
    <hyperlink r:id="rId168" ref="A88"/>
    <hyperlink r:id="rId169" ref="D88"/>
    <hyperlink r:id="rId170" ref="A89"/>
    <hyperlink r:id="rId171" ref="D89"/>
    <hyperlink r:id="rId172" ref="A90"/>
    <hyperlink r:id="rId173" ref="D90"/>
    <hyperlink r:id="rId174" ref="A91"/>
    <hyperlink r:id="rId175" ref="D91"/>
    <hyperlink r:id="rId176" ref="A92"/>
    <hyperlink r:id="rId177" location="Hats" ref="D92"/>
    <hyperlink r:id="rId178" ref="A93"/>
    <hyperlink r:id="rId179" ref="D93"/>
    <hyperlink r:id="rId180" ref="A94"/>
    <hyperlink r:id="rId181" ref="D94"/>
    <hyperlink r:id="rId182" ref="A95"/>
    <hyperlink r:id="rId183" ref="D95"/>
    <hyperlink r:id="rId184" ref="A96"/>
    <hyperlink r:id="rId185" location="Calico_Egg_Merchant" ref="D96"/>
    <hyperlink r:id="rId186" ref="A97"/>
    <hyperlink r:id="rId187" ref="D97"/>
    <hyperlink r:id="rId188" ref="A98"/>
    <hyperlink r:id="rId189" location="Emily.27s_Outfit_Services" ref="D98"/>
    <hyperlink r:id="rId190" ref="A99"/>
    <hyperlink r:id="rId191" ref="D99"/>
    <hyperlink r:id="rId192" ref="A100"/>
    <hyperlink r:id="rId193" ref="D100"/>
    <hyperlink r:id="rId194" ref="A101"/>
    <hyperlink r:id="rId195" ref="D101"/>
    <hyperlink r:id="rId196" ref="A102"/>
    <hyperlink r:id="rId197" ref="D102"/>
    <hyperlink r:id="rId198" ref="A103"/>
    <hyperlink r:id="rId199" ref="D103"/>
    <hyperlink r:id="rId200" ref="A104"/>
    <hyperlink r:id="rId201" ref="A105"/>
    <hyperlink r:id="rId202" location="Magic_Shop_Boat" ref="D105"/>
    <hyperlink r:id="rId203" location="Help_Wanted_Quests" ref="D106"/>
    <hyperlink r:id="rId204" ref="A107"/>
    <hyperlink r:id="rId205" ref="D107"/>
    <hyperlink r:id="rId206" ref="A108"/>
    <hyperlink r:id="rId207" ref="D108"/>
    <hyperlink r:id="rId208" ref="A109"/>
    <hyperlink r:id="rId209" ref="D109"/>
    <hyperlink r:id="rId210" ref="A110"/>
    <hyperlink r:id="rId211" ref="D110"/>
    <hyperlink r:id="rId212" ref="A111"/>
    <hyperlink r:id="rId213" location="Hats" ref="D111"/>
    <hyperlink r:id="rId214" ref="A112"/>
    <hyperlink r:id="rId215" ref="A113"/>
    <hyperlink r:id="rId216" ref="D113"/>
    <hyperlink r:id="rId217" ref="A114"/>
    <hyperlink r:id="rId218" ref="D114"/>
    <hyperlink r:id="rId219" ref="A115"/>
    <hyperlink r:id="rId220" ref="D115"/>
    <hyperlink r:id="rId221" ref="A116"/>
    <hyperlink r:id="rId222" location="Calico_Egg_Merchant" ref="D116"/>
    <hyperlink r:id="rId223" ref="A117"/>
    <hyperlink r:id="rId224" ref="D117"/>
    <hyperlink r:id="rId225" ref="A118"/>
    <hyperlink r:id="rId226" location="Hats" ref="D118"/>
    <hyperlink r:id="rId227" ref="A119"/>
    <hyperlink r:id="rId228" location="Hats" ref="D119"/>
    <hyperlink r:id="rId229" ref="A120"/>
    <hyperlink r:id="rId230" ref="D120"/>
    <hyperlink r:id="rId231" ref="A121"/>
    <hyperlink r:id="rId232" location="Monster_Eradication_Goals" ref="D121"/>
    <hyperlink r:id="rId233" ref="A122"/>
    <hyperlink r:id="rId234" location="Villager_Shops" ref="D122"/>
    <hyperlink r:id="rId235" ref="A123"/>
    <hyperlink r:id="rId236" ref="D123"/>
    <hyperlink r:id="rId237" ref="E126"/>
    <hyperlink r:id="rId238" ref="E127"/>
    <hyperlink r:id="rId239" ref="E128"/>
    <hyperlink r:id="rId240" ref="E131"/>
    <hyperlink r:id="rId241" ref="E132"/>
    <hyperlink r:id="rId242" ref="E133"/>
    <hyperlink r:id="rId243" ref="E134"/>
    <hyperlink r:id="rId244" location="cite_note-softedgepullover-3" ref="D135"/>
    <hyperlink r:id="rId245" ref="E135"/>
    <hyperlink r:id="rId246" ref="E136"/>
    <hyperlink r:id="rId247" ref="E137"/>
    <hyperlink r:id="rId248" ref="E138"/>
    <hyperlink r:id="rId249" ref="E139"/>
    <hyperlink r:id="rId250" ref="E140"/>
    <hyperlink r:id="rId251" ref="E141"/>
    <hyperlink r:id="rId252" ref="E142"/>
    <hyperlink r:id="rId253" ref="E143"/>
    <hyperlink r:id="rId254" ref="E144"/>
    <hyperlink r:id="rId255" ref="E145"/>
    <hyperlink r:id="rId256" ref="E146"/>
    <hyperlink r:id="rId257" ref="E147"/>
    <hyperlink r:id="rId258" ref="E148"/>
    <hyperlink r:id="rId259" ref="E149"/>
    <hyperlink r:id="rId260" ref="E151"/>
    <hyperlink r:id="rId261" ref="E152"/>
    <hyperlink r:id="rId262" ref="E153"/>
    <hyperlink r:id="rId263" ref="E154"/>
    <hyperlink r:id="rId264" ref="E155"/>
    <hyperlink r:id="rId265" ref="E156"/>
    <hyperlink r:id="rId266" ref="E157"/>
    <hyperlink r:id="rId267" ref="E158"/>
    <hyperlink r:id="rId268" ref="E159"/>
    <hyperlink r:id="rId269" ref="E160"/>
    <hyperlink r:id="rId270" ref="E161"/>
    <hyperlink r:id="rId271" ref="E162"/>
    <hyperlink r:id="rId272" ref="E164"/>
    <hyperlink r:id="rId273" ref="E165"/>
    <hyperlink r:id="rId274" ref="E166"/>
    <hyperlink r:id="rId275" ref="D167"/>
    <hyperlink r:id="rId276" ref="E167"/>
    <hyperlink r:id="rId277" ref="D168"/>
    <hyperlink r:id="rId278" ref="E168"/>
    <hyperlink r:id="rId279" ref="E169"/>
    <hyperlink r:id="rId280" ref="E170"/>
    <hyperlink r:id="rId281" ref="E171"/>
    <hyperlink r:id="rId282" ref="E172"/>
    <hyperlink r:id="rId283" ref="E173"/>
    <hyperlink r:id="rId284" ref="E174"/>
    <hyperlink r:id="rId285" ref="E175"/>
    <hyperlink r:id="rId286" ref="E177"/>
    <hyperlink r:id="rId287" location="Medical_Supplies" ref="E178"/>
    <hyperlink r:id="rId288" ref="E179"/>
    <hyperlink r:id="rId289" ref="E180"/>
    <hyperlink r:id="rId290" ref="E182"/>
    <hyperlink r:id="rId291" ref="E183"/>
    <hyperlink r:id="rId292" ref="E184"/>
    <hyperlink r:id="rId293" ref="E185"/>
    <hyperlink r:id="rId294" ref="E186"/>
    <hyperlink r:id="rId295" ref="E188"/>
    <hyperlink r:id="rId296" ref="E189"/>
    <hyperlink r:id="rId297" ref="E190"/>
    <hyperlink r:id="rId298" ref="E192"/>
    <hyperlink r:id="rId299" ref="D193"/>
    <hyperlink r:id="rId300" ref="E193"/>
    <hyperlink r:id="rId301" ref="E194"/>
    <hyperlink r:id="rId302" ref="E195"/>
    <hyperlink r:id="rId303" ref="E196"/>
    <hyperlink r:id="rId304" ref="E197"/>
    <hyperlink r:id="rId305" ref="E198"/>
    <hyperlink r:id="rId306" ref="E199"/>
    <hyperlink r:id="rId307" ref="E200"/>
    <hyperlink r:id="rId308" ref="E202"/>
    <hyperlink r:id="rId309" ref="E203"/>
    <hyperlink r:id="rId310" ref="E204"/>
    <hyperlink r:id="rId311" ref="E205"/>
    <hyperlink r:id="rId312" ref="E206"/>
    <hyperlink r:id="rId313" ref="D207"/>
    <hyperlink r:id="rId314" ref="E208"/>
    <hyperlink r:id="rId315" ref="E209"/>
    <hyperlink r:id="rId316" ref="E210"/>
    <hyperlink r:id="rId317" ref="E211"/>
    <hyperlink r:id="rId318" ref="E212"/>
    <hyperlink r:id="rId319" ref="E213"/>
    <hyperlink r:id="rId320" ref="E214"/>
    <hyperlink r:id="rId321" ref="E215"/>
    <hyperlink r:id="rId322" ref="E216"/>
    <hyperlink r:id="rId323" ref="E217"/>
    <hyperlink r:id="rId324" ref="E218"/>
    <hyperlink r:id="rId325" ref="E219"/>
    <hyperlink r:id="rId326" ref="E220"/>
    <hyperlink r:id="rId327" location="Medical_Supplies" ref="E221"/>
    <hyperlink r:id="rId328" ref="E222"/>
    <hyperlink r:id="rId329" ref="E223"/>
    <hyperlink r:id="rId330" ref="E224"/>
    <hyperlink r:id="rId331" ref="E225"/>
    <hyperlink r:id="rId332" ref="E226"/>
    <hyperlink r:id="rId333" ref="E227"/>
    <hyperlink r:id="rId334" ref="E228"/>
    <hyperlink r:id="rId335" ref="E229"/>
    <hyperlink r:id="rId336" ref="E230"/>
    <hyperlink r:id="rId337" ref="E231"/>
    <hyperlink r:id="rId338" ref="E232"/>
    <hyperlink r:id="rId339" ref="E237"/>
    <hyperlink r:id="rId340" ref="E238"/>
    <hyperlink r:id="rId341" ref="E239"/>
    <hyperlink r:id="rId342" ref="E240"/>
    <hyperlink r:id="rId343" ref="E241"/>
    <hyperlink r:id="rId344" ref="E242"/>
    <hyperlink r:id="rId345" ref="E243"/>
    <hyperlink r:id="rId346" ref="E244"/>
    <hyperlink r:id="rId347" ref="E245"/>
    <hyperlink r:id="rId348" ref="E247"/>
    <hyperlink r:id="rId349" ref="E248"/>
    <hyperlink r:id="rId350" ref="E249"/>
    <hyperlink r:id="rId351" ref="E250"/>
    <hyperlink r:id="rId352" ref="E251"/>
    <hyperlink r:id="rId353" ref="E252"/>
    <hyperlink r:id="rId354" ref="E253"/>
    <hyperlink r:id="rId355" ref="E254"/>
    <hyperlink r:id="rId356" ref="E256"/>
    <hyperlink r:id="rId357" ref="E257"/>
    <hyperlink r:id="rId358" ref="E259"/>
    <hyperlink r:id="rId359" ref="E260"/>
    <hyperlink r:id="rId360" ref="E261"/>
    <hyperlink r:id="rId361" ref="E262"/>
    <hyperlink r:id="rId362" ref="E263"/>
    <hyperlink r:id="rId363" ref="E264"/>
    <hyperlink r:id="rId364" ref="E265"/>
    <hyperlink r:id="rId365" ref="E266"/>
    <hyperlink r:id="rId366" ref="E268"/>
    <hyperlink r:id="rId367" ref="E269"/>
    <hyperlink r:id="rId368" ref="E270"/>
    <hyperlink r:id="rId369" ref="E271"/>
    <hyperlink r:id="rId370" ref="E272"/>
    <hyperlink r:id="rId371" ref="E273"/>
    <hyperlink r:id="rId372" ref="E274"/>
    <hyperlink r:id="rId373" ref="E275"/>
    <hyperlink r:id="rId374" ref="D276"/>
    <hyperlink r:id="rId375" ref="E276"/>
    <hyperlink r:id="rId376" ref="D277"/>
    <hyperlink r:id="rId377" ref="E277"/>
    <hyperlink r:id="rId378" ref="E278"/>
    <hyperlink r:id="rId379" ref="E279"/>
    <hyperlink r:id="rId380" ref="E280"/>
    <hyperlink r:id="rId381" ref="E281"/>
    <hyperlink r:id="rId382" ref="E282"/>
    <hyperlink r:id="rId383" ref="E284"/>
    <hyperlink r:id="rId384" ref="E285"/>
    <hyperlink r:id="rId385" ref="E286"/>
    <hyperlink r:id="rId386" ref="E287"/>
    <hyperlink r:id="rId387" ref="E288"/>
    <hyperlink r:id="rId388" ref="E289"/>
    <hyperlink r:id="rId389" ref="E290"/>
    <hyperlink r:id="rId390" ref="E291"/>
    <hyperlink r:id="rId391" ref="E292"/>
    <hyperlink r:id="rId392" ref="E294"/>
    <hyperlink r:id="rId393" ref="E295"/>
    <hyperlink r:id="rId394" ref="E296"/>
    <hyperlink r:id="rId395" ref="E297"/>
    <hyperlink r:id="rId396" ref="E298"/>
    <hyperlink r:id="rId397" ref="E299"/>
    <hyperlink r:id="rId398" ref="E300"/>
    <hyperlink r:id="rId399" ref="E301"/>
    <hyperlink r:id="rId400" ref="E302"/>
    <hyperlink r:id="rId401" ref="E303"/>
    <hyperlink r:id="rId402" ref="E304"/>
    <hyperlink r:id="rId403" ref="E305"/>
    <hyperlink r:id="rId404" ref="E306"/>
    <hyperlink r:id="rId405" ref="E307"/>
    <hyperlink r:id="rId406" ref="E309"/>
    <hyperlink r:id="rId407" ref="E310"/>
    <hyperlink r:id="rId408" ref="E311"/>
    <hyperlink r:id="rId409" ref="E312"/>
    <hyperlink r:id="rId410" ref="E313"/>
    <hyperlink r:id="rId411" ref="E314"/>
    <hyperlink r:id="rId412" ref="E315"/>
    <hyperlink r:id="rId413" ref="E316"/>
    <hyperlink r:id="rId414" ref="E317"/>
    <hyperlink r:id="rId415" ref="E318"/>
    <hyperlink r:id="rId416" ref="E319"/>
    <hyperlink r:id="rId417" ref="D324"/>
    <hyperlink r:id="rId418" ref="D325"/>
    <hyperlink r:id="rId419" ref="D326"/>
    <hyperlink r:id="rId420" ref="D327"/>
    <hyperlink r:id="rId421" ref="D328"/>
    <hyperlink r:id="rId422" ref="D329"/>
    <hyperlink r:id="rId423" ref="D331"/>
    <hyperlink r:id="rId424" ref="D332"/>
    <hyperlink r:id="rId425" ref="D333"/>
    <hyperlink r:id="rId426" ref="D334"/>
    <hyperlink r:id="rId427" ref="D335"/>
    <hyperlink r:id="rId428" ref="D336"/>
    <hyperlink r:id="rId429" ref="D337"/>
    <hyperlink r:id="rId430" ref="D338"/>
  </hyperlinks>
  <drawing r:id="rId431"/>
  <legacyDrawing r:id="rId4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0.38"/>
    <col customWidth="1" min="3" max="3" width="20.38"/>
    <col customWidth="1" min="4" max="4" width="20.5"/>
    <col customWidth="1" min="5" max="5" width="22.0"/>
    <col customWidth="1" min="8" max="8" width="46.13"/>
    <col customWidth="1" min="9" max="9" width="26.63"/>
  </cols>
  <sheetData>
    <row r="1">
      <c r="A1" s="1" t="s">
        <v>0</v>
      </c>
      <c r="B1" s="2" t="s">
        <v>1</v>
      </c>
      <c r="C1" s="3"/>
      <c r="D1" s="4" t="s">
        <v>2</v>
      </c>
      <c r="E1" s="3"/>
      <c r="F1" s="4" t="s">
        <v>3</v>
      </c>
      <c r="G1" s="5"/>
      <c r="H1" s="3"/>
      <c r="I1" s="6" t="s">
        <v>4</v>
      </c>
      <c r="J1" s="7"/>
      <c r="K1" s="7"/>
      <c r="L1" s="7"/>
      <c r="M1" s="7"/>
      <c r="N1" s="7"/>
      <c r="O1" s="7"/>
    </row>
    <row r="2">
      <c r="A2" s="8" t="s">
        <v>5</v>
      </c>
      <c r="B2" s="9" t="s">
        <v>6</v>
      </c>
      <c r="C2" s="10"/>
      <c r="D2" s="11" t="s">
        <v>7</v>
      </c>
      <c r="E2" s="10"/>
      <c r="F2" s="12" t="s">
        <v>1768</v>
      </c>
      <c r="G2" s="13"/>
      <c r="H2" s="10"/>
      <c r="I2" s="14"/>
      <c r="J2" s="7"/>
      <c r="K2" s="7"/>
      <c r="L2" s="7"/>
      <c r="M2" s="7"/>
      <c r="N2" s="7">
        <f t="shared" ref="N2:N123" si="1"> IF(ISBLANK(F2), 0, 1)</f>
        <v>1</v>
      </c>
      <c r="O2" s="7"/>
    </row>
    <row r="3" ht="16.5" customHeight="1">
      <c r="A3" s="8" t="s">
        <v>9</v>
      </c>
      <c r="B3" s="9" t="s">
        <v>10</v>
      </c>
      <c r="C3" s="10"/>
      <c r="D3" s="11" t="s">
        <v>11</v>
      </c>
      <c r="E3" s="10"/>
      <c r="F3" s="12" t="s">
        <v>13</v>
      </c>
      <c r="G3" s="13"/>
      <c r="H3" s="10"/>
      <c r="I3" s="14"/>
      <c r="J3" s="7"/>
      <c r="K3" s="7"/>
      <c r="L3" s="7"/>
      <c r="M3" s="7"/>
      <c r="N3" s="7">
        <f t="shared" si="1"/>
        <v>1</v>
      </c>
      <c r="O3" s="7"/>
    </row>
    <row r="4">
      <c r="A4" s="8" t="s">
        <v>14</v>
      </c>
      <c r="B4" s="9" t="s">
        <v>15</v>
      </c>
      <c r="C4" s="10"/>
      <c r="D4" s="15" t="s">
        <v>16</v>
      </c>
      <c r="E4" s="10"/>
      <c r="F4" s="16"/>
      <c r="G4" s="13"/>
      <c r="H4" s="10"/>
      <c r="I4" s="14"/>
      <c r="J4" s="7"/>
      <c r="K4" s="7"/>
      <c r="L4" s="7"/>
      <c r="M4" s="7"/>
      <c r="N4" s="7">
        <f t="shared" si="1"/>
        <v>0</v>
      </c>
      <c r="O4" s="7"/>
    </row>
    <row r="5">
      <c r="A5" s="8" t="s">
        <v>17</v>
      </c>
      <c r="B5" s="9" t="s">
        <v>18</v>
      </c>
      <c r="C5" s="10"/>
      <c r="D5" s="11" t="s">
        <v>7</v>
      </c>
      <c r="E5" s="10"/>
      <c r="F5" s="12" t="s">
        <v>19</v>
      </c>
      <c r="G5" s="13"/>
      <c r="H5" s="10"/>
      <c r="I5" s="17" t="s">
        <v>20</v>
      </c>
      <c r="J5" s="7"/>
      <c r="K5" s="7"/>
      <c r="L5" s="7"/>
      <c r="M5" s="7"/>
      <c r="N5" s="7">
        <f t="shared" si="1"/>
        <v>1</v>
      </c>
      <c r="O5" s="7"/>
    </row>
    <row r="6">
      <c r="A6" s="8" t="s">
        <v>21</v>
      </c>
      <c r="B6" s="9" t="s">
        <v>22</v>
      </c>
      <c r="C6" s="10"/>
      <c r="D6" s="18" t="s">
        <v>23</v>
      </c>
      <c r="E6" s="10"/>
      <c r="F6" s="12" t="s">
        <v>24</v>
      </c>
      <c r="G6" s="13"/>
      <c r="H6" s="10"/>
      <c r="I6" s="14"/>
      <c r="J6" s="7"/>
      <c r="K6" s="7"/>
      <c r="L6" s="7"/>
      <c r="M6" s="7"/>
      <c r="N6" s="7">
        <f t="shared" si="1"/>
        <v>1</v>
      </c>
      <c r="O6" s="7"/>
    </row>
    <row r="7">
      <c r="A7" s="8" t="s">
        <v>25</v>
      </c>
      <c r="B7" s="9" t="s">
        <v>26</v>
      </c>
      <c r="C7" s="10"/>
      <c r="D7" s="11" t="s">
        <v>7</v>
      </c>
      <c r="E7" s="10"/>
      <c r="F7" s="12" t="s">
        <v>27</v>
      </c>
      <c r="G7" s="13"/>
      <c r="H7" s="10"/>
      <c r="I7" s="14"/>
      <c r="J7" s="7"/>
      <c r="K7" s="7"/>
      <c r="L7" s="7"/>
      <c r="M7" s="7"/>
      <c r="N7" s="7">
        <f t="shared" si="1"/>
        <v>1</v>
      </c>
      <c r="O7" s="7"/>
    </row>
    <row r="8">
      <c r="A8" s="8" t="s">
        <v>28</v>
      </c>
      <c r="B8" s="9" t="s">
        <v>29</v>
      </c>
      <c r="C8" s="10"/>
      <c r="D8" s="11" t="s">
        <v>30</v>
      </c>
      <c r="E8" s="10"/>
      <c r="F8" s="12" t="s">
        <v>31</v>
      </c>
      <c r="G8" s="13"/>
      <c r="H8" s="10"/>
      <c r="I8" s="14"/>
      <c r="J8" s="7"/>
      <c r="K8" s="7"/>
      <c r="L8" s="7"/>
      <c r="M8" s="7"/>
      <c r="N8" s="7">
        <f t="shared" si="1"/>
        <v>1</v>
      </c>
      <c r="O8" s="7"/>
    </row>
    <row r="9">
      <c r="A9" s="8" t="s">
        <v>32</v>
      </c>
      <c r="B9" s="9" t="s">
        <v>33</v>
      </c>
      <c r="C9" s="10"/>
      <c r="D9" s="9" t="s">
        <v>34</v>
      </c>
      <c r="E9" s="10"/>
      <c r="F9" s="16"/>
      <c r="G9" s="13"/>
      <c r="H9" s="10"/>
      <c r="I9" s="14"/>
      <c r="J9" s="7"/>
      <c r="K9" s="7"/>
      <c r="L9" s="7"/>
      <c r="M9" s="7"/>
      <c r="N9" s="7">
        <f t="shared" si="1"/>
        <v>0</v>
      </c>
      <c r="O9" s="7"/>
    </row>
    <row r="10">
      <c r="A10" s="8" t="s">
        <v>35</v>
      </c>
      <c r="B10" s="15" t="s">
        <v>36</v>
      </c>
      <c r="C10" s="10"/>
      <c r="D10" s="19" t="s">
        <v>1773</v>
      </c>
      <c r="E10" s="10"/>
      <c r="F10" s="12" t="s">
        <v>38</v>
      </c>
      <c r="G10" s="13"/>
      <c r="H10" s="10"/>
      <c r="I10" s="17" t="s">
        <v>39</v>
      </c>
      <c r="J10" s="7"/>
      <c r="K10" s="7"/>
      <c r="L10" s="7"/>
      <c r="M10" s="7"/>
      <c r="N10" s="7">
        <f t="shared" si="1"/>
        <v>1</v>
      </c>
      <c r="O10" s="7"/>
    </row>
    <row r="11">
      <c r="A11" s="8" t="s">
        <v>40</v>
      </c>
      <c r="B11" s="9" t="s">
        <v>42</v>
      </c>
      <c r="C11" s="10"/>
      <c r="D11" s="11" t="s">
        <v>7</v>
      </c>
      <c r="E11" s="10"/>
      <c r="F11" s="12" t="s">
        <v>1775</v>
      </c>
      <c r="G11" s="13"/>
      <c r="H11" s="10"/>
      <c r="I11" s="14"/>
      <c r="J11" s="7"/>
      <c r="K11" s="7"/>
      <c r="L11" s="7"/>
      <c r="M11" s="7"/>
      <c r="N11" s="7">
        <f t="shared" si="1"/>
        <v>1</v>
      </c>
      <c r="O11" s="7"/>
    </row>
    <row r="12">
      <c r="A12" s="8" t="s">
        <v>44</v>
      </c>
      <c r="B12" s="9" t="s">
        <v>45</v>
      </c>
      <c r="C12" s="10"/>
      <c r="D12" s="19" t="s">
        <v>1776</v>
      </c>
      <c r="E12" s="10"/>
      <c r="F12" s="12" t="s">
        <v>47</v>
      </c>
      <c r="G12" s="13"/>
      <c r="H12" s="10"/>
      <c r="I12" s="14"/>
      <c r="J12" s="7"/>
      <c r="K12" s="7"/>
      <c r="L12" s="7"/>
      <c r="M12" s="7"/>
      <c r="N12" s="7">
        <f t="shared" si="1"/>
        <v>1</v>
      </c>
      <c r="O12" s="7"/>
    </row>
    <row r="13">
      <c r="A13" s="8" t="s">
        <v>48</v>
      </c>
      <c r="B13" s="9" t="s">
        <v>49</v>
      </c>
      <c r="C13" s="10"/>
      <c r="D13" s="18" t="s">
        <v>50</v>
      </c>
      <c r="E13" s="10"/>
      <c r="F13" s="12" t="s">
        <v>1777</v>
      </c>
      <c r="G13" s="13"/>
      <c r="H13" s="10"/>
      <c r="I13" s="17" t="s">
        <v>52</v>
      </c>
      <c r="J13" s="7"/>
      <c r="K13" s="7"/>
      <c r="L13" s="7"/>
      <c r="M13" s="7"/>
      <c r="N13" s="7">
        <f t="shared" si="1"/>
        <v>1</v>
      </c>
      <c r="O13" s="7"/>
    </row>
    <row r="14">
      <c r="A14" s="8" t="s">
        <v>53</v>
      </c>
      <c r="B14" s="15" t="s">
        <v>54</v>
      </c>
      <c r="C14" s="10"/>
      <c r="D14" s="19" t="s">
        <v>1778</v>
      </c>
      <c r="E14" s="10"/>
      <c r="F14" s="12" t="s">
        <v>57</v>
      </c>
      <c r="G14" s="13"/>
      <c r="H14" s="10"/>
      <c r="I14" s="14"/>
      <c r="J14" s="7"/>
      <c r="K14" s="7"/>
      <c r="L14" s="7"/>
      <c r="M14" s="7"/>
      <c r="N14" s="7">
        <f t="shared" si="1"/>
        <v>1</v>
      </c>
      <c r="O14" s="7"/>
    </row>
    <row r="15">
      <c r="A15" s="8" t="s">
        <v>59</v>
      </c>
      <c r="B15" s="9" t="s">
        <v>60</v>
      </c>
      <c r="C15" s="10"/>
      <c r="D15" s="11" t="s">
        <v>7</v>
      </c>
      <c r="E15" s="10"/>
      <c r="F15" s="12" t="s">
        <v>61</v>
      </c>
      <c r="G15" s="13"/>
      <c r="H15" s="10"/>
      <c r="I15" s="14"/>
      <c r="J15" s="7"/>
      <c r="K15" s="7"/>
      <c r="L15" s="7"/>
      <c r="M15" s="7"/>
      <c r="N15" s="7">
        <f t="shared" si="1"/>
        <v>1</v>
      </c>
      <c r="O15" s="7"/>
    </row>
    <row r="16">
      <c r="A16" s="8" t="s">
        <v>63</v>
      </c>
      <c r="B16" s="9" t="s">
        <v>64</v>
      </c>
      <c r="C16" s="10"/>
      <c r="D16" s="11" t="s">
        <v>7</v>
      </c>
      <c r="E16" s="10"/>
      <c r="F16" s="12" t="s">
        <v>1780</v>
      </c>
      <c r="G16" s="13"/>
      <c r="H16" s="10"/>
      <c r="I16" s="14"/>
      <c r="J16" s="7"/>
      <c r="K16" s="7"/>
      <c r="L16" s="7"/>
      <c r="M16" s="7"/>
      <c r="N16" s="7">
        <f t="shared" si="1"/>
        <v>1</v>
      </c>
      <c r="O16" s="7"/>
    </row>
    <row r="17">
      <c r="A17" s="8" t="s">
        <v>67</v>
      </c>
      <c r="B17" s="9" t="s">
        <v>68</v>
      </c>
      <c r="C17" s="10"/>
      <c r="D17" s="18" t="s">
        <v>70</v>
      </c>
      <c r="E17" s="10"/>
      <c r="F17" s="12" t="s">
        <v>72</v>
      </c>
      <c r="G17" s="13"/>
      <c r="H17" s="10"/>
      <c r="I17" s="14"/>
      <c r="J17" s="7"/>
      <c r="K17" s="7"/>
      <c r="L17" s="7"/>
      <c r="M17" s="7"/>
      <c r="N17" s="7">
        <f t="shared" si="1"/>
        <v>1</v>
      </c>
      <c r="O17" s="7"/>
    </row>
    <row r="18">
      <c r="A18" s="8" t="s">
        <v>73</v>
      </c>
      <c r="B18" s="9" t="s">
        <v>75</v>
      </c>
      <c r="C18" s="10"/>
      <c r="D18" s="18" t="s">
        <v>76</v>
      </c>
      <c r="E18" s="10"/>
      <c r="F18" s="12" t="s">
        <v>77</v>
      </c>
      <c r="G18" s="13"/>
      <c r="H18" s="10"/>
      <c r="I18" s="14"/>
      <c r="J18" s="7"/>
      <c r="K18" s="7"/>
      <c r="L18" s="7"/>
      <c r="M18" s="7"/>
      <c r="N18" s="7">
        <f t="shared" si="1"/>
        <v>1</v>
      </c>
      <c r="O18" s="7"/>
    </row>
    <row r="19">
      <c r="A19" s="20" t="s">
        <v>78</v>
      </c>
      <c r="B19" s="9" t="s">
        <v>79</v>
      </c>
      <c r="C19" s="10"/>
      <c r="D19" s="11" t="s">
        <v>7</v>
      </c>
      <c r="E19" s="10"/>
      <c r="F19" s="12" t="s">
        <v>80</v>
      </c>
      <c r="G19" s="13"/>
      <c r="H19" s="10"/>
      <c r="I19" s="17" t="s">
        <v>82</v>
      </c>
      <c r="J19" s="7"/>
      <c r="K19" s="7"/>
      <c r="L19" s="7"/>
      <c r="M19" s="7"/>
      <c r="N19" s="7">
        <f t="shared" si="1"/>
        <v>1</v>
      </c>
      <c r="O19" s="7"/>
    </row>
    <row r="20">
      <c r="A20" s="8" t="s">
        <v>83</v>
      </c>
      <c r="B20" s="15" t="s">
        <v>86</v>
      </c>
      <c r="C20" s="10"/>
      <c r="D20" s="19" t="s">
        <v>1783</v>
      </c>
      <c r="E20" s="10"/>
      <c r="F20" s="12" t="s">
        <v>88</v>
      </c>
      <c r="G20" s="13"/>
      <c r="H20" s="10"/>
      <c r="I20" s="14"/>
      <c r="J20" s="7"/>
      <c r="K20" s="7"/>
      <c r="L20" s="7"/>
      <c r="M20" s="7"/>
      <c r="N20" s="7">
        <f t="shared" si="1"/>
        <v>1</v>
      </c>
      <c r="O20" s="7"/>
    </row>
    <row r="21">
      <c r="A21" s="8" t="s">
        <v>89</v>
      </c>
      <c r="B21" s="15" t="s">
        <v>90</v>
      </c>
      <c r="C21" s="10"/>
      <c r="D21" s="18" t="s">
        <v>91</v>
      </c>
      <c r="E21" s="10"/>
      <c r="F21" s="12" t="s">
        <v>92</v>
      </c>
      <c r="G21" s="13"/>
      <c r="H21" s="10"/>
      <c r="I21" s="14"/>
      <c r="J21" s="7"/>
      <c r="K21" s="7"/>
      <c r="L21" s="7"/>
      <c r="M21" s="7"/>
      <c r="N21" s="7">
        <f t="shared" si="1"/>
        <v>1</v>
      </c>
      <c r="O21" s="7"/>
    </row>
    <row r="22">
      <c r="A22" s="8" t="s">
        <v>93</v>
      </c>
      <c r="B22" s="9" t="s">
        <v>94</v>
      </c>
      <c r="C22" s="10"/>
      <c r="D22" s="11" t="s">
        <v>7</v>
      </c>
      <c r="E22" s="10"/>
      <c r="F22" s="16"/>
      <c r="G22" s="13"/>
      <c r="H22" s="10"/>
      <c r="I22" s="14"/>
      <c r="J22" s="7"/>
      <c r="K22" s="7"/>
      <c r="L22" s="7"/>
      <c r="M22" s="7"/>
      <c r="N22" s="7">
        <f t="shared" si="1"/>
        <v>0</v>
      </c>
      <c r="O22" s="7"/>
    </row>
    <row r="23">
      <c r="A23" s="8" t="s">
        <v>95</v>
      </c>
      <c r="B23" s="9" t="s">
        <v>96</v>
      </c>
      <c r="C23" s="10"/>
      <c r="D23" s="19" t="s">
        <v>1787</v>
      </c>
      <c r="E23" s="10"/>
      <c r="F23" s="12" t="s">
        <v>99</v>
      </c>
      <c r="G23" s="13"/>
      <c r="H23" s="10"/>
      <c r="I23" s="14"/>
      <c r="J23" s="7"/>
      <c r="K23" s="7"/>
      <c r="L23" s="7"/>
      <c r="M23" s="7"/>
      <c r="N23" s="7">
        <f t="shared" si="1"/>
        <v>1</v>
      </c>
      <c r="O23" s="7"/>
    </row>
    <row r="24">
      <c r="A24" s="8" t="s">
        <v>100</v>
      </c>
      <c r="B24" s="15" t="s">
        <v>101</v>
      </c>
      <c r="C24" s="10"/>
      <c r="D24" s="19" t="s">
        <v>1790</v>
      </c>
      <c r="E24" s="10"/>
      <c r="F24" s="12" t="s">
        <v>103</v>
      </c>
      <c r="G24" s="13"/>
      <c r="H24" s="10"/>
      <c r="I24" s="14"/>
      <c r="J24" s="7"/>
      <c r="K24" s="7"/>
      <c r="L24" s="7"/>
      <c r="M24" s="7"/>
      <c r="N24" s="7">
        <f t="shared" si="1"/>
        <v>1</v>
      </c>
      <c r="O24" s="7"/>
    </row>
    <row r="25">
      <c r="A25" s="8" t="s">
        <v>104</v>
      </c>
      <c r="B25" s="9" t="s">
        <v>105</v>
      </c>
      <c r="C25" s="10"/>
      <c r="D25" s="19" t="s">
        <v>1793</v>
      </c>
      <c r="E25" s="10"/>
      <c r="F25" s="16"/>
      <c r="G25" s="13"/>
      <c r="H25" s="10"/>
      <c r="I25" s="14"/>
      <c r="J25" s="7"/>
      <c r="K25" s="7"/>
      <c r="L25" s="7"/>
      <c r="M25" s="7"/>
      <c r="N25" s="7">
        <f t="shared" si="1"/>
        <v>0</v>
      </c>
      <c r="O25" s="7"/>
    </row>
    <row r="26">
      <c r="A26" s="8" t="s">
        <v>107</v>
      </c>
      <c r="B26" s="15" t="s">
        <v>109</v>
      </c>
      <c r="C26" s="10"/>
      <c r="D26" s="9" t="s">
        <v>110</v>
      </c>
      <c r="E26" s="10"/>
      <c r="F26" s="12" t="s">
        <v>111</v>
      </c>
      <c r="G26" s="13"/>
      <c r="H26" s="10"/>
      <c r="I26" s="14"/>
      <c r="J26" s="7"/>
      <c r="K26" s="7"/>
      <c r="L26" s="7"/>
      <c r="M26" s="7"/>
      <c r="N26" s="7">
        <f t="shared" si="1"/>
        <v>1</v>
      </c>
      <c r="O26" s="7"/>
    </row>
    <row r="27">
      <c r="A27" s="8" t="s">
        <v>112</v>
      </c>
      <c r="B27" s="9" t="s">
        <v>113</v>
      </c>
      <c r="C27" s="10"/>
      <c r="D27" s="11" t="s">
        <v>114</v>
      </c>
      <c r="E27" s="10"/>
      <c r="F27" s="16"/>
      <c r="G27" s="13"/>
      <c r="H27" s="10"/>
      <c r="I27" s="14"/>
      <c r="J27" s="7"/>
      <c r="K27" s="7"/>
      <c r="L27" s="7"/>
      <c r="M27" s="7"/>
      <c r="N27" s="7">
        <f t="shared" si="1"/>
        <v>0</v>
      </c>
      <c r="O27" s="7"/>
    </row>
    <row r="28">
      <c r="A28" s="8" t="s">
        <v>115</v>
      </c>
      <c r="B28" s="9" t="s">
        <v>117</v>
      </c>
      <c r="C28" s="10"/>
      <c r="D28" s="21" t="s">
        <v>1796</v>
      </c>
      <c r="E28" s="10"/>
      <c r="F28" s="12" t="s">
        <v>121</v>
      </c>
      <c r="G28" s="13"/>
      <c r="H28" s="10"/>
      <c r="I28" s="14"/>
      <c r="J28" s="7"/>
      <c r="K28" s="7"/>
      <c r="L28" s="7"/>
      <c r="M28" s="7"/>
      <c r="N28" s="7">
        <f t="shared" si="1"/>
        <v>1</v>
      </c>
      <c r="O28" s="7"/>
    </row>
    <row r="29">
      <c r="A29" s="20" t="s">
        <v>123</v>
      </c>
      <c r="B29" s="9" t="s">
        <v>124</v>
      </c>
      <c r="C29" s="10"/>
      <c r="D29" s="19" t="s">
        <v>1797</v>
      </c>
      <c r="E29" s="10"/>
      <c r="F29" s="12" t="s">
        <v>1789</v>
      </c>
      <c r="G29" s="13"/>
      <c r="H29" s="10"/>
      <c r="I29" s="17" t="s">
        <v>127</v>
      </c>
      <c r="J29" s="7"/>
      <c r="K29" s="7"/>
      <c r="L29" s="7"/>
      <c r="M29" s="7"/>
      <c r="N29" s="7">
        <f t="shared" si="1"/>
        <v>1</v>
      </c>
      <c r="O29" s="7"/>
    </row>
    <row r="30">
      <c r="A30" s="8" t="s">
        <v>128</v>
      </c>
      <c r="B30" s="9" t="s">
        <v>130</v>
      </c>
      <c r="C30" s="10"/>
      <c r="D30" s="18" t="s">
        <v>131</v>
      </c>
      <c r="E30" s="10"/>
      <c r="F30" s="12" t="s">
        <v>132</v>
      </c>
      <c r="G30" s="13"/>
      <c r="H30" s="10"/>
      <c r="I30" s="14"/>
      <c r="J30" s="7"/>
      <c r="K30" s="7"/>
      <c r="L30" s="7"/>
      <c r="M30" s="7"/>
      <c r="N30" s="7">
        <f t="shared" si="1"/>
        <v>1</v>
      </c>
      <c r="O30" s="7"/>
    </row>
    <row r="31">
      <c r="A31" s="8" t="s">
        <v>133</v>
      </c>
      <c r="B31" s="15" t="s">
        <v>134</v>
      </c>
      <c r="C31" s="10"/>
      <c r="D31" s="19" t="s">
        <v>1798</v>
      </c>
      <c r="E31" s="10"/>
      <c r="F31" s="12" t="s">
        <v>1799</v>
      </c>
      <c r="G31" s="13"/>
      <c r="H31" s="10"/>
      <c r="I31" s="14"/>
      <c r="J31" s="7"/>
      <c r="K31" s="7"/>
      <c r="L31" s="7"/>
      <c r="M31" s="7"/>
      <c r="N31" s="7">
        <f t="shared" si="1"/>
        <v>1</v>
      </c>
      <c r="O31" s="7"/>
    </row>
    <row r="32">
      <c r="A32" s="8" t="s">
        <v>139</v>
      </c>
      <c r="B32" s="9" t="s">
        <v>140</v>
      </c>
      <c r="C32" s="10"/>
      <c r="D32" s="11" t="s">
        <v>141</v>
      </c>
      <c r="E32" s="10"/>
      <c r="F32" s="12" t="s">
        <v>144</v>
      </c>
      <c r="G32" s="13"/>
      <c r="H32" s="10"/>
      <c r="I32" s="14"/>
      <c r="J32" s="7"/>
      <c r="K32" s="7"/>
      <c r="L32" s="7"/>
      <c r="M32" s="7"/>
      <c r="N32" s="7">
        <f t="shared" si="1"/>
        <v>1</v>
      </c>
      <c r="O32" s="7"/>
    </row>
    <row r="33">
      <c r="A33" s="8" t="s">
        <v>145</v>
      </c>
      <c r="B33" s="15" t="s">
        <v>147</v>
      </c>
      <c r="C33" s="10"/>
      <c r="D33" s="11" t="s">
        <v>7</v>
      </c>
      <c r="E33" s="10"/>
      <c r="F33" s="12" t="s">
        <v>148</v>
      </c>
      <c r="G33" s="13"/>
      <c r="H33" s="10"/>
      <c r="I33" s="14"/>
      <c r="J33" s="7"/>
      <c r="K33" s="7"/>
      <c r="L33" s="7"/>
      <c r="M33" s="7"/>
      <c r="N33" s="7">
        <f t="shared" si="1"/>
        <v>1</v>
      </c>
      <c r="O33" s="7"/>
    </row>
    <row r="34">
      <c r="A34" s="8" t="s">
        <v>150</v>
      </c>
      <c r="B34" s="9" t="s">
        <v>151</v>
      </c>
      <c r="C34" s="10"/>
      <c r="D34" s="18" t="s">
        <v>152</v>
      </c>
      <c r="E34" s="10"/>
      <c r="F34" s="12" t="s">
        <v>154</v>
      </c>
      <c r="G34" s="13"/>
      <c r="H34" s="10"/>
      <c r="I34" s="14"/>
      <c r="J34" s="7"/>
      <c r="K34" s="7"/>
      <c r="L34" s="7"/>
      <c r="M34" s="7"/>
      <c r="N34" s="7">
        <f t="shared" si="1"/>
        <v>1</v>
      </c>
      <c r="O34" s="7"/>
    </row>
    <row r="35">
      <c r="A35" s="8" t="s">
        <v>155</v>
      </c>
      <c r="B35" s="9" t="s">
        <v>156</v>
      </c>
      <c r="C35" s="10"/>
      <c r="D35" s="11" t="s">
        <v>7</v>
      </c>
      <c r="E35" s="10"/>
      <c r="F35" s="16"/>
      <c r="G35" s="13"/>
      <c r="H35" s="10"/>
      <c r="I35" s="14"/>
      <c r="J35" s="7"/>
      <c r="K35" s="7"/>
      <c r="L35" s="7"/>
      <c r="M35" s="7"/>
      <c r="N35" s="7">
        <f t="shared" si="1"/>
        <v>0</v>
      </c>
      <c r="O35" s="7"/>
    </row>
    <row r="36">
      <c r="A36" s="8" t="s">
        <v>157</v>
      </c>
      <c r="B36" s="15" t="s">
        <v>159</v>
      </c>
      <c r="C36" s="10"/>
      <c r="D36" s="11" t="s">
        <v>7</v>
      </c>
      <c r="E36" s="10"/>
      <c r="F36" s="12" t="s">
        <v>161</v>
      </c>
      <c r="G36" s="13"/>
      <c r="H36" s="10"/>
      <c r="I36" s="14"/>
      <c r="J36" s="7"/>
      <c r="K36" s="7"/>
      <c r="L36" s="7"/>
      <c r="M36" s="7"/>
      <c r="N36" s="7">
        <f t="shared" si="1"/>
        <v>1</v>
      </c>
      <c r="O36" s="7"/>
    </row>
    <row r="37">
      <c r="A37" s="8" t="s">
        <v>162</v>
      </c>
      <c r="B37" s="9" t="s">
        <v>163</v>
      </c>
      <c r="C37" s="10"/>
      <c r="D37" s="11" t="s">
        <v>7</v>
      </c>
      <c r="E37" s="10"/>
      <c r="F37" s="16"/>
      <c r="G37" s="13"/>
      <c r="H37" s="10"/>
      <c r="I37" s="14"/>
      <c r="J37" s="7"/>
      <c r="K37" s="7"/>
      <c r="L37" s="7"/>
      <c r="M37" s="22" t="s">
        <v>166</v>
      </c>
      <c r="N37" s="7">
        <f t="shared" si="1"/>
        <v>0</v>
      </c>
      <c r="O37" s="7"/>
    </row>
    <row r="38">
      <c r="A38" s="8" t="s">
        <v>169</v>
      </c>
      <c r="B38" s="9" t="s">
        <v>170</v>
      </c>
      <c r="C38" s="10"/>
      <c r="D38" s="18" t="s">
        <v>171</v>
      </c>
      <c r="E38" s="10"/>
      <c r="F38" s="12" t="s">
        <v>173</v>
      </c>
      <c r="G38" s="13"/>
      <c r="H38" s="10"/>
      <c r="I38" s="14"/>
      <c r="J38" s="7"/>
      <c r="K38" s="7"/>
      <c r="L38" s="7"/>
      <c r="M38" s="7"/>
      <c r="N38" s="7">
        <f t="shared" si="1"/>
        <v>1</v>
      </c>
      <c r="O38" s="7"/>
    </row>
    <row r="39">
      <c r="A39" s="8" t="s">
        <v>174</v>
      </c>
      <c r="B39" s="9" t="s">
        <v>175</v>
      </c>
      <c r="C39" s="10"/>
      <c r="D39" s="18" t="s">
        <v>176</v>
      </c>
      <c r="E39" s="10"/>
      <c r="F39" s="16"/>
      <c r="G39" s="13"/>
      <c r="H39" s="10"/>
      <c r="I39" s="14"/>
      <c r="J39" s="7"/>
      <c r="K39" s="7"/>
      <c r="L39" s="7"/>
      <c r="M39" s="7"/>
      <c r="N39" s="7">
        <f t="shared" si="1"/>
        <v>0</v>
      </c>
      <c r="O39" s="7"/>
    </row>
    <row r="40">
      <c r="A40" s="8" t="s">
        <v>178</v>
      </c>
      <c r="B40" s="9" t="s">
        <v>181</v>
      </c>
      <c r="C40" s="10"/>
      <c r="D40" s="11" t="s">
        <v>7</v>
      </c>
      <c r="E40" s="10"/>
      <c r="F40" s="12" t="s">
        <v>182</v>
      </c>
      <c r="G40" s="13"/>
      <c r="H40" s="10"/>
      <c r="I40" s="14"/>
      <c r="J40" s="7"/>
      <c r="K40" s="7"/>
      <c r="L40" s="7"/>
      <c r="M40" s="7"/>
      <c r="N40" s="7">
        <f t="shared" si="1"/>
        <v>1</v>
      </c>
      <c r="O40" s="7"/>
    </row>
    <row r="41">
      <c r="A41" s="8" t="s">
        <v>183</v>
      </c>
      <c r="B41" s="9" t="s">
        <v>184</v>
      </c>
      <c r="C41" s="10"/>
      <c r="D41" s="18" t="s">
        <v>185</v>
      </c>
      <c r="E41" s="10"/>
      <c r="F41" s="16"/>
      <c r="G41" s="13"/>
      <c r="H41" s="10"/>
      <c r="I41" s="14"/>
      <c r="J41" s="7"/>
      <c r="K41" s="7"/>
      <c r="L41" s="7"/>
      <c r="M41" s="7"/>
      <c r="N41" s="7">
        <f t="shared" si="1"/>
        <v>0</v>
      </c>
      <c r="O41" s="7"/>
    </row>
    <row r="42">
      <c r="A42" s="8" t="s">
        <v>186</v>
      </c>
      <c r="B42" s="9" t="s">
        <v>187</v>
      </c>
      <c r="C42" s="10"/>
      <c r="D42" s="11" t="s">
        <v>7</v>
      </c>
      <c r="E42" s="10"/>
      <c r="F42" s="12" t="s">
        <v>188</v>
      </c>
      <c r="G42" s="13"/>
      <c r="H42" s="10"/>
      <c r="I42" s="14"/>
      <c r="J42" s="7"/>
      <c r="K42" s="7"/>
      <c r="L42" s="7"/>
      <c r="M42" s="7"/>
      <c r="N42" s="7">
        <f t="shared" si="1"/>
        <v>1</v>
      </c>
      <c r="O42" s="7"/>
    </row>
    <row r="43">
      <c r="A43" s="8" t="s">
        <v>186</v>
      </c>
      <c r="B43" s="9" t="s">
        <v>189</v>
      </c>
      <c r="C43" s="10"/>
      <c r="D43" s="11" t="s">
        <v>7</v>
      </c>
      <c r="E43" s="10"/>
      <c r="F43" s="12" t="s">
        <v>188</v>
      </c>
      <c r="G43" s="13"/>
      <c r="H43" s="10"/>
      <c r="I43" s="14"/>
      <c r="J43" s="7"/>
      <c r="K43" s="7"/>
      <c r="L43" s="7"/>
      <c r="M43" s="7"/>
      <c r="N43" s="7">
        <f t="shared" si="1"/>
        <v>1</v>
      </c>
      <c r="O43" s="7"/>
    </row>
    <row r="44">
      <c r="A44" s="8" t="s">
        <v>186</v>
      </c>
      <c r="B44" s="9" t="s">
        <v>190</v>
      </c>
      <c r="C44" s="10"/>
      <c r="D44" s="11" t="s">
        <v>7</v>
      </c>
      <c r="E44" s="10"/>
      <c r="F44" s="12" t="s">
        <v>188</v>
      </c>
      <c r="G44" s="13"/>
      <c r="H44" s="10"/>
      <c r="I44" s="14"/>
      <c r="J44" s="7"/>
      <c r="K44" s="7"/>
      <c r="L44" s="7"/>
      <c r="M44" s="7"/>
      <c r="N44" s="7">
        <f t="shared" si="1"/>
        <v>1</v>
      </c>
      <c r="O44" s="7"/>
    </row>
    <row r="45">
      <c r="A45" s="8" t="s">
        <v>192</v>
      </c>
      <c r="B45" s="9" t="s">
        <v>193</v>
      </c>
      <c r="C45" s="10"/>
      <c r="D45" s="18" t="s">
        <v>194</v>
      </c>
      <c r="E45" s="10"/>
      <c r="F45" s="16"/>
      <c r="G45" s="13"/>
      <c r="H45" s="10"/>
      <c r="I45" s="14"/>
      <c r="J45" s="7"/>
      <c r="K45" s="7"/>
      <c r="L45" s="7"/>
      <c r="M45" s="7"/>
      <c r="N45" s="7">
        <f t="shared" si="1"/>
        <v>0</v>
      </c>
      <c r="O45" s="7"/>
    </row>
    <row r="46">
      <c r="A46" s="8" t="s">
        <v>195</v>
      </c>
      <c r="B46" s="9" t="s">
        <v>196</v>
      </c>
      <c r="C46" s="10"/>
      <c r="D46" s="23" t="s">
        <v>197</v>
      </c>
      <c r="E46" s="10"/>
      <c r="F46" s="16"/>
      <c r="G46" s="13"/>
      <c r="H46" s="10"/>
      <c r="I46" s="14"/>
      <c r="J46" s="7"/>
      <c r="K46" s="7"/>
      <c r="L46" s="7"/>
      <c r="M46" s="7"/>
      <c r="N46" s="7">
        <f t="shared" si="1"/>
        <v>0</v>
      </c>
      <c r="O46" s="7"/>
    </row>
    <row r="47">
      <c r="A47" s="8" t="s">
        <v>198</v>
      </c>
      <c r="B47" s="15" t="s">
        <v>199</v>
      </c>
      <c r="C47" s="10"/>
      <c r="D47" s="18" t="s">
        <v>200</v>
      </c>
      <c r="E47" s="10"/>
      <c r="F47" s="12" t="s">
        <v>201</v>
      </c>
      <c r="G47" s="13"/>
      <c r="H47" s="10"/>
      <c r="I47" s="14"/>
      <c r="J47" s="7"/>
      <c r="K47" s="7"/>
      <c r="L47" s="7"/>
      <c r="M47" s="7"/>
      <c r="N47" s="7">
        <f t="shared" si="1"/>
        <v>1</v>
      </c>
      <c r="O47" s="7"/>
    </row>
    <row r="48">
      <c r="A48" s="8" t="s">
        <v>203</v>
      </c>
      <c r="B48" s="15" t="s">
        <v>204</v>
      </c>
      <c r="C48" s="10"/>
      <c r="D48" s="18" t="s">
        <v>205</v>
      </c>
      <c r="E48" s="10"/>
      <c r="F48" s="12" t="s">
        <v>206</v>
      </c>
      <c r="G48" s="13"/>
      <c r="H48" s="10"/>
      <c r="I48" s="14"/>
      <c r="J48" s="7"/>
      <c r="K48" s="7"/>
      <c r="L48" s="7"/>
      <c r="M48" s="7"/>
      <c r="N48" s="7">
        <f t="shared" si="1"/>
        <v>1</v>
      </c>
      <c r="O48" s="7"/>
    </row>
    <row r="49">
      <c r="A49" s="8" t="s">
        <v>207</v>
      </c>
      <c r="B49" s="9" t="s">
        <v>208</v>
      </c>
      <c r="C49" s="10"/>
      <c r="D49" s="11" t="s">
        <v>209</v>
      </c>
      <c r="E49" s="10"/>
      <c r="F49" s="16"/>
      <c r="G49" s="13"/>
      <c r="H49" s="10"/>
      <c r="I49" s="14"/>
      <c r="J49" s="7"/>
      <c r="K49" s="7"/>
      <c r="L49" s="7"/>
      <c r="M49" s="7"/>
      <c r="N49" s="7">
        <f t="shared" si="1"/>
        <v>0</v>
      </c>
      <c r="O49" s="7"/>
    </row>
    <row r="50">
      <c r="A50" s="8" t="s">
        <v>211</v>
      </c>
      <c r="B50" s="9" t="s">
        <v>212</v>
      </c>
      <c r="C50" s="10"/>
      <c r="D50" s="19" t="s">
        <v>1807</v>
      </c>
      <c r="E50" s="10"/>
      <c r="F50" s="12" t="s">
        <v>215</v>
      </c>
      <c r="G50" s="13"/>
      <c r="H50" s="10"/>
      <c r="I50" s="14"/>
      <c r="J50" s="7"/>
      <c r="K50" s="7"/>
      <c r="L50" s="7"/>
      <c r="M50" s="7"/>
      <c r="N50" s="7">
        <f t="shared" si="1"/>
        <v>1</v>
      </c>
      <c r="O50" s="7"/>
    </row>
    <row r="51">
      <c r="A51" s="8" t="s">
        <v>216</v>
      </c>
      <c r="B51" s="9" t="s">
        <v>217</v>
      </c>
      <c r="C51" s="10"/>
      <c r="D51" s="19" t="s">
        <v>1808</v>
      </c>
      <c r="E51" s="10"/>
      <c r="F51" s="12" t="s">
        <v>219</v>
      </c>
      <c r="G51" s="13"/>
      <c r="H51" s="10"/>
      <c r="I51" s="14"/>
      <c r="J51" s="7"/>
      <c r="K51" s="7"/>
      <c r="L51" s="7"/>
      <c r="M51" s="7"/>
      <c r="N51" s="7">
        <f t="shared" si="1"/>
        <v>1</v>
      </c>
      <c r="O51" s="7"/>
    </row>
    <row r="52">
      <c r="A52" s="8" t="s">
        <v>220</v>
      </c>
      <c r="B52" s="9" t="s">
        <v>221</v>
      </c>
      <c r="C52" s="10"/>
      <c r="D52" s="18" t="s">
        <v>222</v>
      </c>
      <c r="E52" s="10"/>
      <c r="F52" s="16"/>
      <c r="G52" s="13"/>
      <c r="H52" s="10"/>
      <c r="I52" s="14"/>
      <c r="J52" s="7"/>
      <c r="K52" s="7"/>
      <c r="L52" s="7"/>
      <c r="M52" s="7"/>
      <c r="N52" s="7">
        <f t="shared" si="1"/>
        <v>0</v>
      </c>
      <c r="O52" s="7"/>
    </row>
    <row r="53">
      <c r="A53" s="8" t="s">
        <v>224</v>
      </c>
      <c r="B53" s="9" t="s">
        <v>225</v>
      </c>
      <c r="C53" s="10"/>
      <c r="D53" s="18" t="s">
        <v>226</v>
      </c>
      <c r="E53" s="10"/>
      <c r="F53" s="12" t="s">
        <v>1812</v>
      </c>
      <c r="G53" s="13"/>
      <c r="H53" s="10"/>
      <c r="I53" s="14"/>
      <c r="J53" s="7"/>
      <c r="K53" s="7"/>
      <c r="L53" s="7"/>
      <c r="M53" s="7"/>
      <c r="N53" s="7">
        <f t="shared" si="1"/>
        <v>1</v>
      </c>
      <c r="O53" s="7"/>
    </row>
    <row r="54">
      <c r="A54" s="8" t="s">
        <v>228</v>
      </c>
      <c r="B54" s="9" t="s">
        <v>229</v>
      </c>
      <c r="C54" s="10"/>
      <c r="D54" s="11" t="s">
        <v>230</v>
      </c>
      <c r="E54" s="10"/>
      <c r="F54" s="12" t="s">
        <v>231</v>
      </c>
      <c r="G54" s="13"/>
      <c r="H54" s="10"/>
      <c r="I54" s="17"/>
      <c r="J54" s="7"/>
      <c r="K54" s="7"/>
      <c r="L54" s="7"/>
      <c r="M54" s="7"/>
      <c r="N54" s="7">
        <f t="shared" si="1"/>
        <v>1</v>
      </c>
      <c r="O54" s="7"/>
    </row>
    <row r="55">
      <c r="A55" s="8" t="s">
        <v>232</v>
      </c>
      <c r="B55" s="9" t="s">
        <v>229</v>
      </c>
      <c r="C55" s="10"/>
      <c r="D55" s="11" t="s">
        <v>233</v>
      </c>
      <c r="E55" s="10"/>
      <c r="F55" s="12" t="s">
        <v>234</v>
      </c>
      <c r="G55" s="13"/>
      <c r="H55" s="10"/>
      <c r="I55" s="14"/>
      <c r="J55" s="7"/>
      <c r="K55" s="7"/>
      <c r="L55" s="7"/>
      <c r="M55" s="7"/>
      <c r="N55" s="7">
        <f t="shared" si="1"/>
        <v>1</v>
      </c>
      <c r="O55" s="7"/>
    </row>
    <row r="56">
      <c r="A56" s="8" t="s">
        <v>236</v>
      </c>
      <c r="B56" s="9" t="s">
        <v>237</v>
      </c>
      <c r="C56" s="10"/>
      <c r="D56" s="9" t="s">
        <v>238</v>
      </c>
      <c r="E56" s="10"/>
      <c r="F56" s="12" t="s">
        <v>239</v>
      </c>
      <c r="G56" s="13"/>
      <c r="H56" s="10"/>
      <c r="I56" s="14"/>
      <c r="J56" s="7"/>
      <c r="K56" s="7"/>
      <c r="L56" s="7"/>
      <c r="M56" s="7"/>
      <c r="N56" s="7">
        <f t="shared" si="1"/>
        <v>1</v>
      </c>
      <c r="O56" s="7"/>
    </row>
    <row r="57">
      <c r="A57" s="8" t="s">
        <v>240</v>
      </c>
      <c r="B57" s="9" t="s">
        <v>241</v>
      </c>
      <c r="C57" s="10"/>
      <c r="D57" s="11" t="s">
        <v>7</v>
      </c>
      <c r="E57" s="10"/>
      <c r="F57" s="16"/>
      <c r="G57" s="13"/>
      <c r="H57" s="10"/>
      <c r="I57" s="14"/>
      <c r="J57" s="7"/>
      <c r="K57" s="7"/>
      <c r="L57" s="7"/>
      <c r="M57" s="7"/>
      <c r="N57" s="7">
        <f t="shared" si="1"/>
        <v>0</v>
      </c>
      <c r="O57" s="7"/>
    </row>
    <row r="58" ht="15.75" customHeight="1">
      <c r="A58" s="8" t="s">
        <v>242</v>
      </c>
      <c r="B58" s="9" t="s">
        <v>244</v>
      </c>
      <c r="C58" s="10"/>
      <c r="D58" s="19" t="s">
        <v>1817</v>
      </c>
      <c r="E58" s="10"/>
      <c r="F58" s="12" t="s">
        <v>246</v>
      </c>
      <c r="G58" s="13"/>
      <c r="H58" s="10"/>
      <c r="I58" s="17" t="s">
        <v>247</v>
      </c>
      <c r="J58" s="7"/>
      <c r="K58" s="7"/>
      <c r="L58" s="7"/>
      <c r="M58" s="7"/>
      <c r="N58" s="7">
        <f t="shared" si="1"/>
        <v>1</v>
      </c>
      <c r="O58" s="7"/>
    </row>
    <row r="59">
      <c r="A59" s="8" t="s">
        <v>248</v>
      </c>
      <c r="B59" s="9" t="s">
        <v>250</v>
      </c>
      <c r="C59" s="10"/>
      <c r="D59" s="19" t="s">
        <v>1819</v>
      </c>
      <c r="E59" s="10"/>
      <c r="F59" s="12" t="s">
        <v>253</v>
      </c>
      <c r="G59" s="13"/>
      <c r="H59" s="10"/>
      <c r="I59" s="17" t="s">
        <v>254</v>
      </c>
      <c r="J59" s="7"/>
      <c r="K59" s="7"/>
      <c r="L59" s="7"/>
      <c r="M59" s="7"/>
      <c r="N59" s="7">
        <f t="shared" si="1"/>
        <v>1</v>
      </c>
      <c r="O59" s="7"/>
    </row>
    <row r="60">
      <c r="A60" s="8" t="s">
        <v>255</v>
      </c>
      <c r="B60" s="9" t="s">
        <v>256</v>
      </c>
      <c r="C60" s="10"/>
      <c r="D60" s="18" t="s">
        <v>257</v>
      </c>
      <c r="E60" s="10"/>
      <c r="F60" s="12" t="s">
        <v>258</v>
      </c>
      <c r="G60" s="13"/>
      <c r="H60" s="10"/>
      <c r="I60" s="17" t="s">
        <v>260</v>
      </c>
      <c r="J60" s="7"/>
      <c r="K60" s="7"/>
      <c r="L60" s="7"/>
      <c r="M60" s="7"/>
      <c r="N60" s="7">
        <f t="shared" si="1"/>
        <v>1</v>
      </c>
      <c r="O60" s="7"/>
    </row>
    <row r="61">
      <c r="A61" s="8" t="s">
        <v>261</v>
      </c>
      <c r="B61" s="9" t="s">
        <v>262</v>
      </c>
      <c r="C61" s="10"/>
      <c r="D61" s="21" t="s">
        <v>1821</v>
      </c>
      <c r="E61" s="10"/>
      <c r="F61" s="12" t="s">
        <v>265</v>
      </c>
      <c r="G61" s="13"/>
      <c r="H61" s="10"/>
      <c r="I61" s="14"/>
      <c r="J61" s="7"/>
      <c r="K61" s="7"/>
      <c r="L61" s="7"/>
      <c r="M61" s="7"/>
      <c r="N61" s="7">
        <f t="shared" si="1"/>
        <v>1</v>
      </c>
      <c r="O61" s="7"/>
    </row>
    <row r="62">
      <c r="A62" s="8" t="s">
        <v>266</v>
      </c>
      <c r="B62" s="9" t="s">
        <v>269</v>
      </c>
      <c r="C62" s="10"/>
      <c r="D62" s="18" t="s">
        <v>270</v>
      </c>
      <c r="E62" s="10"/>
      <c r="F62" s="12" t="s">
        <v>271</v>
      </c>
      <c r="G62" s="13"/>
      <c r="H62" s="10"/>
      <c r="I62" s="14"/>
      <c r="J62" s="7"/>
      <c r="K62" s="7"/>
      <c r="L62" s="7"/>
      <c r="M62" s="7"/>
      <c r="N62" s="7">
        <f t="shared" si="1"/>
        <v>1</v>
      </c>
      <c r="O62" s="7"/>
    </row>
    <row r="63">
      <c r="A63" s="8" t="s">
        <v>272</v>
      </c>
      <c r="B63" s="9" t="s">
        <v>274</v>
      </c>
      <c r="C63" s="10"/>
      <c r="D63" s="18" t="s">
        <v>257</v>
      </c>
      <c r="E63" s="10"/>
      <c r="F63" s="12" t="s">
        <v>275</v>
      </c>
      <c r="G63" s="13"/>
      <c r="H63" s="10"/>
      <c r="I63" s="14"/>
      <c r="J63" s="7"/>
      <c r="K63" s="7"/>
      <c r="L63" s="7"/>
      <c r="M63" s="7"/>
      <c r="N63" s="7">
        <f t="shared" si="1"/>
        <v>1</v>
      </c>
      <c r="O63" s="7"/>
    </row>
    <row r="64">
      <c r="A64" s="8" t="s">
        <v>276</v>
      </c>
      <c r="B64" s="9" t="s">
        <v>277</v>
      </c>
      <c r="C64" s="10"/>
      <c r="D64" s="18" t="s">
        <v>278</v>
      </c>
      <c r="E64" s="10"/>
      <c r="F64" s="12" t="s">
        <v>279</v>
      </c>
      <c r="G64" s="13"/>
      <c r="H64" s="10"/>
      <c r="I64" s="17" t="s">
        <v>280</v>
      </c>
      <c r="J64" s="7"/>
      <c r="K64" s="7"/>
      <c r="L64" s="7"/>
      <c r="M64" s="7"/>
      <c r="N64" s="7">
        <f t="shared" si="1"/>
        <v>1</v>
      </c>
      <c r="O64" s="7"/>
    </row>
    <row r="65">
      <c r="A65" s="8" t="s">
        <v>281</v>
      </c>
      <c r="B65" s="9" t="s">
        <v>282</v>
      </c>
      <c r="C65" s="10"/>
      <c r="D65" s="18" t="s">
        <v>283</v>
      </c>
      <c r="E65" s="10"/>
      <c r="F65" s="12" t="s">
        <v>284</v>
      </c>
      <c r="G65" s="13"/>
      <c r="H65" s="10"/>
      <c r="I65" s="14"/>
      <c r="J65" s="7"/>
      <c r="K65" s="7"/>
      <c r="L65" s="7"/>
      <c r="M65" s="7"/>
      <c r="N65" s="7">
        <f t="shared" si="1"/>
        <v>1</v>
      </c>
      <c r="O65" s="7"/>
    </row>
    <row r="66">
      <c r="A66" s="8" t="s">
        <v>285</v>
      </c>
      <c r="B66" s="9" t="s">
        <v>287</v>
      </c>
      <c r="C66" s="10"/>
      <c r="D66" s="18" t="s">
        <v>288</v>
      </c>
      <c r="E66" s="10"/>
      <c r="F66" s="12" t="s">
        <v>289</v>
      </c>
      <c r="G66" s="13"/>
      <c r="H66" s="10"/>
      <c r="I66" s="17" t="s">
        <v>290</v>
      </c>
      <c r="J66" s="7"/>
      <c r="K66" s="7"/>
      <c r="L66" s="7"/>
      <c r="M66" s="7"/>
      <c r="N66" s="7">
        <f t="shared" si="1"/>
        <v>1</v>
      </c>
      <c r="O66" s="7"/>
    </row>
    <row r="67">
      <c r="A67" s="8" t="s">
        <v>291</v>
      </c>
      <c r="B67" s="9" t="s">
        <v>293</v>
      </c>
      <c r="C67" s="10"/>
      <c r="D67" s="9" t="s">
        <v>294</v>
      </c>
      <c r="E67" s="10"/>
      <c r="F67" s="12" t="s">
        <v>295</v>
      </c>
      <c r="G67" s="13"/>
      <c r="H67" s="10"/>
      <c r="I67" s="14"/>
      <c r="J67" s="7"/>
      <c r="K67" s="7"/>
      <c r="L67" s="7"/>
      <c r="M67" s="7"/>
      <c r="N67" s="7">
        <f t="shared" si="1"/>
        <v>1</v>
      </c>
      <c r="O67" s="7"/>
    </row>
    <row r="68">
      <c r="A68" s="8" t="s">
        <v>296</v>
      </c>
      <c r="B68" s="9" t="s">
        <v>298</v>
      </c>
      <c r="C68" s="10"/>
      <c r="D68" s="11" t="s">
        <v>299</v>
      </c>
      <c r="E68" s="10"/>
      <c r="F68" s="12" t="s">
        <v>300</v>
      </c>
      <c r="G68" s="13"/>
      <c r="H68" s="10"/>
      <c r="I68" s="14"/>
      <c r="J68" s="7"/>
      <c r="K68" s="7"/>
      <c r="L68" s="7"/>
      <c r="M68" s="7"/>
      <c r="N68" s="7">
        <f t="shared" si="1"/>
        <v>1</v>
      </c>
      <c r="O68" s="7"/>
    </row>
    <row r="69">
      <c r="A69" s="8" t="s">
        <v>301</v>
      </c>
      <c r="B69" s="15" t="s">
        <v>302</v>
      </c>
      <c r="C69" s="10"/>
      <c r="D69" s="11" t="s">
        <v>7</v>
      </c>
      <c r="E69" s="10"/>
      <c r="F69" s="12" t="s">
        <v>305</v>
      </c>
      <c r="G69" s="13"/>
      <c r="H69" s="10"/>
      <c r="I69" s="14"/>
      <c r="J69" s="7"/>
      <c r="K69" s="7"/>
      <c r="L69" s="7"/>
      <c r="M69" s="7"/>
      <c r="N69" s="7">
        <f t="shared" si="1"/>
        <v>1</v>
      </c>
      <c r="O69" s="7"/>
    </row>
    <row r="70">
      <c r="A70" s="8" t="s">
        <v>306</v>
      </c>
      <c r="B70" s="9" t="s">
        <v>307</v>
      </c>
      <c r="C70" s="10"/>
      <c r="D70" s="21" t="s">
        <v>1830</v>
      </c>
      <c r="E70" s="10"/>
      <c r="F70" s="12" t="s">
        <v>309</v>
      </c>
      <c r="G70" s="13"/>
      <c r="H70" s="10"/>
      <c r="I70" s="14"/>
      <c r="J70" s="7"/>
      <c r="K70" s="7"/>
      <c r="L70" s="7"/>
      <c r="M70" s="7"/>
      <c r="N70" s="7">
        <f t="shared" si="1"/>
        <v>1</v>
      </c>
      <c r="O70" s="7"/>
    </row>
    <row r="71">
      <c r="A71" s="8" t="s">
        <v>310</v>
      </c>
      <c r="B71" s="9" t="s">
        <v>312</v>
      </c>
      <c r="C71" s="10"/>
      <c r="D71" s="11" t="s">
        <v>313</v>
      </c>
      <c r="E71" s="10"/>
      <c r="F71" s="12" t="s">
        <v>315</v>
      </c>
      <c r="G71" s="13"/>
      <c r="H71" s="10"/>
      <c r="I71" s="14"/>
      <c r="J71" s="7"/>
      <c r="K71" s="7"/>
      <c r="L71" s="7"/>
      <c r="M71" s="7"/>
      <c r="N71" s="7">
        <f t="shared" si="1"/>
        <v>1</v>
      </c>
      <c r="O71" s="7"/>
    </row>
    <row r="72">
      <c r="A72" s="8" t="s">
        <v>316</v>
      </c>
      <c r="B72" s="9" t="s">
        <v>317</v>
      </c>
      <c r="C72" s="10"/>
      <c r="D72" s="9" t="s">
        <v>318</v>
      </c>
      <c r="E72" s="10"/>
      <c r="F72" s="16"/>
      <c r="G72" s="13"/>
      <c r="H72" s="10"/>
      <c r="I72" s="14"/>
      <c r="J72" s="7"/>
      <c r="K72" s="7"/>
      <c r="L72" s="7"/>
      <c r="M72" s="7"/>
      <c r="N72" s="7">
        <f t="shared" si="1"/>
        <v>0</v>
      </c>
      <c r="O72" s="7"/>
    </row>
    <row r="73">
      <c r="A73" s="24" t="s">
        <v>319</v>
      </c>
      <c r="B73" s="15" t="s">
        <v>322</v>
      </c>
      <c r="C73" s="10"/>
      <c r="D73" s="11" t="s">
        <v>7</v>
      </c>
      <c r="E73" s="10"/>
      <c r="F73" s="12" t="s">
        <v>1833</v>
      </c>
      <c r="G73" s="13"/>
      <c r="H73" s="10"/>
      <c r="I73" s="17" t="s">
        <v>324</v>
      </c>
      <c r="J73" s="7"/>
      <c r="K73" s="7"/>
      <c r="L73" s="7"/>
      <c r="M73" s="7"/>
      <c r="N73" s="7">
        <f t="shared" si="1"/>
        <v>1</v>
      </c>
      <c r="O73" s="7"/>
    </row>
    <row r="74">
      <c r="A74" s="8" t="s">
        <v>325</v>
      </c>
      <c r="B74" s="15" t="s">
        <v>326</v>
      </c>
      <c r="C74" s="10"/>
      <c r="D74" s="11" t="s">
        <v>327</v>
      </c>
      <c r="E74" s="10"/>
      <c r="F74" s="12" t="s">
        <v>328</v>
      </c>
      <c r="G74" s="13"/>
      <c r="H74" s="10"/>
      <c r="I74" s="14"/>
      <c r="J74" s="7"/>
      <c r="K74" s="7"/>
      <c r="L74" s="7"/>
      <c r="M74" s="7"/>
      <c r="N74" s="7">
        <f t="shared" si="1"/>
        <v>1</v>
      </c>
      <c r="O74" s="7"/>
    </row>
    <row r="75">
      <c r="A75" s="8" t="s">
        <v>329</v>
      </c>
      <c r="B75" s="9" t="s">
        <v>331</v>
      </c>
      <c r="C75" s="10"/>
      <c r="D75" s="18" t="s">
        <v>332</v>
      </c>
      <c r="E75" s="10"/>
      <c r="F75" s="12" t="s">
        <v>333</v>
      </c>
      <c r="G75" s="13"/>
      <c r="H75" s="10"/>
      <c r="I75" s="14"/>
      <c r="J75" s="7"/>
      <c r="K75" s="7"/>
      <c r="L75" s="7"/>
      <c r="M75" s="7"/>
      <c r="N75" s="7">
        <f t="shared" si="1"/>
        <v>1</v>
      </c>
      <c r="O75" s="7"/>
    </row>
    <row r="76">
      <c r="A76" s="8" t="s">
        <v>334</v>
      </c>
      <c r="B76" s="9" t="s">
        <v>335</v>
      </c>
      <c r="C76" s="10"/>
      <c r="D76" s="11" t="s">
        <v>7</v>
      </c>
      <c r="E76" s="10"/>
      <c r="F76" s="12"/>
      <c r="G76" s="13"/>
      <c r="H76" s="10"/>
      <c r="I76" s="14"/>
      <c r="J76" s="7"/>
      <c r="K76" s="7"/>
      <c r="L76" s="7"/>
      <c r="M76" s="7"/>
      <c r="N76" s="7">
        <f t="shared" si="1"/>
        <v>0</v>
      </c>
      <c r="O76" s="7"/>
    </row>
    <row r="77">
      <c r="A77" s="8" t="s">
        <v>336</v>
      </c>
      <c r="B77" s="9" t="s">
        <v>337</v>
      </c>
      <c r="C77" s="10"/>
      <c r="D77" s="11" t="s">
        <v>338</v>
      </c>
      <c r="E77" s="10"/>
      <c r="F77" s="12" t="s">
        <v>339</v>
      </c>
      <c r="G77" s="13"/>
      <c r="H77" s="10"/>
      <c r="I77" s="14"/>
      <c r="J77" s="7"/>
      <c r="K77" s="7"/>
      <c r="L77" s="7"/>
      <c r="M77" s="7"/>
      <c r="N77" s="7">
        <f t="shared" si="1"/>
        <v>1</v>
      </c>
      <c r="O77" s="7"/>
    </row>
    <row r="78">
      <c r="A78" s="8" t="s">
        <v>340</v>
      </c>
      <c r="B78" s="9" t="s">
        <v>341</v>
      </c>
      <c r="C78" s="10"/>
      <c r="D78" s="11" t="s">
        <v>342</v>
      </c>
      <c r="E78" s="10"/>
      <c r="F78" s="12" t="s">
        <v>343</v>
      </c>
      <c r="G78" s="13"/>
      <c r="H78" s="10"/>
      <c r="I78" s="17" t="s">
        <v>344</v>
      </c>
      <c r="J78" s="7"/>
      <c r="K78" s="7"/>
      <c r="L78" s="7"/>
      <c r="M78" s="7"/>
      <c r="N78" s="7">
        <f t="shared" si="1"/>
        <v>1</v>
      </c>
      <c r="O78" s="7"/>
    </row>
    <row r="79">
      <c r="A79" s="8" t="s">
        <v>345</v>
      </c>
      <c r="B79" s="9" t="s">
        <v>347</v>
      </c>
      <c r="C79" s="10"/>
      <c r="D79" s="19" t="s">
        <v>1839</v>
      </c>
      <c r="E79" s="10"/>
      <c r="F79" s="12" t="s">
        <v>349</v>
      </c>
      <c r="G79" s="13"/>
      <c r="H79" s="10"/>
      <c r="I79" s="17" t="s">
        <v>351</v>
      </c>
      <c r="J79" s="7"/>
      <c r="K79" s="7"/>
      <c r="L79" s="7"/>
      <c r="M79" s="7"/>
      <c r="N79" s="7">
        <f t="shared" si="1"/>
        <v>1</v>
      </c>
      <c r="O79" s="7"/>
    </row>
    <row r="80">
      <c r="A80" s="8" t="s">
        <v>352</v>
      </c>
      <c r="B80" s="9" t="s">
        <v>353</v>
      </c>
      <c r="C80" s="10"/>
      <c r="D80" s="18" t="s">
        <v>354</v>
      </c>
      <c r="E80" s="10"/>
      <c r="F80" s="12" t="s">
        <v>355</v>
      </c>
      <c r="G80" s="13"/>
      <c r="H80" s="10"/>
      <c r="I80" s="17" t="s">
        <v>356</v>
      </c>
      <c r="J80" s="7"/>
      <c r="K80" s="7"/>
      <c r="L80" s="7"/>
      <c r="M80" s="7"/>
      <c r="N80" s="7">
        <f t="shared" si="1"/>
        <v>1</v>
      </c>
      <c r="O80" s="7"/>
    </row>
    <row r="81">
      <c r="A81" s="8" t="s">
        <v>357</v>
      </c>
      <c r="B81" s="9" t="s">
        <v>358</v>
      </c>
      <c r="C81" s="10"/>
      <c r="D81" s="11" t="s">
        <v>359</v>
      </c>
      <c r="E81" s="10"/>
      <c r="F81" s="12" t="s">
        <v>360</v>
      </c>
      <c r="G81" s="13"/>
      <c r="H81" s="10"/>
      <c r="I81" s="14"/>
      <c r="J81" s="7"/>
      <c r="K81" s="7"/>
      <c r="L81" s="7"/>
      <c r="M81" s="7"/>
      <c r="N81" s="7">
        <f t="shared" si="1"/>
        <v>1</v>
      </c>
      <c r="O81" s="7"/>
    </row>
    <row r="82">
      <c r="A82" s="8" t="s">
        <v>361</v>
      </c>
      <c r="B82" s="9" t="s">
        <v>362</v>
      </c>
      <c r="C82" s="10"/>
      <c r="D82" s="11" t="s">
        <v>7</v>
      </c>
      <c r="E82" s="10"/>
      <c r="F82" s="12" t="s">
        <v>363</v>
      </c>
      <c r="G82" s="13"/>
      <c r="H82" s="10"/>
      <c r="I82" s="14"/>
      <c r="J82" s="7"/>
      <c r="K82" s="7"/>
      <c r="L82" s="7"/>
      <c r="M82" s="7"/>
      <c r="N82" s="7">
        <f t="shared" si="1"/>
        <v>1</v>
      </c>
      <c r="O82" s="7"/>
    </row>
    <row r="83">
      <c r="A83" s="8" t="s">
        <v>364</v>
      </c>
      <c r="B83" s="9" t="s">
        <v>366</v>
      </c>
      <c r="C83" s="10"/>
      <c r="D83" s="11" t="s">
        <v>7</v>
      </c>
      <c r="E83" s="10"/>
      <c r="F83" s="12" t="s">
        <v>367</v>
      </c>
      <c r="G83" s="13"/>
      <c r="H83" s="10"/>
      <c r="I83" s="14"/>
      <c r="J83" s="7"/>
      <c r="K83" s="7"/>
      <c r="L83" s="7"/>
      <c r="M83" s="7"/>
      <c r="N83" s="7">
        <f t="shared" si="1"/>
        <v>1</v>
      </c>
      <c r="O83" s="7"/>
    </row>
    <row r="84">
      <c r="A84" s="8" t="s">
        <v>368</v>
      </c>
      <c r="B84" s="9" t="s">
        <v>370</v>
      </c>
      <c r="C84" s="10"/>
      <c r="D84" s="11" t="s">
        <v>7</v>
      </c>
      <c r="E84" s="10"/>
      <c r="F84" s="16"/>
      <c r="G84" s="13"/>
      <c r="H84" s="10"/>
      <c r="I84" s="14"/>
      <c r="J84" s="7"/>
      <c r="K84" s="7"/>
      <c r="L84" s="7"/>
      <c r="M84" s="7"/>
      <c r="N84" s="7">
        <f t="shared" si="1"/>
        <v>0</v>
      </c>
      <c r="O84" s="7"/>
    </row>
    <row r="85">
      <c r="A85" s="8" t="s">
        <v>371</v>
      </c>
      <c r="B85" s="9" t="s">
        <v>372</v>
      </c>
      <c r="C85" s="10"/>
      <c r="D85" s="11" t="s">
        <v>7</v>
      </c>
      <c r="E85" s="10"/>
      <c r="F85" s="12" t="s">
        <v>373</v>
      </c>
      <c r="G85" s="13"/>
      <c r="H85" s="10"/>
      <c r="I85" s="17" t="s">
        <v>374</v>
      </c>
      <c r="J85" s="7"/>
      <c r="K85" s="7"/>
      <c r="L85" s="7"/>
      <c r="M85" s="7"/>
      <c r="N85" s="7">
        <f t="shared" si="1"/>
        <v>1</v>
      </c>
      <c r="O85" s="7"/>
    </row>
    <row r="86">
      <c r="A86" s="8" t="s">
        <v>375</v>
      </c>
      <c r="B86" s="9" t="s">
        <v>376</v>
      </c>
      <c r="C86" s="10"/>
      <c r="D86" s="18" t="s">
        <v>377</v>
      </c>
      <c r="E86" s="10"/>
      <c r="F86" s="16"/>
      <c r="G86" s="13"/>
      <c r="H86" s="10"/>
      <c r="I86" s="14"/>
      <c r="J86" s="7"/>
      <c r="K86" s="7"/>
      <c r="L86" s="7"/>
      <c r="M86" s="7"/>
      <c r="N86" s="7">
        <f t="shared" si="1"/>
        <v>0</v>
      </c>
      <c r="O86" s="7"/>
    </row>
    <row r="87">
      <c r="A87" s="8" t="s">
        <v>379</v>
      </c>
      <c r="B87" s="9" t="s">
        <v>381</v>
      </c>
      <c r="C87" s="10"/>
      <c r="D87" s="11" t="s">
        <v>7</v>
      </c>
      <c r="E87" s="10"/>
      <c r="F87" s="16"/>
      <c r="G87" s="13"/>
      <c r="H87" s="10"/>
      <c r="I87" s="14"/>
      <c r="J87" s="7"/>
      <c r="K87" s="7"/>
      <c r="L87" s="7"/>
      <c r="M87" s="7"/>
      <c r="N87" s="7">
        <f t="shared" si="1"/>
        <v>0</v>
      </c>
      <c r="O87" s="7"/>
    </row>
    <row r="88">
      <c r="A88" s="8" t="s">
        <v>382</v>
      </c>
      <c r="B88" s="9" t="s">
        <v>383</v>
      </c>
      <c r="C88" s="10"/>
      <c r="D88" s="18" t="s">
        <v>385</v>
      </c>
      <c r="E88" s="10"/>
      <c r="F88" s="12" t="s">
        <v>1842</v>
      </c>
      <c r="G88" s="13"/>
      <c r="H88" s="10"/>
      <c r="I88" s="17"/>
      <c r="J88" s="7"/>
      <c r="K88" s="7"/>
      <c r="L88" s="7"/>
      <c r="M88" s="7"/>
      <c r="N88" s="7">
        <f t="shared" si="1"/>
        <v>1</v>
      </c>
      <c r="O88" s="7"/>
    </row>
    <row r="89">
      <c r="A89" s="24" t="s">
        <v>387</v>
      </c>
      <c r="B89" s="9" t="s">
        <v>388</v>
      </c>
      <c r="C89" s="10"/>
      <c r="D89" s="18" t="s">
        <v>389</v>
      </c>
      <c r="E89" s="10"/>
      <c r="F89" s="12" t="s">
        <v>390</v>
      </c>
      <c r="G89" s="13"/>
      <c r="H89" s="10"/>
      <c r="I89" s="17" t="s">
        <v>391</v>
      </c>
      <c r="J89" s="7"/>
      <c r="K89" s="7"/>
      <c r="L89" s="7"/>
      <c r="M89" s="7"/>
      <c r="N89" s="7">
        <f t="shared" si="1"/>
        <v>1</v>
      </c>
      <c r="O89" s="7"/>
    </row>
    <row r="90">
      <c r="A90" s="8" t="s">
        <v>392</v>
      </c>
      <c r="B90" s="9" t="s">
        <v>393</v>
      </c>
      <c r="C90" s="10"/>
      <c r="D90" s="18" t="s">
        <v>394</v>
      </c>
      <c r="E90" s="10"/>
      <c r="F90" s="12" t="s">
        <v>395</v>
      </c>
      <c r="G90" s="13"/>
      <c r="H90" s="10"/>
      <c r="I90" s="14"/>
      <c r="J90" s="7"/>
      <c r="K90" s="7"/>
      <c r="L90" s="7"/>
      <c r="M90" s="7"/>
      <c r="N90" s="7">
        <f t="shared" si="1"/>
        <v>1</v>
      </c>
      <c r="O90" s="7"/>
    </row>
    <row r="91">
      <c r="A91" s="8" t="s">
        <v>396</v>
      </c>
      <c r="B91" s="9" t="s">
        <v>397</v>
      </c>
      <c r="C91" s="10"/>
      <c r="D91" s="19" t="s">
        <v>1843</v>
      </c>
      <c r="E91" s="10"/>
      <c r="F91" s="12" t="s">
        <v>399</v>
      </c>
      <c r="G91" s="13"/>
      <c r="H91" s="10"/>
      <c r="I91" s="14"/>
      <c r="J91" s="7"/>
      <c r="K91" s="7"/>
      <c r="L91" s="7"/>
      <c r="M91" s="7"/>
      <c r="N91" s="7">
        <f t="shared" si="1"/>
        <v>1</v>
      </c>
      <c r="O91" s="7"/>
    </row>
    <row r="92">
      <c r="A92" s="8" t="s">
        <v>400</v>
      </c>
      <c r="B92" s="9" t="s">
        <v>401</v>
      </c>
      <c r="C92" s="10"/>
      <c r="D92" s="11" t="s">
        <v>7</v>
      </c>
      <c r="E92" s="10"/>
      <c r="F92" s="12" t="s">
        <v>402</v>
      </c>
      <c r="G92" s="13"/>
      <c r="H92" s="10"/>
      <c r="I92" s="17" t="s">
        <v>403</v>
      </c>
      <c r="J92" s="7"/>
      <c r="K92" s="7"/>
      <c r="L92" s="7"/>
      <c r="M92" s="7"/>
      <c r="N92" s="7">
        <f t="shared" si="1"/>
        <v>1</v>
      </c>
      <c r="O92" s="7"/>
    </row>
    <row r="93">
      <c r="A93" s="8" t="s">
        <v>404</v>
      </c>
      <c r="B93" s="9" t="s">
        <v>405</v>
      </c>
      <c r="C93" s="10"/>
      <c r="D93" s="11" t="s">
        <v>406</v>
      </c>
      <c r="E93" s="10"/>
      <c r="F93" s="12" t="s">
        <v>407</v>
      </c>
      <c r="G93" s="13"/>
      <c r="H93" s="10"/>
      <c r="I93" s="14"/>
      <c r="J93" s="7"/>
      <c r="K93" s="7"/>
      <c r="L93" s="7"/>
      <c r="M93" s="7"/>
      <c r="N93" s="7">
        <f t="shared" si="1"/>
        <v>1</v>
      </c>
      <c r="O93" s="7"/>
    </row>
    <row r="94">
      <c r="A94" s="8" t="s">
        <v>408</v>
      </c>
      <c r="B94" s="9" t="s">
        <v>410</v>
      </c>
      <c r="C94" s="10"/>
      <c r="D94" s="11" t="s">
        <v>411</v>
      </c>
      <c r="E94" s="10"/>
      <c r="F94" s="12" t="s">
        <v>144</v>
      </c>
      <c r="G94" s="13"/>
      <c r="H94" s="10"/>
      <c r="I94" s="14"/>
      <c r="J94" s="7"/>
      <c r="K94" s="7"/>
      <c r="L94" s="7"/>
      <c r="M94" s="7"/>
      <c r="N94" s="7">
        <f t="shared" si="1"/>
        <v>1</v>
      </c>
      <c r="O94" s="7"/>
    </row>
    <row r="95">
      <c r="A95" s="8" t="s">
        <v>412</v>
      </c>
      <c r="B95" s="9" t="s">
        <v>413</v>
      </c>
      <c r="C95" s="10"/>
      <c r="D95" s="18" t="s">
        <v>414</v>
      </c>
      <c r="E95" s="10"/>
      <c r="F95" s="16"/>
      <c r="G95" s="13"/>
      <c r="H95" s="10"/>
      <c r="I95" s="14"/>
      <c r="J95" s="7"/>
      <c r="K95" s="7"/>
      <c r="L95" s="7"/>
      <c r="M95" s="7"/>
      <c r="N95" s="7">
        <f t="shared" si="1"/>
        <v>0</v>
      </c>
      <c r="O95" s="7"/>
    </row>
    <row r="96">
      <c r="A96" s="8" t="s">
        <v>415</v>
      </c>
      <c r="B96" s="9" t="s">
        <v>417</v>
      </c>
      <c r="C96" s="10"/>
      <c r="D96" s="18" t="s">
        <v>418</v>
      </c>
      <c r="E96" s="10"/>
      <c r="F96" s="12" t="s">
        <v>419</v>
      </c>
      <c r="G96" s="13"/>
      <c r="H96" s="10"/>
      <c r="I96" s="17" t="s">
        <v>420</v>
      </c>
      <c r="J96" s="7"/>
      <c r="K96" s="7"/>
      <c r="L96" s="7"/>
      <c r="M96" s="7"/>
      <c r="N96" s="7">
        <f t="shared" si="1"/>
        <v>1</v>
      </c>
      <c r="O96" s="7"/>
    </row>
    <row r="97">
      <c r="A97" s="8" t="s">
        <v>421</v>
      </c>
      <c r="B97" s="9" t="s">
        <v>422</v>
      </c>
      <c r="C97" s="10"/>
      <c r="D97" s="11" t="s">
        <v>141</v>
      </c>
      <c r="E97" s="10"/>
      <c r="F97" s="12" t="s">
        <v>144</v>
      </c>
      <c r="G97" s="13"/>
      <c r="H97" s="10"/>
      <c r="I97" s="14"/>
      <c r="J97" s="7"/>
      <c r="K97" s="7"/>
      <c r="L97" s="7"/>
      <c r="M97" s="7"/>
      <c r="N97" s="7">
        <f t="shared" si="1"/>
        <v>1</v>
      </c>
      <c r="O97" s="7"/>
    </row>
    <row r="98">
      <c r="A98" s="8" t="s">
        <v>423</v>
      </c>
      <c r="B98" s="9" t="s">
        <v>424</v>
      </c>
      <c r="C98" s="10"/>
      <c r="D98" s="18" t="s">
        <v>257</v>
      </c>
      <c r="E98" s="10"/>
      <c r="F98" s="12" t="s">
        <v>425</v>
      </c>
      <c r="G98" s="13"/>
      <c r="H98" s="10"/>
      <c r="I98" s="17" t="s">
        <v>427</v>
      </c>
      <c r="J98" s="7"/>
      <c r="K98" s="7"/>
      <c r="L98" s="7"/>
      <c r="M98" s="7"/>
      <c r="N98" s="7">
        <f t="shared" si="1"/>
        <v>1</v>
      </c>
      <c r="O98" s="7"/>
    </row>
    <row r="99">
      <c r="A99" s="8" t="s">
        <v>429</v>
      </c>
      <c r="B99" s="9" t="s">
        <v>430</v>
      </c>
      <c r="C99" s="10"/>
      <c r="D99" s="11" t="s">
        <v>431</v>
      </c>
      <c r="E99" s="10"/>
      <c r="F99" s="16"/>
      <c r="G99" s="13"/>
      <c r="H99" s="10"/>
      <c r="I99" s="14"/>
      <c r="J99" s="7"/>
      <c r="K99" s="7"/>
      <c r="L99" s="7"/>
      <c r="M99" s="7"/>
      <c r="N99" s="7">
        <f t="shared" si="1"/>
        <v>0</v>
      </c>
      <c r="O99" s="7"/>
    </row>
    <row r="100">
      <c r="A100" s="8" t="s">
        <v>432</v>
      </c>
      <c r="B100" s="9" t="s">
        <v>433</v>
      </c>
      <c r="C100" s="10"/>
      <c r="D100" s="11" t="s">
        <v>434</v>
      </c>
      <c r="E100" s="10"/>
      <c r="F100" s="12" t="s">
        <v>435</v>
      </c>
      <c r="G100" s="13"/>
      <c r="H100" s="10"/>
      <c r="I100" s="14"/>
      <c r="J100" s="7"/>
      <c r="K100" s="7"/>
      <c r="L100" s="7"/>
      <c r="M100" s="7"/>
      <c r="N100" s="7">
        <f t="shared" si="1"/>
        <v>1</v>
      </c>
      <c r="O100" s="7"/>
    </row>
    <row r="101">
      <c r="A101" s="8" t="s">
        <v>436</v>
      </c>
      <c r="B101" s="9" t="s">
        <v>437</v>
      </c>
      <c r="C101" s="10"/>
      <c r="D101" s="11" t="s">
        <v>438</v>
      </c>
      <c r="E101" s="10"/>
      <c r="F101" s="12" t="s">
        <v>144</v>
      </c>
      <c r="G101" s="13"/>
      <c r="H101" s="10"/>
      <c r="I101" s="14"/>
      <c r="J101" s="7"/>
      <c r="K101" s="7"/>
      <c r="L101" s="7"/>
      <c r="M101" s="7"/>
      <c r="N101" s="7">
        <f t="shared" si="1"/>
        <v>1</v>
      </c>
      <c r="O101" s="7"/>
    </row>
    <row r="102">
      <c r="A102" s="8" t="s">
        <v>440</v>
      </c>
      <c r="B102" s="9" t="s">
        <v>442</v>
      </c>
      <c r="C102" s="10"/>
      <c r="D102" s="18" t="s">
        <v>443</v>
      </c>
      <c r="E102" s="10"/>
      <c r="F102" s="12" t="s">
        <v>444</v>
      </c>
      <c r="G102" s="13"/>
      <c r="H102" s="10"/>
      <c r="I102" s="17" t="s">
        <v>445</v>
      </c>
      <c r="J102" s="7"/>
      <c r="K102" s="7"/>
      <c r="L102" s="7"/>
      <c r="M102" s="7"/>
      <c r="N102" s="7">
        <f t="shared" si="1"/>
        <v>1</v>
      </c>
      <c r="O102" s="7"/>
    </row>
    <row r="103">
      <c r="A103" s="8" t="s">
        <v>446</v>
      </c>
      <c r="B103" s="9" t="s">
        <v>447</v>
      </c>
      <c r="C103" s="10"/>
      <c r="D103" s="18" t="s">
        <v>448</v>
      </c>
      <c r="E103" s="10"/>
      <c r="F103" s="12" t="s">
        <v>77</v>
      </c>
      <c r="G103" s="13"/>
      <c r="H103" s="10"/>
      <c r="I103" s="14"/>
      <c r="J103" s="7"/>
      <c r="K103" s="7"/>
      <c r="L103" s="7"/>
      <c r="M103" s="7"/>
      <c r="N103" s="7">
        <f t="shared" si="1"/>
        <v>1</v>
      </c>
      <c r="O103" s="7"/>
    </row>
    <row r="104">
      <c r="A104" s="8" t="s">
        <v>449</v>
      </c>
      <c r="B104" s="9" t="s">
        <v>451</v>
      </c>
      <c r="C104" s="10"/>
      <c r="D104" s="9" t="s">
        <v>452</v>
      </c>
      <c r="E104" s="10"/>
      <c r="F104" s="16"/>
      <c r="G104" s="13"/>
      <c r="H104" s="10"/>
      <c r="I104" s="14"/>
      <c r="J104" s="7"/>
      <c r="K104" s="7"/>
      <c r="L104" s="7"/>
      <c r="M104" s="7"/>
      <c r="N104" s="7">
        <f t="shared" si="1"/>
        <v>0</v>
      </c>
      <c r="O104" s="7"/>
    </row>
    <row r="105">
      <c r="A105" s="8" t="s">
        <v>453</v>
      </c>
      <c r="B105" s="9" t="s">
        <v>454</v>
      </c>
      <c r="C105" s="10"/>
      <c r="D105" s="19" t="s">
        <v>1850</v>
      </c>
      <c r="E105" s="10"/>
      <c r="F105" s="12" t="s">
        <v>456</v>
      </c>
      <c r="G105" s="13"/>
      <c r="H105" s="10"/>
      <c r="I105" s="14"/>
      <c r="J105" s="7"/>
      <c r="K105" s="7"/>
      <c r="L105" s="7"/>
      <c r="M105" s="7"/>
      <c r="N105" s="7">
        <f t="shared" si="1"/>
        <v>1</v>
      </c>
      <c r="O105" s="7"/>
    </row>
    <row r="106">
      <c r="A106" s="20" t="s">
        <v>457</v>
      </c>
      <c r="B106" s="9" t="s">
        <v>458</v>
      </c>
      <c r="C106" s="10"/>
      <c r="D106" s="18" t="s">
        <v>459</v>
      </c>
      <c r="E106" s="10"/>
      <c r="F106" s="12" t="s">
        <v>460</v>
      </c>
      <c r="G106" s="13"/>
      <c r="H106" s="10"/>
      <c r="I106" s="17" t="s">
        <v>461</v>
      </c>
      <c r="J106" s="7"/>
      <c r="K106" s="7"/>
      <c r="L106" s="7"/>
      <c r="M106" s="7"/>
      <c r="N106" s="7">
        <f t="shared" si="1"/>
        <v>1</v>
      </c>
      <c r="O106" s="7"/>
    </row>
    <row r="107">
      <c r="A107" s="8" t="s">
        <v>462</v>
      </c>
      <c r="B107" s="9" t="s">
        <v>463</v>
      </c>
      <c r="C107" s="10"/>
      <c r="D107" s="18" t="s">
        <v>464</v>
      </c>
      <c r="E107" s="10"/>
      <c r="F107" s="12" t="s">
        <v>465</v>
      </c>
      <c r="G107" s="13"/>
      <c r="H107" s="10"/>
      <c r="I107" s="17" t="s">
        <v>466</v>
      </c>
      <c r="J107" s="7"/>
      <c r="K107" s="7"/>
      <c r="L107" s="7"/>
      <c r="M107" s="7"/>
      <c r="N107" s="7">
        <f t="shared" si="1"/>
        <v>1</v>
      </c>
      <c r="O107" s="7"/>
    </row>
    <row r="108">
      <c r="A108" s="8" t="s">
        <v>467</v>
      </c>
      <c r="B108" s="9" t="s">
        <v>468</v>
      </c>
      <c r="C108" s="10"/>
      <c r="D108" s="19" t="s">
        <v>1853</v>
      </c>
      <c r="E108" s="10"/>
      <c r="F108" s="12" t="s">
        <v>1855</v>
      </c>
      <c r="G108" s="13"/>
      <c r="H108" s="10"/>
      <c r="I108" s="14"/>
      <c r="J108" s="7"/>
      <c r="K108" s="7"/>
      <c r="L108" s="7"/>
      <c r="M108" s="7"/>
      <c r="N108" s="7">
        <f t="shared" si="1"/>
        <v>1</v>
      </c>
      <c r="O108" s="7"/>
    </row>
    <row r="109">
      <c r="A109" s="8" t="s">
        <v>471</v>
      </c>
      <c r="B109" s="9" t="s">
        <v>472</v>
      </c>
      <c r="C109" s="10"/>
      <c r="D109" s="18" t="s">
        <v>473</v>
      </c>
      <c r="E109" s="10"/>
      <c r="F109" s="16"/>
      <c r="G109" s="13"/>
      <c r="H109" s="10"/>
      <c r="I109" s="14"/>
      <c r="J109" s="7"/>
      <c r="K109" s="7"/>
      <c r="L109" s="7"/>
      <c r="M109" s="7"/>
      <c r="N109" s="7">
        <f t="shared" si="1"/>
        <v>0</v>
      </c>
      <c r="O109" s="7"/>
    </row>
    <row r="110">
      <c r="A110" s="8" t="s">
        <v>476</v>
      </c>
      <c r="B110" s="9" t="s">
        <v>478</v>
      </c>
      <c r="C110" s="10"/>
      <c r="D110" s="19" t="s">
        <v>1857</v>
      </c>
      <c r="E110" s="10"/>
      <c r="F110" s="12" t="s">
        <v>480</v>
      </c>
      <c r="G110" s="13"/>
      <c r="H110" s="10"/>
      <c r="I110" s="14"/>
      <c r="J110" s="7"/>
      <c r="K110" s="7"/>
      <c r="L110" s="7"/>
      <c r="M110" s="7"/>
      <c r="N110" s="7">
        <f t="shared" si="1"/>
        <v>1</v>
      </c>
      <c r="O110" s="7"/>
    </row>
    <row r="111">
      <c r="A111" s="8" t="s">
        <v>482</v>
      </c>
      <c r="B111" s="9" t="s">
        <v>483</v>
      </c>
      <c r="C111" s="10"/>
      <c r="D111" s="11" t="s">
        <v>7</v>
      </c>
      <c r="E111" s="10"/>
      <c r="F111" s="12" t="s">
        <v>484</v>
      </c>
      <c r="G111" s="13"/>
      <c r="H111" s="10"/>
      <c r="I111" s="14"/>
      <c r="J111" s="7"/>
      <c r="K111" s="7"/>
      <c r="L111" s="7"/>
      <c r="M111" s="7"/>
      <c r="N111" s="7">
        <f t="shared" si="1"/>
        <v>1</v>
      </c>
      <c r="O111" s="7"/>
    </row>
    <row r="112">
      <c r="A112" s="8" t="s">
        <v>485</v>
      </c>
      <c r="B112" s="9" t="s">
        <v>487</v>
      </c>
      <c r="C112" s="10"/>
      <c r="D112" s="9" t="s">
        <v>488</v>
      </c>
      <c r="E112" s="10"/>
      <c r="F112" s="16"/>
      <c r="G112" s="13"/>
      <c r="H112" s="10"/>
      <c r="I112" s="14"/>
      <c r="J112" s="7"/>
      <c r="K112" s="7"/>
      <c r="L112" s="7"/>
      <c r="M112" s="7"/>
      <c r="N112" s="7">
        <f t="shared" si="1"/>
        <v>0</v>
      </c>
      <c r="O112" s="7"/>
    </row>
    <row r="113">
      <c r="A113" s="8" t="s">
        <v>489</v>
      </c>
      <c r="B113" s="15" t="s">
        <v>490</v>
      </c>
      <c r="C113" s="10"/>
      <c r="D113" s="11" t="s">
        <v>491</v>
      </c>
      <c r="E113" s="10"/>
      <c r="F113" s="12" t="s">
        <v>493</v>
      </c>
      <c r="G113" s="13"/>
      <c r="H113" s="10"/>
      <c r="I113" s="14"/>
      <c r="J113" s="7"/>
      <c r="K113" s="7"/>
      <c r="L113" s="7"/>
      <c r="M113" s="7"/>
      <c r="N113" s="7">
        <f t="shared" si="1"/>
        <v>1</v>
      </c>
      <c r="O113" s="7"/>
    </row>
    <row r="114">
      <c r="A114" s="8" t="s">
        <v>494</v>
      </c>
      <c r="B114" s="9" t="s">
        <v>495</v>
      </c>
      <c r="C114" s="10"/>
      <c r="D114" s="18" t="s">
        <v>496</v>
      </c>
      <c r="E114" s="10"/>
      <c r="F114" s="16"/>
      <c r="G114" s="13"/>
      <c r="H114" s="10"/>
      <c r="I114" s="14"/>
      <c r="J114" s="7"/>
      <c r="K114" s="7"/>
      <c r="L114" s="7"/>
      <c r="M114" s="7"/>
      <c r="N114" s="7">
        <f t="shared" si="1"/>
        <v>0</v>
      </c>
      <c r="O114" s="7"/>
    </row>
    <row r="115">
      <c r="A115" s="8" t="s">
        <v>497</v>
      </c>
      <c r="B115" s="9" t="s">
        <v>498</v>
      </c>
      <c r="C115" s="10"/>
      <c r="D115" s="11" t="s">
        <v>141</v>
      </c>
      <c r="E115" s="10"/>
      <c r="F115" s="12" t="s">
        <v>144</v>
      </c>
      <c r="G115" s="13"/>
      <c r="H115" s="10"/>
      <c r="I115" s="14"/>
      <c r="J115" s="7"/>
      <c r="K115" s="7"/>
      <c r="L115" s="7"/>
      <c r="M115" s="7"/>
      <c r="N115" s="7">
        <f t="shared" si="1"/>
        <v>1</v>
      </c>
      <c r="O115" s="7"/>
    </row>
    <row r="116">
      <c r="A116" s="8" t="s">
        <v>499</v>
      </c>
      <c r="B116" s="9" t="s">
        <v>184</v>
      </c>
      <c r="C116" s="10"/>
      <c r="D116" s="18" t="s">
        <v>500</v>
      </c>
      <c r="E116" s="10"/>
      <c r="F116" s="16"/>
      <c r="G116" s="13"/>
      <c r="H116" s="10"/>
      <c r="I116" s="14"/>
      <c r="J116" s="7"/>
      <c r="K116" s="7"/>
      <c r="L116" s="7"/>
      <c r="M116" s="7"/>
      <c r="N116" s="7">
        <f t="shared" si="1"/>
        <v>0</v>
      </c>
      <c r="O116" s="7"/>
    </row>
    <row r="117">
      <c r="A117" s="8" t="s">
        <v>501</v>
      </c>
      <c r="B117" s="9" t="s">
        <v>502</v>
      </c>
      <c r="C117" s="10"/>
      <c r="D117" s="19" t="s">
        <v>1861</v>
      </c>
      <c r="E117" s="10"/>
      <c r="F117" s="12" t="s">
        <v>504</v>
      </c>
      <c r="G117" s="13"/>
      <c r="H117" s="10"/>
      <c r="I117" s="14"/>
      <c r="J117" s="7"/>
      <c r="K117" s="7"/>
      <c r="L117" s="7"/>
      <c r="M117" s="7"/>
      <c r="N117" s="7">
        <f t="shared" si="1"/>
        <v>1</v>
      </c>
      <c r="O117" s="7"/>
    </row>
    <row r="118">
      <c r="A118" s="8" t="s">
        <v>505</v>
      </c>
      <c r="B118" s="9" t="s">
        <v>506</v>
      </c>
      <c r="C118" s="10"/>
      <c r="D118" s="11" t="s">
        <v>7</v>
      </c>
      <c r="E118" s="10"/>
      <c r="F118" s="12" t="s">
        <v>507</v>
      </c>
      <c r="G118" s="13"/>
      <c r="H118" s="10"/>
      <c r="I118" s="14"/>
      <c r="J118" s="7"/>
      <c r="K118" s="7"/>
      <c r="L118" s="7"/>
      <c r="M118" s="7"/>
      <c r="N118" s="7">
        <f t="shared" si="1"/>
        <v>1</v>
      </c>
      <c r="O118" s="7"/>
    </row>
    <row r="119">
      <c r="A119" s="8" t="s">
        <v>508</v>
      </c>
      <c r="B119" s="9" t="s">
        <v>510</v>
      </c>
      <c r="C119" s="10"/>
      <c r="D119" s="11" t="s">
        <v>7</v>
      </c>
      <c r="E119" s="10"/>
      <c r="F119" s="12" t="s">
        <v>512</v>
      </c>
      <c r="G119" s="13"/>
      <c r="H119" s="10"/>
      <c r="I119" s="14"/>
      <c r="J119" s="7"/>
      <c r="K119" s="7"/>
      <c r="L119" s="7"/>
      <c r="M119" s="7"/>
      <c r="N119" s="7">
        <f t="shared" si="1"/>
        <v>1</v>
      </c>
      <c r="O119" s="7"/>
    </row>
    <row r="120">
      <c r="A120" s="8" t="s">
        <v>513</v>
      </c>
      <c r="B120" s="9" t="s">
        <v>514</v>
      </c>
      <c r="C120" s="10"/>
      <c r="D120" s="18" t="s">
        <v>464</v>
      </c>
      <c r="E120" s="10"/>
      <c r="F120" s="12" t="s">
        <v>515</v>
      </c>
      <c r="G120" s="13"/>
      <c r="H120" s="10"/>
      <c r="I120" s="14"/>
      <c r="J120" s="7"/>
      <c r="K120" s="7"/>
      <c r="L120" s="7"/>
      <c r="M120" s="7"/>
      <c r="N120" s="7">
        <f t="shared" si="1"/>
        <v>1</v>
      </c>
      <c r="O120" s="7"/>
    </row>
    <row r="121">
      <c r="A121" s="8" t="s">
        <v>516</v>
      </c>
      <c r="B121" s="9" t="s">
        <v>517</v>
      </c>
      <c r="C121" s="10"/>
      <c r="D121" s="21" t="s">
        <v>1865</v>
      </c>
      <c r="E121" s="10"/>
      <c r="F121" s="12" t="s">
        <v>519</v>
      </c>
      <c r="G121" s="13"/>
      <c r="H121" s="10"/>
      <c r="I121" s="17" t="s">
        <v>520</v>
      </c>
      <c r="J121" s="7"/>
      <c r="K121" s="7"/>
      <c r="L121" s="7"/>
      <c r="M121" s="7"/>
      <c r="N121" s="7">
        <f t="shared" si="1"/>
        <v>1</v>
      </c>
      <c r="O121" s="7"/>
    </row>
    <row r="122">
      <c r="A122" s="8" t="s">
        <v>521</v>
      </c>
      <c r="B122" s="9" t="s">
        <v>522</v>
      </c>
      <c r="C122" s="10"/>
      <c r="D122" s="18" t="s">
        <v>523</v>
      </c>
      <c r="E122" s="10"/>
      <c r="F122" s="12" t="s">
        <v>524</v>
      </c>
      <c r="G122" s="13"/>
      <c r="H122" s="10"/>
      <c r="I122" s="14"/>
      <c r="J122" s="7"/>
      <c r="K122" s="7"/>
      <c r="L122" s="7"/>
      <c r="M122" s="7"/>
      <c r="N122" s="7">
        <f t="shared" si="1"/>
        <v>1</v>
      </c>
      <c r="O122" s="7"/>
    </row>
    <row r="123">
      <c r="A123" s="8" t="s">
        <v>156</v>
      </c>
      <c r="B123" s="9" t="s">
        <v>156</v>
      </c>
      <c r="C123" s="10"/>
      <c r="D123" s="18" t="s">
        <v>573</v>
      </c>
      <c r="E123" s="10"/>
      <c r="F123" s="16"/>
      <c r="G123" s="13"/>
      <c r="H123" s="10"/>
      <c r="I123" s="14"/>
      <c r="J123" s="7"/>
      <c r="K123" s="7"/>
      <c r="L123" s="7"/>
      <c r="M123" s="7"/>
      <c r="N123" s="7">
        <f t="shared" si="1"/>
        <v>0</v>
      </c>
      <c r="O123" s="7"/>
    </row>
    <row r="124">
      <c r="A124" s="7"/>
      <c r="B124" s="7"/>
      <c r="C124" s="7"/>
      <c r="D124" s="7"/>
      <c r="E124" s="7"/>
      <c r="F124" s="7"/>
      <c r="G124" s="7"/>
      <c r="H124" s="7"/>
      <c r="I124" s="7"/>
      <c r="J124" s="7"/>
      <c r="K124" s="7"/>
      <c r="L124" s="7"/>
      <c r="M124" s="7"/>
      <c r="N124" s="7"/>
      <c r="O124" s="7">
        <f>SUM(N3:N124)</f>
        <v>94</v>
      </c>
      <c r="P124" s="7"/>
      <c r="Q124" s="7"/>
      <c r="R124" s="7"/>
      <c r="S124" s="7"/>
      <c r="T124" s="7"/>
      <c r="U124" s="7"/>
      <c r="V124" s="7"/>
      <c r="W124" s="7"/>
      <c r="X124" s="7"/>
      <c r="Y124" s="7"/>
      <c r="Z124" s="7"/>
    </row>
    <row r="125">
      <c r="A125" s="25" t="s">
        <v>576</v>
      </c>
      <c r="B125" s="25" t="s">
        <v>577</v>
      </c>
      <c r="C125" s="25" t="s">
        <v>578</v>
      </c>
      <c r="D125" s="25" t="s">
        <v>579</v>
      </c>
      <c r="E125" s="25" t="s">
        <v>580</v>
      </c>
      <c r="F125" s="25" t="s">
        <v>581</v>
      </c>
      <c r="G125" s="25"/>
      <c r="H125" s="25"/>
      <c r="I125" s="25" t="s">
        <v>4</v>
      </c>
      <c r="J125" s="7"/>
      <c r="K125" s="7"/>
      <c r="L125" s="7"/>
      <c r="M125" s="7"/>
      <c r="N125" s="7"/>
      <c r="O125" s="7"/>
    </row>
    <row r="126">
      <c r="A126" s="26" t="s">
        <v>582</v>
      </c>
      <c r="B126" s="26" t="s">
        <v>583</v>
      </c>
      <c r="C126" s="26" t="s">
        <v>584</v>
      </c>
      <c r="D126" s="27"/>
      <c r="E126" s="28" t="s">
        <v>585</v>
      </c>
      <c r="F126" s="29"/>
      <c r="G126" s="13"/>
      <c r="H126" s="10"/>
      <c r="I126" s="29"/>
      <c r="J126" s="7"/>
      <c r="K126" s="7"/>
      <c r="L126" s="7"/>
      <c r="M126" s="7"/>
      <c r="N126" s="7">
        <f t="shared" ref="N126:N320" si="2"> IF(ISBLANK(F126), 0, 1)</f>
        <v>0</v>
      </c>
      <c r="O126" s="7"/>
    </row>
    <row r="127">
      <c r="A127" s="26" t="s">
        <v>587</v>
      </c>
      <c r="B127" s="26" t="s">
        <v>588</v>
      </c>
      <c r="C127" s="26" t="s">
        <v>589</v>
      </c>
      <c r="D127" s="27"/>
      <c r="E127" s="28" t="s">
        <v>591</v>
      </c>
      <c r="F127" s="30" t="s">
        <v>592</v>
      </c>
      <c r="G127" s="13"/>
      <c r="H127" s="10"/>
      <c r="I127" s="29"/>
      <c r="J127" s="7"/>
      <c r="K127" s="7"/>
      <c r="L127" s="7"/>
      <c r="M127" s="7"/>
      <c r="N127" s="7">
        <f t="shared" si="2"/>
        <v>1</v>
      </c>
      <c r="O127" s="7"/>
    </row>
    <row r="128">
      <c r="A128" s="26" t="s">
        <v>596</v>
      </c>
      <c r="B128" s="26" t="s">
        <v>597</v>
      </c>
      <c r="C128" s="26" t="s">
        <v>589</v>
      </c>
      <c r="D128" s="26" t="s">
        <v>598</v>
      </c>
      <c r="E128" s="28" t="s">
        <v>599</v>
      </c>
      <c r="F128" s="29"/>
      <c r="G128" s="13"/>
      <c r="H128" s="10"/>
      <c r="I128" s="29"/>
      <c r="J128" s="7"/>
      <c r="K128" s="7"/>
      <c r="L128" s="7"/>
      <c r="M128" s="7"/>
      <c r="N128" s="7">
        <f t="shared" si="2"/>
        <v>0</v>
      </c>
      <c r="O128" s="7"/>
    </row>
    <row r="129">
      <c r="A129" s="26" t="s">
        <v>602</v>
      </c>
      <c r="B129" s="31" t="s">
        <v>603</v>
      </c>
      <c r="C129" s="26" t="s">
        <v>589</v>
      </c>
      <c r="D129" s="27"/>
      <c r="E129" s="32" t="s">
        <v>604</v>
      </c>
      <c r="F129" s="30" t="s">
        <v>605</v>
      </c>
      <c r="G129" s="13"/>
      <c r="H129" s="10"/>
      <c r="I129" s="30" t="s">
        <v>520</v>
      </c>
      <c r="J129" s="7"/>
      <c r="K129" s="7"/>
      <c r="L129" s="7"/>
      <c r="M129" s="7"/>
      <c r="N129" s="7">
        <f t="shared" si="2"/>
        <v>1</v>
      </c>
      <c r="O129" s="7"/>
    </row>
    <row r="130">
      <c r="A130" s="26" t="s">
        <v>606</v>
      </c>
      <c r="B130" s="26" t="s">
        <v>607</v>
      </c>
      <c r="C130" s="26" t="s">
        <v>584</v>
      </c>
      <c r="D130" s="27"/>
      <c r="E130" s="32" t="s">
        <v>608</v>
      </c>
      <c r="F130" s="30" t="s">
        <v>609</v>
      </c>
      <c r="G130" s="13"/>
      <c r="H130" s="10"/>
      <c r="I130" s="29"/>
      <c r="J130" s="7"/>
      <c r="K130" s="7"/>
      <c r="L130" s="7"/>
      <c r="M130" s="7"/>
      <c r="N130" s="7">
        <f t="shared" si="2"/>
        <v>1</v>
      </c>
      <c r="O130" s="7"/>
    </row>
    <row r="131">
      <c r="A131" s="26" t="s">
        <v>610</v>
      </c>
      <c r="B131" s="31" t="s">
        <v>611</v>
      </c>
      <c r="C131" s="26" t="s">
        <v>589</v>
      </c>
      <c r="D131" s="27"/>
      <c r="E131" s="28" t="s">
        <v>612</v>
      </c>
      <c r="F131" s="30" t="s">
        <v>613</v>
      </c>
      <c r="G131" s="13"/>
      <c r="H131" s="10"/>
      <c r="I131" s="29"/>
      <c r="J131" s="7"/>
      <c r="K131" s="7"/>
      <c r="L131" s="7"/>
      <c r="M131" s="7"/>
      <c r="N131" s="7">
        <f t="shared" si="2"/>
        <v>1</v>
      </c>
      <c r="O131" s="7"/>
    </row>
    <row r="132">
      <c r="A132" s="26" t="s">
        <v>614</v>
      </c>
      <c r="B132" s="31" t="s">
        <v>615</v>
      </c>
      <c r="C132" s="26" t="s">
        <v>589</v>
      </c>
      <c r="D132" s="27"/>
      <c r="E132" s="28" t="s">
        <v>616</v>
      </c>
      <c r="F132" s="30" t="s">
        <v>617</v>
      </c>
      <c r="G132" s="13"/>
      <c r="H132" s="10"/>
      <c r="I132" s="29"/>
      <c r="J132" s="7"/>
      <c r="K132" s="7"/>
      <c r="L132" s="7"/>
      <c r="M132" s="7"/>
      <c r="N132" s="7">
        <f t="shared" si="2"/>
        <v>1</v>
      </c>
      <c r="O132" s="7"/>
    </row>
    <row r="133">
      <c r="A133" s="31" t="s">
        <v>614</v>
      </c>
      <c r="B133" s="26" t="s">
        <v>618</v>
      </c>
      <c r="C133" s="26" t="s">
        <v>589</v>
      </c>
      <c r="D133" s="27"/>
      <c r="E133" s="28" t="s">
        <v>619</v>
      </c>
      <c r="F133" s="30" t="s">
        <v>617</v>
      </c>
      <c r="G133" s="13"/>
      <c r="H133" s="10"/>
      <c r="I133" s="29"/>
      <c r="J133" s="7"/>
      <c r="K133" s="7"/>
      <c r="L133" s="7"/>
      <c r="M133" s="7"/>
      <c r="N133" s="7">
        <f t="shared" si="2"/>
        <v>1</v>
      </c>
      <c r="O133" s="7"/>
    </row>
    <row r="134">
      <c r="A134" s="31" t="s">
        <v>614</v>
      </c>
      <c r="B134" s="26" t="s">
        <v>615</v>
      </c>
      <c r="C134" s="26" t="s">
        <v>589</v>
      </c>
      <c r="D134" s="27"/>
      <c r="E134" s="28" t="s">
        <v>620</v>
      </c>
      <c r="F134" s="30" t="s">
        <v>617</v>
      </c>
      <c r="G134" s="13"/>
      <c r="H134" s="10"/>
      <c r="I134" s="29"/>
      <c r="J134" s="7"/>
      <c r="K134" s="7"/>
      <c r="L134" s="7"/>
      <c r="M134" s="7"/>
      <c r="N134" s="7">
        <f t="shared" si="2"/>
        <v>1</v>
      </c>
      <c r="O134" s="7"/>
    </row>
    <row r="135">
      <c r="A135" s="26" t="s">
        <v>623</v>
      </c>
      <c r="B135" s="26" t="s">
        <v>624</v>
      </c>
      <c r="C135" s="26" t="s">
        <v>584</v>
      </c>
      <c r="D135" s="33" t="s">
        <v>1874</v>
      </c>
      <c r="E135" s="28" t="s">
        <v>626</v>
      </c>
      <c r="F135" s="30" t="s">
        <v>627</v>
      </c>
      <c r="G135" s="13"/>
      <c r="H135" s="10"/>
      <c r="I135" s="29"/>
      <c r="J135" s="7"/>
      <c r="K135" s="7"/>
      <c r="L135" s="7"/>
      <c r="M135" s="7"/>
      <c r="N135" s="7">
        <f t="shared" si="2"/>
        <v>1</v>
      </c>
      <c r="O135" s="7"/>
    </row>
    <row r="136">
      <c r="A136" s="26" t="s">
        <v>628</v>
      </c>
      <c r="B136" s="26" t="s">
        <v>629</v>
      </c>
      <c r="C136" s="26" t="s">
        <v>589</v>
      </c>
      <c r="D136" s="27"/>
      <c r="E136" s="28" t="s">
        <v>630</v>
      </c>
      <c r="F136" s="30" t="s">
        <v>632</v>
      </c>
      <c r="G136" s="13"/>
      <c r="H136" s="10"/>
      <c r="I136" s="29"/>
      <c r="J136" s="7"/>
      <c r="K136" s="7"/>
      <c r="L136" s="7"/>
      <c r="M136" s="7"/>
      <c r="N136" s="7">
        <f t="shared" si="2"/>
        <v>1</v>
      </c>
      <c r="O136" s="7"/>
    </row>
    <row r="137">
      <c r="A137" s="26" t="s">
        <v>633</v>
      </c>
      <c r="B137" s="26" t="s">
        <v>634</v>
      </c>
      <c r="C137" s="26" t="s">
        <v>584</v>
      </c>
      <c r="D137" s="26" t="s">
        <v>635</v>
      </c>
      <c r="E137" s="28" t="s">
        <v>636</v>
      </c>
      <c r="F137" s="29"/>
      <c r="G137" s="13"/>
      <c r="H137" s="10"/>
      <c r="I137" s="29"/>
      <c r="J137" s="7"/>
      <c r="K137" s="7"/>
      <c r="L137" s="7"/>
      <c r="M137" s="7"/>
      <c r="N137" s="7">
        <f t="shared" si="2"/>
        <v>0</v>
      </c>
      <c r="O137" s="7"/>
    </row>
    <row r="138">
      <c r="A138" s="31" t="s">
        <v>637</v>
      </c>
      <c r="B138" s="26" t="s">
        <v>638</v>
      </c>
      <c r="C138" s="26" t="s">
        <v>589</v>
      </c>
      <c r="D138" s="27"/>
      <c r="E138" s="33" t="s">
        <v>1875</v>
      </c>
      <c r="F138" s="30" t="s">
        <v>640</v>
      </c>
      <c r="G138" s="13"/>
      <c r="H138" s="10"/>
      <c r="I138" s="29"/>
      <c r="J138" s="7"/>
      <c r="K138" s="7"/>
      <c r="L138" s="7"/>
      <c r="M138" s="7"/>
      <c r="N138" s="7">
        <f t="shared" si="2"/>
        <v>1</v>
      </c>
      <c r="O138" s="7"/>
    </row>
    <row r="139">
      <c r="A139" s="26" t="s">
        <v>641</v>
      </c>
      <c r="B139" s="26" t="s">
        <v>642</v>
      </c>
      <c r="C139" s="26" t="s">
        <v>589</v>
      </c>
      <c r="D139" s="27"/>
      <c r="E139" s="28" t="s">
        <v>643</v>
      </c>
      <c r="F139" s="30" t="s">
        <v>1876</v>
      </c>
      <c r="G139" s="13"/>
      <c r="H139" s="10"/>
      <c r="I139" s="29"/>
      <c r="J139" s="7"/>
      <c r="K139" s="7"/>
      <c r="L139" s="7"/>
      <c r="M139" s="7"/>
      <c r="N139" s="7">
        <f t="shared" si="2"/>
        <v>1</v>
      </c>
      <c r="O139" s="7"/>
    </row>
    <row r="140">
      <c r="A140" s="26" t="s">
        <v>646</v>
      </c>
      <c r="B140" s="26" t="s">
        <v>647</v>
      </c>
      <c r="C140" s="26" t="s">
        <v>648</v>
      </c>
      <c r="D140" s="27"/>
      <c r="E140" s="28" t="s">
        <v>649</v>
      </c>
      <c r="F140" s="29"/>
      <c r="G140" s="13"/>
      <c r="H140" s="10"/>
      <c r="I140" s="29"/>
      <c r="J140" s="7"/>
      <c r="K140" s="7"/>
      <c r="L140" s="7"/>
      <c r="M140" s="7"/>
      <c r="N140" s="7">
        <f t="shared" si="2"/>
        <v>0</v>
      </c>
      <c r="O140" s="7"/>
    </row>
    <row r="141">
      <c r="A141" s="26" t="s">
        <v>650</v>
      </c>
      <c r="B141" s="26" t="s">
        <v>651</v>
      </c>
      <c r="C141" s="26" t="s">
        <v>589</v>
      </c>
      <c r="D141" s="27"/>
      <c r="E141" s="28" t="s">
        <v>652</v>
      </c>
      <c r="F141" s="29"/>
      <c r="G141" s="13"/>
      <c r="H141" s="10"/>
      <c r="I141" s="29"/>
      <c r="J141" s="7"/>
      <c r="K141" s="7"/>
      <c r="L141" s="7"/>
      <c r="M141" s="7"/>
      <c r="N141" s="7">
        <f t="shared" si="2"/>
        <v>0</v>
      </c>
      <c r="O141" s="7"/>
    </row>
    <row r="142">
      <c r="A142" s="26" t="s">
        <v>654</v>
      </c>
      <c r="B142" s="26" t="s">
        <v>655</v>
      </c>
      <c r="C142" s="26" t="s">
        <v>589</v>
      </c>
      <c r="D142" s="26" t="s">
        <v>635</v>
      </c>
      <c r="E142" s="28" t="s">
        <v>656</v>
      </c>
      <c r="F142" s="29"/>
      <c r="G142" s="13"/>
      <c r="H142" s="10"/>
      <c r="I142" s="29"/>
      <c r="J142" s="7"/>
      <c r="K142" s="7"/>
      <c r="L142" s="7"/>
      <c r="M142" s="7"/>
      <c r="N142" s="7">
        <f t="shared" si="2"/>
        <v>0</v>
      </c>
      <c r="O142" s="7"/>
    </row>
    <row r="143">
      <c r="A143" s="26" t="s">
        <v>657</v>
      </c>
      <c r="B143" s="26" t="s">
        <v>658</v>
      </c>
      <c r="C143" s="26" t="s">
        <v>589</v>
      </c>
      <c r="D143" s="27"/>
      <c r="E143" s="28" t="s">
        <v>659</v>
      </c>
      <c r="F143" s="29"/>
      <c r="G143" s="13"/>
      <c r="H143" s="10"/>
      <c r="I143" s="29"/>
      <c r="J143" s="7"/>
      <c r="K143" s="7"/>
      <c r="L143" s="7"/>
      <c r="M143" s="7"/>
      <c r="N143" s="7">
        <f t="shared" si="2"/>
        <v>0</v>
      </c>
      <c r="O143" s="7"/>
    </row>
    <row r="144">
      <c r="A144" s="26" t="s">
        <v>660</v>
      </c>
      <c r="B144" s="26" t="s">
        <v>661</v>
      </c>
      <c r="C144" s="26" t="s">
        <v>589</v>
      </c>
      <c r="D144" s="27"/>
      <c r="E144" s="33" t="s">
        <v>1879</v>
      </c>
      <c r="F144" s="30" t="s">
        <v>663</v>
      </c>
      <c r="G144" s="13"/>
      <c r="H144" s="10"/>
      <c r="I144" s="29"/>
      <c r="J144" s="7"/>
      <c r="K144" s="7"/>
      <c r="L144" s="7"/>
      <c r="M144" s="7"/>
      <c r="N144" s="7">
        <f t="shared" si="2"/>
        <v>1</v>
      </c>
      <c r="O144" s="7"/>
    </row>
    <row r="145">
      <c r="A145" s="26" t="s">
        <v>664</v>
      </c>
      <c r="B145" s="26" t="s">
        <v>665</v>
      </c>
      <c r="C145" s="26" t="s">
        <v>589</v>
      </c>
      <c r="D145" s="27"/>
      <c r="E145" s="28" t="s">
        <v>666</v>
      </c>
      <c r="F145" s="30" t="s">
        <v>667</v>
      </c>
      <c r="G145" s="13"/>
      <c r="H145" s="10"/>
      <c r="I145" s="29"/>
      <c r="J145" s="7"/>
      <c r="K145" s="7"/>
      <c r="L145" s="7"/>
      <c r="M145" s="7"/>
      <c r="N145" s="7">
        <f t="shared" si="2"/>
        <v>1</v>
      </c>
      <c r="O145" s="7"/>
    </row>
    <row r="146">
      <c r="A146" s="26" t="s">
        <v>668</v>
      </c>
      <c r="B146" s="26" t="s">
        <v>669</v>
      </c>
      <c r="C146" s="26" t="s">
        <v>589</v>
      </c>
      <c r="D146" s="26" t="s">
        <v>598</v>
      </c>
      <c r="E146" s="28" t="s">
        <v>670</v>
      </c>
      <c r="F146" s="30" t="s">
        <v>671</v>
      </c>
      <c r="G146" s="13"/>
      <c r="H146" s="10"/>
      <c r="I146" s="29"/>
      <c r="J146" s="7"/>
      <c r="K146" s="7"/>
      <c r="L146" s="7"/>
      <c r="M146" s="7"/>
      <c r="N146" s="7">
        <f t="shared" si="2"/>
        <v>1</v>
      </c>
      <c r="O146" s="7"/>
    </row>
    <row r="147">
      <c r="A147" s="26" t="s">
        <v>672</v>
      </c>
      <c r="B147" s="26" t="s">
        <v>673</v>
      </c>
      <c r="C147" s="26" t="s">
        <v>589</v>
      </c>
      <c r="D147" s="27"/>
      <c r="E147" s="28" t="s">
        <v>674</v>
      </c>
      <c r="F147" s="29"/>
      <c r="G147" s="13"/>
      <c r="H147" s="10"/>
      <c r="I147" s="29"/>
      <c r="J147" s="7"/>
      <c r="K147" s="7"/>
      <c r="L147" s="7"/>
      <c r="M147" s="7"/>
      <c r="N147" s="7">
        <f t="shared" si="2"/>
        <v>0</v>
      </c>
      <c r="O147" s="7"/>
    </row>
    <row r="148">
      <c r="A148" s="26" t="s">
        <v>676</v>
      </c>
      <c r="B148" s="26" t="s">
        <v>677</v>
      </c>
      <c r="C148" s="26" t="s">
        <v>589</v>
      </c>
      <c r="D148" s="27"/>
      <c r="E148" s="28" t="s">
        <v>678</v>
      </c>
      <c r="F148" s="30" t="s">
        <v>680</v>
      </c>
      <c r="G148" s="13"/>
      <c r="H148" s="10"/>
      <c r="I148" s="29"/>
      <c r="J148" s="7"/>
      <c r="K148" s="7"/>
      <c r="L148" s="7"/>
      <c r="M148" s="7"/>
      <c r="N148" s="7">
        <f t="shared" si="2"/>
        <v>1</v>
      </c>
      <c r="O148" s="7"/>
    </row>
    <row r="149">
      <c r="A149" s="26" t="s">
        <v>681</v>
      </c>
      <c r="B149" s="26" t="s">
        <v>682</v>
      </c>
      <c r="C149" s="26" t="s">
        <v>589</v>
      </c>
      <c r="D149" s="27"/>
      <c r="E149" s="28" t="s">
        <v>683</v>
      </c>
      <c r="F149" s="29"/>
      <c r="G149" s="13"/>
      <c r="H149" s="10"/>
      <c r="I149" s="29"/>
      <c r="J149" s="7"/>
      <c r="K149" s="7"/>
      <c r="L149" s="7"/>
      <c r="M149" s="7"/>
      <c r="N149" s="7">
        <f t="shared" si="2"/>
        <v>0</v>
      </c>
      <c r="O149" s="7"/>
    </row>
    <row r="150">
      <c r="A150" s="31" t="s">
        <v>684</v>
      </c>
      <c r="B150" s="26" t="s">
        <v>685</v>
      </c>
      <c r="C150" s="26" t="s">
        <v>584</v>
      </c>
      <c r="D150" s="27"/>
      <c r="E150" s="31" t="s">
        <v>686</v>
      </c>
      <c r="F150" s="30" t="s">
        <v>687</v>
      </c>
      <c r="G150" s="13"/>
      <c r="H150" s="10"/>
      <c r="I150" s="29"/>
      <c r="J150" s="7"/>
      <c r="K150" s="7"/>
      <c r="L150" s="7"/>
      <c r="M150" s="7"/>
      <c r="N150" s="7">
        <f t="shared" si="2"/>
        <v>1</v>
      </c>
      <c r="O150" s="7"/>
    </row>
    <row r="151">
      <c r="A151" s="26" t="s">
        <v>688</v>
      </c>
      <c r="B151" s="31" t="s">
        <v>689</v>
      </c>
      <c r="C151" s="26" t="s">
        <v>589</v>
      </c>
      <c r="D151" s="27"/>
      <c r="E151" s="28" t="s">
        <v>690</v>
      </c>
      <c r="F151" s="30" t="s">
        <v>1883</v>
      </c>
      <c r="G151" s="13"/>
      <c r="H151" s="10"/>
      <c r="I151" s="29"/>
      <c r="J151" s="7"/>
      <c r="K151" s="7"/>
      <c r="L151" s="7"/>
      <c r="M151" s="7"/>
      <c r="N151" s="7">
        <f t="shared" si="2"/>
        <v>1</v>
      </c>
      <c r="O151" s="7"/>
    </row>
    <row r="152">
      <c r="A152" s="31" t="s">
        <v>692</v>
      </c>
      <c r="B152" s="26" t="s">
        <v>693</v>
      </c>
      <c r="C152" s="26" t="s">
        <v>589</v>
      </c>
      <c r="D152" s="27"/>
      <c r="E152" s="28" t="s">
        <v>694</v>
      </c>
      <c r="F152" s="30" t="s">
        <v>695</v>
      </c>
      <c r="G152" s="13"/>
      <c r="H152" s="10"/>
      <c r="I152" s="29"/>
      <c r="J152" s="7"/>
      <c r="K152" s="7"/>
      <c r="L152" s="7"/>
      <c r="M152" s="7"/>
      <c r="N152" s="7">
        <f t="shared" si="2"/>
        <v>1</v>
      </c>
      <c r="O152" s="7"/>
    </row>
    <row r="153">
      <c r="A153" s="31" t="s">
        <v>696</v>
      </c>
      <c r="B153" s="31" t="s">
        <v>697</v>
      </c>
      <c r="C153" s="26" t="s">
        <v>589</v>
      </c>
      <c r="D153" s="27"/>
      <c r="E153" s="28" t="s">
        <v>698</v>
      </c>
      <c r="F153" s="30" t="s">
        <v>699</v>
      </c>
      <c r="G153" s="13"/>
      <c r="H153" s="10"/>
      <c r="I153" s="29"/>
      <c r="J153" s="7"/>
      <c r="K153" s="7"/>
      <c r="L153" s="7"/>
      <c r="M153" s="7"/>
      <c r="N153" s="7">
        <f t="shared" si="2"/>
        <v>1</v>
      </c>
      <c r="O153" s="7"/>
    </row>
    <row r="154">
      <c r="A154" s="26" t="s">
        <v>700</v>
      </c>
      <c r="B154" s="26" t="s">
        <v>701</v>
      </c>
      <c r="C154" s="26" t="s">
        <v>584</v>
      </c>
      <c r="D154" s="27"/>
      <c r="E154" s="28" t="s">
        <v>702</v>
      </c>
      <c r="F154" s="29"/>
      <c r="G154" s="13"/>
      <c r="H154" s="10"/>
      <c r="I154" s="29"/>
      <c r="J154" s="7"/>
      <c r="K154" s="7"/>
      <c r="L154" s="7"/>
      <c r="M154" s="7"/>
      <c r="N154" s="7">
        <f t="shared" si="2"/>
        <v>0</v>
      </c>
      <c r="O154" s="7"/>
    </row>
    <row r="155">
      <c r="A155" s="26" t="s">
        <v>703</v>
      </c>
      <c r="B155" s="26" t="s">
        <v>704</v>
      </c>
      <c r="C155" s="26" t="s">
        <v>589</v>
      </c>
      <c r="D155" s="27"/>
      <c r="E155" s="28" t="s">
        <v>705</v>
      </c>
      <c r="F155" s="30" t="s">
        <v>706</v>
      </c>
      <c r="G155" s="13"/>
      <c r="H155" s="10"/>
      <c r="I155" s="29"/>
      <c r="J155" s="7"/>
      <c r="K155" s="7"/>
      <c r="L155" s="7"/>
      <c r="M155" s="7"/>
      <c r="N155" s="7">
        <f t="shared" si="2"/>
        <v>1</v>
      </c>
      <c r="O155" s="7"/>
    </row>
    <row r="156">
      <c r="A156" s="26" t="s">
        <v>707</v>
      </c>
      <c r="B156" s="26" t="s">
        <v>708</v>
      </c>
      <c r="C156" s="26" t="s">
        <v>589</v>
      </c>
      <c r="D156" s="26" t="s">
        <v>635</v>
      </c>
      <c r="E156" s="28" t="s">
        <v>709</v>
      </c>
      <c r="F156" s="30" t="s">
        <v>710</v>
      </c>
      <c r="G156" s="13"/>
      <c r="H156" s="10"/>
      <c r="I156" s="30"/>
      <c r="J156" s="7"/>
      <c r="K156" s="7"/>
      <c r="L156" s="7"/>
      <c r="M156" s="7"/>
      <c r="N156" s="7">
        <f t="shared" si="2"/>
        <v>1</v>
      </c>
      <c r="O156" s="7"/>
    </row>
    <row r="157">
      <c r="A157" s="26" t="s">
        <v>711</v>
      </c>
      <c r="B157" s="26" t="s">
        <v>712</v>
      </c>
      <c r="C157" s="26" t="s">
        <v>589</v>
      </c>
      <c r="D157" s="27"/>
      <c r="E157" s="28" t="s">
        <v>713</v>
      </c>
      <c r="F157" s="29"/>
      <c r="G157" s="13"/>
      <c r="H157" s="10"/>
      <c r="I157" s="30" t="s">
        <v>466</v>
      </c>
      <c r="J157" s="7"/>
      <c r="K157" s="7"/>
      <c r="L157" s="7"/>
      <c r="M157" s="7"/>
      <c r="N157" s="7">
        <f t="shared" si="2"/>
        <v>0</v>
      </c>
      <c r="O157" s="7"/>
    </row>
    <row r="158">
      <c r="A158" s="31" t="s">
        <v>714</v>
      </c>
      <c r="B158" s="26" t="s">
        <v>715</v>
      </c>
      <c r="C158" s="26" t="s">
        <v>589</v>
      </c>
      <c r="D158" s="27"/>
      <c r="E158" s="28" t="s">
        <v>716</v>
      </c>
      <c r="F158" s="30" t="s">
        <v>718</v>
      </c>
      <c r="G158" s="13"/>
      <c r="H158" s="10"/>
      <c r="I158" s="29"/>
      <c r="J158" s="7"/>
      <c r="K158" s="7"/>
      <c r="L158" s="7"/>
      <c r="M158" s="7"/>
      <c r="N158" s="7">
        <f t="shared" si="2"/>
        <v>1</v>
      </c>
      <c r="O158" s="7"/>
    </row>
    <row r="159">
      <c r="A159" s="26" t="s">
        <v>719</v>
      </c>
      <c r="B159" s="26" t="s">
        <v>720</v>
      </c>
      <c r="C159" s="26" t="s">
        <v>589</v>
      </c>
      <c r="D159" s="26" t="s">
        <v>598</v>
      </c>
      <c r="E159" s="28" t="s">
        <v>721</v>
      </c>
      <c r="F159" s="30" t="s">
        <v>722</v>
      </c>
      <c r="G159" s="13"/>
      <c r="H159" s="10"/>
      <c r="I159" s="29"/>
      <c r="J159" s="7"/>
      <c r="K159" s="7"/>
      <c r="L159" s="7"/>
      <c r="M159" s="7"/>
      <c r="N159" s="7">
        <f t="shared" si="2"/>
        <v>1</v>
      </c>
      <c r="O159" s="7"/>
    </row>
    <row r="160">
      <c r="A160" s="26" t="s">
        <v>723</v>
      </c>
      <c r="B160" s="26" t="s">
        <v>724</v>
      </c>
      <c r="C160" s="26" t="s">
        <v>589</v>
      </c>
      <c r="D160" s="27"/>
      <c r="E160" s="28" t="s">
        <v>725</v>
      </c>
      <c r="F160" s="29"/>
      <c r="G160" s="13"/>
      <c r="H160" s="10"/>
      <c r="I160" s="29"/>
      <c r="J160" s="7"/>
      <c r="K160" s="7"/>
      <c r="L160" s="7"/>
      <c r="M160" s="7"/>
      <c r="N160" s="7">
        <f t="shared" si="2"/>
        <v>0</v>
      </c>
      <c r="O160" s="7"/>
    </row>
    <row r="161">
      <c r="A161" s="26" t="s">
        <v>726</v>
      </c>
      <c r="B161" s="26" t="s">
        <v>727</v>
      </c>
      <c r="C161" s="26" t="s">
        <v>584</v>
      </c>
      <c r="D161" s="27"/>
      <c r="E161" s="28" t="s">
        <v>728</v>
      </c>
      <c r="F161" s="29"/>
      <c r="G161" s="13"/>
      <c r="H161" s="10"/>
      <c r="I161" s="29"/>
      <c r="J161" s="7"/>
      <c r="K161" s="7"/>
      <c r="L161" s="7"/>
      <c r="M161" s="7"/>
      <c r="N161" s="7">
        <f t="shared" si="2"/>
        <v>0</v>
      </c>
      <c r="O161" s="7"/>
    </row>
    <row r="162">
      <c r="A162" s="26" t="s">
        <v>729</v>
      </c>
      <c r="B162" s="26" t="s">
        <v>730</v>
      </c>
      <c r="C162" s="26" t="s">
        <v>589</v>
      </c>
      <c r="D162" s="27"/>
      <c r="E162" s="28" t="s">
        <v>731</v>
      </c>
      <c r="F162" s="30" t="s">
        <v>733</v>
      </c>
      <c r="G162" s="13"/>
      <c r="H162" s="10"/>
      <c r="I162" s="29"/>
      <c r="J162" s="7"/>
      <c r="K162" s="7"/>
      <c r="L162" s="7"/>
      <c r="M162" s="7"/>
      <c r="N162" s="7">
        <f t="shared" si="2"/>
        <v>1</v>
      </c>
      <c r="O162" s="7"/>
    </row>
    <row r="163">
      <c r="A163" s="26" t="s">
        <v>734</v>
      </c>
      <c r="B163" s="26" t="s">
        <v>735</v>
      </c>
      <c r="C163" s="26" t="s">
        <v>736</v>
      </c>
      <c r="D163" s="27"/>
      <c r="E163" s="32" t="s">
        <v>737</v>
      </c>
      <c r="F163" s="30" t="s">
        <v>738</v>
      </c>
      <c r="G163" s="13"/>
      <c r="H163" s="10"/>
      <c r="I163" s="17" t="s">
        <v>445</v>
      </c>
      <c r="J163" s="7"/>
      <c r="K163" s="7"/>
      <c r="L163" s="7"/>
      <c r="M163" s="7"/>
      <c r="N163" s="7">
        <f t="shared" si="2"/>
        <v>1</v>
      </c>
      <c r="O163" s="7"/>
    </row>
    <row r="164">
      <c r="A164" s="26" t="s">
        <v>739</v>
      </c>
      <c r="B164" s="26" t="s">
        <v>740</v>
      </c>
      <c r="C164" s="26" t="s">
        <v>589</v>
      </c>
      <c r="D164" s="27"/>
      <c r="E164" s="28" t="s">
        <v>741</v>
      </c>
      <c r="F164" s="30" t="s">
        <v>742</v>
      </c>
      <c r="G164" s="13"/>
      <c r="H164" s="10"/>
      <c r="I164" s="29"/>
      <c r="J164" s="7"/>
      <c r="K164" s="7"/>
      <c r="L164" s="7"/>
      <c r="M164" s="7"/>
      <c r="N164" s="7">
        <f t="shared" si="2"/>
        <v>1</v>
      </c>
      <c r="O164" s="7"/>
    </row>
    <row r="165">
      <c r="A165" s="26" t="s">
        <v>743</v>
      </c>
      <c r="B165" s="26" t="s">
        <v>744</v>
      </c>
      <c r="C165" s="26" t="s">
        <v>584</v>
      </c>
      <c r="D165" s="26" t="s">
        <v>635</v>
      </c>
      <c r="E165" s="28" t="s">
        <v>745</v>
      </c>
      <c r="F165" s="29"/>
      <c r="G165" s="13"/>
      <c r="H165" s="10"/>
      <c r="I165" s="29"/>
      <c r="J165" s="7"/>
      <c r="K165" s="7"/>
      <c r="L165" s="7"/>
      <c r="M165" s="7"/>
      <c r="N165" s="7">
        <f t="shared" si="2"/>
        <v>0</v>
      </c>
      <c r="O165" s="7"/>
    </row>
    <row r="166">
      <c r="A166" s="26" t="s">
        <v>747</v>
      </c>
      <c r="B166" s="26" t="s">
        <v>748</v>
      </c>
      <c r="C166" s="26" t="s">
        <v>584</v>
      </c>
      <c r="D166" s="27"/>
      <c r="E166" s="28" t="s">
        <v>749</v>
      </c>
      <c r="F166" s="29"/>
      <c r="G166" s="13"/>
      <c r="H166" s="10"/>
      <c r="I166" s="29"/>
      <c r="J166" s="7"/>
      <c r="K166" s="7"/>
      <c r="L166" s="7"/>
      <c r="M166" s="7"/>
      <c r="N166" s="7">
        <f t="shared" si="2"/>
        <v>0</v>
      </c>
      <c r="O166" s="7"/>
    </row>
    <row r="167">
      <c r="A167" s="26" t="s">
        <v>750</v>
      </c>
      <c r="B167" s="26" t="s">
        <v>751</v>
      </c>
      <c r="C167" s="26" t="s">
        <v>752</v>
      </c>
      <c r="D167" s="28" t="s">
        <v>753</v>
      </c>
      <c r="E167" s="33" t="s">
        <v>1894</v>
      </c>
      <c r="F167" s="30" t="s">
        <v>755</v>
      </c>
      <c r="G167" s="13"/>
      <c r="H167" s="10"/>
      <c r="I167" s="29"/>
      <c r="J167" s="7"/>
      <c r="K167" s="7"/>
      <c r="L167" s="7"/>
      <c r="M167" s="7"/>
      <c r="N167" s="7">
        <f t="shared" si="2"/>
        <v>1</v>
      </c>
      <c r="O167" s="7"/>
    </row>
    <row r="168">
      <c r="A168" s="26" t="s">
        <v>756</v>
      </c>
      <c r="B168" s="26" t="s">
        <v>757</v>
      </c>
      <c r="C168" s="26" t="s">
        <v>758</v>
      </c>
      <c r="D168" s="28" t="s">
        <v>753</v>
      </c>
      <c r="E168" s="33" t="s">
        <v>1895</v>
      </c>
      <c r="F168" s="30" t="s">
        <v>761</v>
      </c>
      <c r="G168" s="13"/>
      <c r="H168" s="10"/>
      <c r="I168" s="29"/>
      <c r="J168" s="7"/>
      <c r="K168" s="7"/>
      <c r="L168" s="7"/>
      <c r="M168" s="7"/>
      <c r="N168" s="7">
        <f t="shared" si="2"/>
        <v>1</v>
      </c>
      <c r="O168" s="7"/>
    </row>
    <row r="169">
      <c r="A169" s="26" t="s">
        <v>762</v>
      </c>
      <c r="B169" s="26" t="s">
        <v>763</v>
      </c>
      <c r="C169" s="26" t="s">
        <v>589</v>
      </c>
      <c r="D169" s="27"/>
      <c r="E169" s="28" t="s">
        <v>764</v>
      </c>
      <c r="F169" s="29"/>
      <c r="G169" s="13"/>
      <c r="H169" s="10"/>
      <c r="I169" s="29"/>
      <c r="J169" s="7"/>
      <c r="K169" s="7"/>
      <c r="L169" s="7"/>
      <c r="M169" s="7"/>
      <c r="N169" s="7">
        <f t="shared" si="2"/>
        <v>0</v>
      </c>
      <c r="O169" s="7"/>
    </row>
    <row r="170">
      <c r="A170" s="26" t="s">
        <v>766</v>
      </c>
      <c r="B170" s="26" t="s">
        <v>767</v>
      </c>
      <c r="C170" s="26" t="s">
        <v>589</v>
      </c>
      <c r="D170" s="26" t="s">
        <v>598</v>
      </c>
      <c r="E170" s="28" t="s">
        <v>768</v>
      </c>
      <c r="F170" s="29"/>
      <c r="G170" s="13"/>
      <c r="H170" s="10"/>
      <c r="I170" s="29"/>
      <c r="J170" s="7"/>
      <c r="K170" s="7"/>
      <c r="L170" s="7"/>
      <c r="M170" s="7"/>
      <c r="N170" s="7">
        <f t="shared" si="2"/>
        <v>0</v>
      </c>
      <c r="O170" s="7"/>
    </row>
    <row r="171">
      <c r="A171" s="26" t="s">
        <v>770</v>
      </c>
      <c r="B171" s="26" t="s">
        <v>771</v>
      </c>
      <c r="C171" s="26" t="s">
        <v>772</v>
      </c>
      <c r="D171" s="27"/>
      <c r="E171" s="28" t="s">
        <v>773</v>
      </c>
      <c r="F171" s="30" t="s">
        <v>774</v>
      </c>
      <c r="G171" s="13"/>
      <c r="H171" s="10"/>
      <c r="I171" s="29"/>
      <c r="J171" s="7"/>
      <c r="K171" s="7"/>
      <c r="L171" s="7"/>
      <c r="M171" s="7"/>
      <c r="N171" s="7">
        <f t="shared" si="2"/>
        <v>1</v>
      </c>
      <c r="O171" s="7"/>
    </row>
    <row r="172">
      <c r="A172" s="26" t="s">
        <v>775</v>
      </c>
      <c r="B172" s="26" t="s">
        <v>776</v>
      </c>
      <c r="C172" s="26" t="s">
        <v>589</v>
      </c>
      <c r="D172" s="27"/>
      <c r="E172" s="28" t="s">
        <v>777</v>
      </c>
      <c r="F172" s="30" t="s">
        <v>1900</v>
      </c>
      <c r="G172" s="13"/>
      <c r="H172" s="10"/>
      <c r="I172" s="30" t="s">
        <v>420</v>
      </c>
      <c r="J172" s="7"/>
      <c r="K172" s="7"/>
      <c r="L172" s="7"/>
      <c r="M172" s="7"/>
      <c r="N172" s="7">
        <f t="shared" si="2"/>
        <v>1</v>
      </c>
      <c r="O172" s="7"/>
    </row>
    <row r="173">
      <c r="A173" s="26" t="s">
        <v>780</v>
      </c>
      <c r="B173" s="26" t="s">
        <v>781</v>
      </c>
      <c r="C173" s="26" t="s">
        <v>589</v>
      </c>
      <c r="D173" s="27"/>
      <c r="E173" s="28" t="s">
        <v>782</v>
      </c>
      <c r="F173" s="29"/>
      <c r="G173" s="13"/>
      <c r="H173" s="10"/>
      <c r="I173" s="29"/>
      <c r="J173" s="7"/>
      <c r="K173" s="7"/>
      <c r="L173" s="7"/>
      <c r="M173" s="7"/>
      <c r="N173" s="7">
        <f t="shared" si="2"/>
        <v>0</v>
      </c>
      <c r="O173" s="7"/>
    </row>
    <row r="174">
      <c r="A174" s="26" t="s">
        <v>783</v>
      </c>
      <c r="B174" s="26" t="s">
        <v>784</v>
      </c>
      <c r="C174" s="26" t="s">
        <v>589</v>
      </c>
      <c r="D174" s="27"/>
      <c r="E174" s="28" t="s">
        <v>785</v>
      </c>
      <c r="F174" s="30" t="s">
        <v>786</v>
      </c>
      <c r="G174" s="13"/>
      <c r="H174" s="10"/>
      <c r="I174" s="29"/>
      <c r="J174" s="7"/>
      <c r="K174" s="7"/>
      <c r="L174" s="7"/>
      <c r="M174" s="7"/>
      <c r="N174" s="7">
        <f t="shared" si="2"/>
        <v>1</v>
      </c>
      <c r="O174" s="7"/>
    </row>
    <row r="175">
      <c r="A175" s="26" t="s">
        <v>787</v>
      </c>
      <c r="B175" s="26" t="s">
        <v>788</v>
      </c>
      <c r="C175" s="26" t="s">
        <v>589</v>
      </c>
      <c r="D175" s="27"/>
      <c r="E175" s="28" t="s">
        <v>790</v>
      </c>
      <c r="F175" s="29"/>
      <c r="G175" s="13"/>
      <c r="H175" s="10"/>
      <c r="I175" s="29"/>
      <c r="J175" s="7"/>
      <c r="K175" s="7"/>
      <c r="L175" s="7"/>
      <c r="M175" s="7"/>
      <c r="N175" s="7">
        <f t="shared" si="2"/>
        <v>0</v>
      </c>
      <c r="O175" s="7"/>
    </row>
    <row r="176">
      <c r="A176" s="26" t="s">
        <v>791</v>
      </c>
      <c r="B176" s="26" t="s">
        <v>792</v>
      </c>
      <c r="C176" s="26" t="s">
        <v>589</v>
      </c>
      <c r="D176" s="27"/>
      <c r="E176" s="31" t="s">
        <v>793</v>
      </c>
      <c r="F176" s="30" t="s">
        <v>794</v>
      </c>
      <c r="G176" s="13"/>
      <c r="H176" s="10"/>
      <c r="I176" s="29"/>
      <c r="J176" s="7"/>
      <c r="K176" s="7"/>
      <c r="L176" s="7"/>
      <c r="M176" s="7"/>
      <c r="N176" s="7">
        <f t="shared" si="2"/>
        <v>1</v>
      </c>
      <c r="O176" s="7"/>
    </row>
    <row r="177">
      <c r="A177" s="26" t="s">
        <v>795</v>
      </c>
      <c r="B177" s="26" t="s">
        <v>796</v>
      </c>
      <c r="C177" s="26" t="s">
        <v>589</v>
      </c>
      <c r="D177" s="27"/>
      <c r="E177" s="28" t="s">
        <v>797</v>
      </c>
      <c r="F177" s="29"/>
      <c r="G177" s="13"/>
      <c r="H177" s="10"/>
      <c r="I177" s="29"/>
      <c r="J177" s="7"/>
      <c r="K177" s="7"/>
      <c r="L177" s="7"/>
      <c r="M177" s="7"/>
      <c r="N177" s="7">
        <f t="shared" si="2"/>
        <v>0</v>
      </c>
      <c r="O177" s="7"/>
    </row>
    <row r="178">
      <c r="A178" s="26" t="s">
        <v>799</v>
      </c>
      <c r="B178" s="31" t="s">
        <v>800</v>
      </c>
      <c r="C178" s="26" t="s">
        <v>584</v>
      </c>
      <c r="D178" s="27"/>
      <c r="E178" s="34" t="s">
        <v>801</v>
      </c>
      <c r="F178" s="30" t="s">
        <v>802</v>
      </c>
      <c r="G178" s="13"/>
      <c r="H178" s="10"/>
      <c r="I178" s="29"/>
      <c r="J178" s="7"/>
      <c r="K178" s="7"/>
      <c r="L178" s="7"/>
      <c r="M178" s="7"/>
      <c r="N178" s="7">
        <f t="shared" si="2"/>
        <v>1</v>
      </c>
      <c r="O178" s="7"/>
    </row>
    <row r="179">
      <c r="A179" s="26" t="s">
        <v>803</v>
      </c>
      <c r="B179" s="26" t="s">
        <v>804</v>
      </c>
      <c r="C179" s="26" t="s">
        <v>589</v>
      </c>
      <c r="D179" s="26" t="s">
        <v>598</v>
      </c>
      <c r="E179" s="28" t="s">
        <v>806</v>
      </c>
      <c r="F179" s="29"/>
      <c r="G179" s="13"/>
      <c r="H179" s="10"/>
      <c r="I179" s="29"/>
      <c r="J179" s="7"/>
      <c r="K179" s="7"/>
      <c r="L179" s="7"/>
      <c r="M179" s="7"/>
      <c r="N179" s="7">
        <f t="shared" si="2"/>
        <v>0</v>
      </c>
      <c r="O179" s="7"/>
    </row>
    <row r="180">
      <c r="A180" s="26" t="s">
        <v>807</v>
      </c>
      <c r="B180" s="26" t="s">
        <v>808</v>
      </c>
      <c r="C180" s="26" t="s">
        <v>809</v>
      </c>
      <c r="D180" s="27"/>
      <c r="E180" s="33" t="s">
        <v>1904</v>
      </c>
      <c r="F180" s="30" t="s">
        <v>812</v>
      </c>
      <c r="G180" s="13"/>
      <c r="H180" s="10"/>
      <c r="I180" s="29"/>
      <c r="J180" s="7"/>
      <c r="K180" s="7"/>
      <c r="L180" s="7"/>
      <c r="M180" s="7"/>
      <c r="N180" s="7">
        <f t="shared" si="2"/>
        <v>1</v>
      </c>
      <c r="O180" s="7"/>
    </row>
    <row r="181">
      <c r="A181" s="26" t="s">
        <v>813</v>
      </c>
      <c r="B181" s="26" t="s">
        <v>814</v>
      </c>
      <c r="C181" s="26" t="s">
        <v>589</v>
      </c>
      <c r="D181" s="27"/>
      <c r="E181" s="31" t="s">
        <v>815</v>
      </c>
      <c r="F181" s="30" t="s">
        <v>816</v>
      </c>
      <c r="G181" s="13"/>
      <c r="H181" s="10"/>
      <c r="I181" s="30" t="s">
        <v>374</v>
      </c>
      <c r="J181" s="7"/>
      <c r="K181" s="7"/>
      <c r="L181" s="7"/>
      <c r="M181" s="7"/>
      <c r="N181" s="7">
        <f t="shared" si="2"/>
        <v>1</v>
      </c>
      <c r="O181" s="7"/>
    </row>
    <row r="182">
      <c r="A182" s="26" t="s">
        <v>817</v>
      </c>
      <c r="B182" s="26" t="s">
        <v>818</v>
      </c>
      <c r="C182" s="26" t="s">
        <v>589</v>
      </c>
      <c r="D182" s="27"/>
      <c r="E182" s="28" t="s">
        <v>819</v>
      </c>
      <c r="F182" s="30" t="s">
        <v>820</v>
      </c>
      <c r="G182" s="13"/>
      <c r="H182" s="10"/>
      <c r="I182" s="29"/>
      <c r="J182" s="7"/>
      <c r="K182" s="7"/>
      <c r="L182" s="7"/>
      <c r="M182" s="7"/>
      <c r="N182" s="7">
        <f t="shared" si="2"/>
        <v>1</v>
      </c>
      <c r="O182" s="7"/>
    </row>
    <row r="183">
      <c r="A183" s="26" t="s">
        <v>821</v>
      </c>
      <c r="B183" s="26" t="s">
        <v>822</v>
      </c>
      <c r="C183" s="26" t="s">
        <v>584</v>
      </c>
      <c r="D183" s="27"/>
      <c r="E183" s="28" t="s">
        <v>823</v>
      </c>
      <c r="F183" s="29"/>
      <c r="G183" s="13"/>
      <c r="H183" s="10"/>
      <c r="I183" s="29"/>
      <c r="J183" s="7"/>
      <c r="K183" s="7"/>
      <c r="L183" s="7"/>
      <c r="M183" s="7"/>
      <c r="N183" s="7">
        <f t="shared" si="2"/>
        <v>0</v>
      </c>
      <c r="O183" s="7"/>
    </row>
    <row r="184">
      <c r="A184" s="26" t="s">
        <v>824</v>
      </c>
      <c r="B184" s="26" t="s">
        <v>825</v>
      </c>
      <c r="C184" s="26" t="s">
        <v>589</v>
      </c>
      <c r="D184" s="27"/>
      <c r="E184" s="28" t="s">
        <v>826</v>
      </c>
      <c r="F184" s="30" t="s">
        <v>827</v>
      </c>
      <c r="G184" s="13"/>
      <c r="H184" s="10"/>
      <c r="I184" s="30" t="s">
        <v>828</v>
      </c>
      <c r="J184" s="7"/>
      <c r="K184" s="7"/>
      <c r="L184" s="7"/>
      <c r="M184" s="7"/>
      <c r="N184" s="7">
        <f t="shared" si="2"/>
        <v>1</v>
      </c>
      <c r="O184" s="7"/>
    </row>
    <row r="185">
      <c r="A185" s="26" t="s">
        <v>829</v>
      </c>
      <c r="B185" s="26" t="s">
        <v>830</v>
      </c>
      <c r="C185" s="26" t="s">
        <v>589</v>
      </c>
      <c r="D185" s="27"/>
      <c r="E185" s="28" t="s">
        <v>831</v>
      </c>
      <c r="F185" s="30" t="s">
        <v>832</v>
      </c>
      <c r="G185" s="13"/>
      <c r="H185" s="10"/>
      <c r="I185" s="29"/>
      <c r="J185" s="7"/>
      <c r="K185" s="7"/>
      <c r="L185" s="7"/>
      <c r="M185" s="7"/>
      <c r="N185" s="7">
        <f t="shared" si="2"/>
        <v>1</v>
      </c>
      <c r="O185" s="7"/>
    </row>
    <row r="186">
      <c r="A186" s="26" t="s">
        <v>833</v>
      </c>
      <c r="B186" s="26" t="s">
        <v>834</v>
      </c>
      <c r="C186" s="26" t="s">
        <v>835</v>
      </c>
      <c r="D186" s="26" t="s">
        <v>635</v>
      </c>
      <c r="E186" s="28" t="s">
        <v>836</v>
      </c>
      <c r="F186" s="30" t="s">
        <v>837</v>
      </c>
      <c r="G186" s="13"/>
      <c r="H186" s="10"/>
      <c r="I186" s="29"/>
      <c r="J186" s="7"/>
      <c r="K186" s="7"/>
      <c r="L186" s="7"/>
      <c r="M186" s="7"/>
      <c r="N186" s="7">
        <f t="shared" si="2"/>
        <v>1</v>
      </c>
      <c r="O186" s="7"/>
    </row>
    <row r="187">
      <c r="A187" s="26" t="s">
        <v>838</v>
      </c>
      <c r="B187" s="26" t="s">
        <v>839</v>
      </c>
      <c r="C187" s="26" t="s">
        <v>589</v>
      </c>
      <c r="D187" s="27"/>
      <c r="E187" s="32" t="s">
        <v>840</v>
      </c>
      <c r="F187" s="30" t="s">
        <v>841</v>
      </c>
      <c r="G187" s="13"/>
      <c r="H187" s="10"/>
      <c r="I187" s="29"/>
      <c r="J187" s="7"/>
      <c r="K187" s="7"/>
      <c r="L187" s="7"/>
      <c r="M187" s="7"/>
      <c r="N187" s="7">
        <f t="shared" si="2"/>
        <v>1</v>
      </c>
      <c r="O187" s="7"/>
    </row>
    <row r="188">
      <c r="A188" s="26" t="s">
        <v>842</v>
      </c>
      <c r="B188" s="26" t="s">
        <v>843</v>
      </c>
      <c r="C188" s="26" t="s">
        <v>589</v>
      </c>
      <c r="D188" s="27"/>
      <c r="E188" s="28" t="s">
        <v>844</v>
      </c>
      <c r="F188" s="30" t="s">
        <v>1907</v>
      </c>
      <c r="G188" s="13"/>
      <c r="H188" s="10"/>
      <c r="I188" s="29"/>
      <c r="J188" s="7"/>
      <c r="K188" s="7"/>
      <c r="L188" s="7"/>
      <c r="M188" s="7"/>
      <c r="N188" s="7">
        <f t="shared" si="2"/>
        <v>1</v>
      </c>
      <c r="O188" s="7"/>
    </row>
    <row r="189">
      <c r="A189" s="26" t="s">
        <v>846</v>
      </c>
      <c r="B189" s="31" t="s">
        <v>848</v>
      </c>
      <c r="C189" s="26" t="s">
        <v>584</v>
      </c>
      <c r="D189" s="27"/>
      <c r="E189" s="28" t="s">
        <v>849</v>
      </c>
      <c r="F189" s="30" t="s">
        <v>1906</v>
      </c>
      <c r="G189" s="13"/>
      <c r="H189" s="10"/>
      <c r="I189" s="29"/>
      <c r="J189" s="7"/>
      <c r="K189" s="7"/>
      <c r="L189" s="7"/>
      <c r="M189" s="7"/>
      <c r="N189" s="7">
        <f t="shared" si="2"/>
        <v>1</v>
      </c>
      <c r="O189" s="7"/>
    </row>
    <row r="190">
      <c r="A190" s="26" t="s">
        <v>851</v>
      </c>
      <c r="B190" s="26" t="s">
        <v>852</v>
      </c>
      <c r="C190" s="26" t="s">
        <v>589</v>
      </c>
      <c r="D190" s="27"/>
      <c r="E190" s="28" t="s">
        <v>853</v>
      </c>
      <c r="F190" s="30" t="s">
        <v>854</v>
      </c>
      <c r="G190" s="13"/>
      <c r="H190" s="10"/>
      <c r="I190" s="29"/>
      <c r="J190" s="7"/>
      <c r="K190" s="7"/>
      <c r="L190" s="7"/>
      <c r="M190" s="7"/>
      <c r="N190" s="7">
        <f t="shared" si="2"/>
        <v>1</v>
      </c>
      <c r="O190" s="7"/>
    </row>
    <row r="191">
      <c r="A191" s="26" t="s">
        <v>855</v>
      </c>
      <c r="B191" s="26" t="s">
        <v>856</v>
      </c>
      <c r="C191" s="26" t="s">
        <v>584</v>
      </c>
      <c r="D191" s="27"/>
      <c r="E191" s="31" t="s">
        <v>857</v>
      </c>
      <c r="F191" s="30" t="s">
        <v>858</v>
      </c>
      <c r="G191" s="13"/>
      <c r="H191" s="10"/>
      <c r="I191" s="29"/>
      <c r="J191" s="7"/>
      <c r="K191" s="7"/>
      <c r="L191" s="7"/>
      <c r="M191" s="7"/>
      <c r="N191" s="7">
        <f t="shared" si="2"/>
        <v>1</v>
      </c>
      <c r="O191" s="7"/>
    </row>
    <row r="192">
      <c r="A192" s="26" t="s">
        <v>859</v>
      </c>
      <c r="B192" s="26" t="s">
        <v>860</v>
      </c>
      <c r="C192" s="26" t="s">
        <v>589</v>
      </c>
      <c r="D192" s="27"/>
      <c r="E192" s="28" t="s">
        <v>861</v>
      </c>
      <c r="F192" s="30" t="s">
        <v>862</v>
      </c>
      <c r="G192" s="13"/>
      <c r="H192" s="10"/>
      <c r="I192" s="29"/>
      <c r="J192" s="7"/>
      <c r="K192" s="7"/>
      <c r="L192" s="7"/>
      <c r="M192" s="7"/>
      <c r="N192" s="7">
        <f t="shared" si="2"/>
        <v>1</v>
      </c>
      <c r="O192" s="7"/>
    </row>
    <row r="193">
      <c r="A193" s="26" t="s">
        <v>863</v>
      </c>
      <c r="B193" s="26" t="s">
        <v>864</v>
      </c>
      <c r="C193" s="26" t="s">
        <v>589</v>
      </c>
      <c r="D193" s="28" t="s">
        <v>865</v>
      </c>
      <c r="E193" s="28" t="s">
        <v>866</v>
      </c>
      <c r="F193" s="30" t="s">
        <v>867</v>
      </c>
      <c r="G193" s="13"/>
      <c r="H193" s="10"/>
      <c r="I193" s="30" t="s">
        <v>82</v>
      </c>
      <c r="J193" s="7"/>
      <c r="K193" s="7"/>
      <c r="L193" s="7"/>
      <c r="M193" s="7"/>
      <c r="N193" s="7">
        <f t="shared" si="2"/>
        <v>1</v>
      </c>
      <c r="O193" s="7"/>
    </row>
    <row r="194">
      <c r="A194" s="26" t="s">
        <v>868</v>
      </c>
      <c r="B194" s="26" t="s">
        <v>869</v>
      </c>
      <c r="C194" s="26" t="s">
        <v>589</v>
      </c>
      <c r="D194" s="27"/>
      <c r="E194" s="28" t="s">
        <v>870</v>
      </c>
      <c r="F194" s="29"/>
      <c r="G194" s="13"/>
      <c r="H194" s="10"/>
      <c r="I194" s="29"/>
      <c r="J194" s="7"/>
      <c r="K194" s="7"/>
      <c r="L194" s="7"/>
      <c r="M194" s="7"/>
      <c r="N194" s="7">
        <f t="shared" si="2"/>
        <v>0</v>
      </c>
      <c r="O194" s="7"/>
    </row>
    <row r="195">
      <c r="A195" s="26" t="s">
        <v>871</v>
      </c>
      <c r="B195" s="26" t="s">
        <v>872</v>
      </c>
      <c r="C195" s="26" t="s">
        <v>589</v>
      </c>
      <c r="D195" s="27"/>
      <c r="E195" s="28" t="s">
        <v>874</v>
      </c>
      <c r="F195" s="30" t="s">
        <v>875</v>
      </c>
      <c r="G195" s="13"/>
      <c r="H195" s="10"/>
      <c r="I195" s="29"/>
      <c r="J195" s="7"/>
      <c r="K195" s="7"/>
      <c r="L195" s="7"/>
      <c r="M195" s="7"/>
      <c r="N195" s="7">
        <f t="shared" si="2"/>
        <v>1</v>
      </c>
      <c r="O195" s="7"/>
    </row>
    <row r="196">
      <c r="A196" s="26" t="s">
        <v>876</v>
      </c>
      <c r="B196" s="26" t="s">
        <v>877</v>
      </c>
      <c r="C196" s="26" t="s">
        <v>589</v>
      </c>
      <c r="D196" s="27"/>
      <c r="E196" s="28" t="s">
        <v>878</v>
      </c>
      <c r="F196" s="29"/>
      <c r="G196" s="13"/>
      <c r="H196" s="10"/>
      <c r="I196" s="29"/>
      <c r="J196" s="7"/>
      <c r="K196" s="7"/>
      <c r="L196" s="7"/>
      <c r="M196" s="7"/>
      <c r="N196" s="7">
        <f t="shared" si="2"/>
        <v>0</v>
      </c>
      <c r="O196" s="7"/>
    </row>
    <row r="197">
      <c r="A197" s="26" t="s">
        <v>880</v>
      </c>
      <c r="B197" s="26" t="s">
        <v>881</v>
      </c>
      <c r="C197" s="26" t="s">
        <v>589</v>
      </c>
      <c r="D197" s="26" t="s">
        <v>598</v>
      </c>
      <c r="E197" s="28" t="s">
        <v>882</v>
      </c>
      <c r="F197" s="30" t="s">
        <v>884</v>
      </c>
      <c r="G197" s="13"/>
      <c r="H197" s="10"/>
      <c r="I197" s="30"/>
      <c r="J197" s="7"/>
      <c r="K197" s="7"/>
      <c r="L197" s="7"/>
      <c r="M197" s="7"/>
      <c r="N197" s="7">
        <f t="shared" si="2"/>
        <v>1</v>
      </c>
      <c r="O197" s="7"/>
    </row>
    <row r="198">
      <c r="A198" s="26" t="s">
        <v>880</v>
      </c>
      <c r="B198" s="26" t="s">
        <v>885</v>
      </c>
      <c r="C198" s="26" t="s">
        <v>589</v>
      </c>
      <c r="D198" s="27"/>
      <c r="E198" s="28" t="s">
        <v>886</v>
      </c>
      <c r="F198" s="29"/>
      <c r="G198" s="13"/>
      <c r="H198" s="10"/>
      <c r="I198" s="30" t="s">
        <v>254</v>
      </c>
      <c r="J198" s="7"/>
      <c r="K198" s="7"/>
      <c r="L198" s="7"/>
      <c r="M198" s="7"/>
      <c r="N198" s="7">
        <f t="shared" si="2"/>
        <v>0</v>
      </c>
      <c r="O198" s="7"/>
    </row>
    <row r="199">
      <c r="A199" s="26" t="s">
        <v>887</v>
      </c>
      <c r="B199" s="26" t="s">
        <v>888</v>
      </c>
      <c r="C199" s="26" t="s">
        <v>648</v>
      </c>
      <c r="D199" s="27"/>
      <c r="E199" s="28" t="s">
        <v>889</v>
      </c>
      <c r="F199" s="29"/>
      <c r="G199" s="13"/>
      <c r="H199" s="10"/>
      <c r="I199" s="29"/>
      <c r="J199" s="7"/>
      <c r="K199" s="7"/>
      <c r="L199" s="7"/>
      <c r="M199" s="7"/>
      <c r="N199" s="7">
        <f t="shared" si="2"/>
        <v>0</v>
      </c>
      <c r="O199" s="7"/>
    </row>
    <row r="200">
      <c r="A200" s="26" t="s">
        <v>891</v>
      </c>
      <c r="B200" s="26" t="s">
        <v>892</v>
      </c>
      <c r="C200" s="26" t="s">
        <v>589</v>
      </c>
      <c r="D200" s="27"/>
      <c r="E200" s="28" t="s">
        <v>893</v>
      </c>
      <c r="F200" s="30"/>
      <c r="G200" s="13"/>
      <c r="H200" s="10"/>
      <c r="I200" s="29"/>
      <c r="J200" s="7"/>
      <c r="K200" s="7"/>
      <c r="L200" s="7"/>
      <c r="M200" s="7"/>
      <c r="N200" s="7">
        <f t="shared" si="2"/>
        <v>0</v>
      </c>
      <c r="O200" s="7"/>
    </row>
    <row r="201">
      <c r="A201" s="31" t="s">
        <v>894</v>
      </c>
      <c r="B201" s="31" t="s">
        <v>895</v>
      </c>
      <c r="C201" s="26" t="s">
        <v>835</v>
      </c>
      <c r="D201" s="27"/>
      <c r="E201" s="32" t="s">
        <v>896</v>
      </c>
      <c r="F201" s="30" t="s">
        <v>897</v>
      </c>
      <c r="G201" s="13"/>
      <c r="H201" s="10"/>
      <c r="I201" s="29"/>
      <c r="J201" s="7"/>
      <c r="K201" s="7"/>
      <c r="L201" s="7"/>
      <c r="M201" s="7"/>
      <c r="N201" s="7">
        <f t="shared" si="2"/>
        <v>1</v>
      </c>
      <c r="O201" s="7"/>
    </row>
    <row r="202">
      <c r="A202" s="26" t="s">
        <v>898</v>
      </c>
      <c r="B202" s="26" t="s">
        <v>899</v>
      </c>
      <c r="C202" s="26" t="s">
        <v>589</v>
      </c>
      <c r="D202" s="26" t="s">
        <v>598</v>
      </c>
      <c r="E202" s="28" t="s">
        <v>900</v>
      </c>
      <c r="F202" s="30" t="s">
        <v>154</v>
      </c>
      <c r="G202" s="13"/>
      <c r="H202" s="10"/>
      <c r="I202" s="29"/>
      <c r="J202" s="7"/>
      <c r="K202" s="7"/>
      <c r="L202" s="7"/>
      <c r="M202" s="7"/>
      <c r="N202" s="7">
        <f t="shared" si="2"/>
        <v>1</v>
      </c>
      <c r="O202" s="7"/>
    </row>
    <row r="203">
      <c r="A203" s="26" t="s">
        <v>901</v>
      </c>
      <c r="B203" s="26" t="s">
        <v>902</v>
      </c>
      <c r="C203" s="26" t="s">
        <v>589</v>
      </c>
      <c r="D203" s="27"/>
      <c r="E203" s="28" t="s">
        <v>903</v>
      </c>
      <c r="F203" s="30" t="s">
        <v>904</v>
      </c>
      <c r="G203" s="13"/>
      <c r="H203" s="10"/>
      <c r="I203" s="29"/>
      <c r="J203" s="7"/>
      <c r="K203" s="7"/>
      <c r="L203" s="7"/>
      <c r="M203" s="7"/>
      <c r="N203" s="7">
        <f t="shared" si="2"/>
        <v>1</v>
      </c>
      <c r="O203" s="7"/>
    </row>
    <row r="204">
      <c r="A204" s="26" t="s">
        <v>905</v>
      </c>
      <c r="B204" s="26" t="s">
        <v>906</v>
      </c>
      <c r="C204" s="26" t="s">
        <v>589</v>
      </c>
      <c r="D204" s="26" t="s">
        <v>598</v>
      </c>
      <c r="E204" s="28" t="s">
        <v>907</v>
      </c>
      <c r="F204" s="30" t="s">
        <v>908</v>
      </c>
      <c r="G204" s="13"/>
      <c r="H204" s="10"/>
      <c r="I204" s="30" t="s">
        <v>344</v>
      </c>
      <c r="J204" s="7"/>
      <c r="K204" s="7"/>
      <c r="L204" s="7"/>
      <c r="M204" s="7"/>
      <c r="N204" s="7">
        <f t="shared" si="2"/>
        <v>1</v>
      </c>
      <c r="O204" s="7"/>
    </row>
    <row r="205">
      <c r="A205" s="26" t="s">
        <v>909</v>
      </c>
      <c r="B205" s="26" t="s">
        <v>910</v>
      </c>
      <c r="C205" s="26" t="s">
        <v>589</v>
      </c>
      <c r="D205" s="26" t="s">
        <v>598</v>
      </c>
      <c r="E205" s="28" t="s">
        <v>911</v>
      </c>
      <c r="F205" s="30" t="s">
        <v>912</v>
      </c>
      <c r="G205" s="13"/>
      <c r="H205" s="10"/>
      <c r="I205" s="29"/>
      <c r="J205" s="7"/>
      <c r="K205" s="7"/>
      <c r="L205" s="7"/>
      <c r="M205" s="7"/>
      <c r="N205" s="7">
        <f t="shared" si="2"/>
        <v>1</v>
      </c>
      <c r="O205" s="7"/>
    </row>
    <row r="206">
      <c r="A206" s="26" t="s">
        <v>913</v>
      </c>
      <c r="B206" s="26" t="s">
        <v>914</v>
      </c>
      <c r="C206" s="26" t="s">
        <v>589</v>
      </c>
      <c r="D206" s="27"/>
      <c r="E206" s="28" t="s">
        <v>915</v>
      </c>
      <c r="F206" s="29"/>
      <c r="G206" s="13"/>
      <c r="H206" s="10"/>
      <c r="I206" s="29"/>
      <c r="J206" s="7"/>
      <c r="K206" s="7"/>
      <c r="L206" s="7"/>
      <c r="M206" s="7"/>
      <c r="N206" s="7">
        <f t="shared" si="2"/>
        <v>0</v>
      </c>
      <c r="O206" s="7"/>
    </row>
    <row r="207" ht="18.0" customHeight="1">
      <c r="A207" s="26" t="s">
        <v>916</v>
      </c>
      <c r="B207" s="26" t="s">
        <v>917</v>
      </c>
      <c r="C207" s="26" t="s">
        <v>589</v>
      </c>
      <c r="D207" s="28" t="s">
        <v>918</v>
      </c>
      <c r="E207" s="27"/>
      <c r="F207" s="29"/>
      <c r="G207" s="13"/>
      <c r="H207" s="10"/>
      <c r="I207" s="29"/>
      <c r="J207" s="7"/>
      <c r="K207" s="7"/>
      <c r="L207" s="7"/>
      <c r="M207" s="7"/>
      <c r="N207" s="7">
        <f t="shared" si="2"/>
        <v>0</v>
      </c>
      <c r="O207" s="7"/>
    </row>
    <row r="208">
      <c r="A208" s="26" t="s">
        <v>916</v>
      </c>
      <c r="B208" s="26" t="s">
        <v>917</v>
      </c>
      <c r="C208" s="26" t="s">
        <v>919</v>
      </c>
      <c r="D208" s="31" t="s">
        <v>920</v>
      </c>
      <c r="E208" s="28" t="s">
        <v>921</v>
      </c>
      <c r="F208" s="30" t="s">
        <v>923</v>
      </c>
      <c r="G208" s="13"/>
      <c r="H208" s="10"/>
      <c r="I208" s="29"/>
      <c r="J208" s="7"/>
      <c r="K208" s="7"/>
      <c r="L208" s="7"/>
      <c r="M208" s="7"/>
      <c r="N208" s="7">
        <f t="shared" si="2"/>
        <v>1</v>
      </c>
      <c r="O208" s="7"/>
    </row>
    <row r="209">
      <c r="A209" s="26" t="s">
        <v>925</v>
      </c>
      <c r="B209" s="26" t="s">
        <v>926</v>
      </c>
      <c r="C209" s="26" t="s">
        <v>589</v>
      </c>
      <c r="D209" s="27"/>
      <c r="E209" s="28" t="s">
        <v>927</v>
      </c>
      <c r="F209" s="30" t="s">
        <v>1915</v>
      </c>
      <c r="G209" s="13"/>
      <c r="H209" s="10"/>
      <c r="I209" s="29"/>
      <c r="J209" s="7"/>
      <c r="K209" s="7"/>
      <c r="L209" s="7"/>
      <c r="M209" s="7"/>
      <c r="N209" s="7">
        <f t="shared" si="2"/>
        <v>1</v>
      </c>
      <c r="O209" s="7"/>
    </row>
    <row r="210">
      <c r="A210" s="26" t="s">
        <v>929</v>
      </c>
      <c r="B210" s="26" t="s">
        <v>930</v>
      </c>
      <c r="C210" s="26" t="s">
        <v>931</v>
      </c>
      <c r="D210" s="27"/>
      <c r="E210" s="28" t="s">
        <v>932</v>
      </c>
      <c r="F210" s="29"/>
      <c r="G210" s="13"/>
      <c r="H210" s="10"/>
      <c r="I210" s="29"/>
      <c r="J210" s="7"/>
      <c r="K210" s="7"/>
      <c r="L210" s="7"/>
      <c r="M210" s="7"/>
      <c r="N210" s="7">
        <f t="shared" si="2"/>
        <v>0</v>
      </c>
      <c r="O210" s="7"/>
    </row>
    <row r="211">
      <c r="A211" s="26" t="s">
        <v>929</v>
      </c>
      <c r="B211" s="26" t="s">
        <v>934</v>
      </c>
      <c r="C211" s="26" t="s">
        <v>935</v>
      </c>
      <c r="D211" s="27"/>
      <c r="E211" s="28" t="s">
        <v>936</v>
      </c>
      <c r="F211" s="29"/>
      <c r="G211" s="13"/>
      <c r="H211" s="10"/>
      <c r="I211" s="29"/>
      <c r="J211" s="7"/>
      <c r="K211" s="7"/>
      <c r="L211" s="7"/>
      <c r="M211" s="7"/>
      <c r="N211" s="7">
        <f t="shared" si="2"/>
        <v>0</v>
      </c>
      <c r="O211" s="7"/>
    </row>
    <row r="212">
      <c r="A212" s="26" t="s">
        <v>937</v>
      </c>
      <c r="B212" s="31" t="s">
        <v>938</v>
      </c>
      <c r="C212" s="26" t="s">
        <v>589</v>
      </c>
      <c r="D212" s="27"/>
      <c r="E212" s="28" t="s">
        <v>939</v>
      </c>
      <c r="F212" s="30" t="s">
        <v>940</v>
      </c>
      <c r="G212" s="13"/>
      <c r="H212" s="10"/>
      <c r="I212" s="30" t="s">
        <v>127</v>
      </c>
      <c r="J212" s="7"/>
      <c r="K212" s="7"/>
      <c r="L212" s="7"/>
      <c r="M212" s="7"/>
      <c r="N212" s="7">
        <f t="shared" si="2"/>
        <v>1</v>
      </c>
      <c r="O212" s="7"/>
    </row>
    <row r="213">
      <c r="A213" s="26" t="s">
        <v>941</v>
      </c>
      <c r="B213" s="26" t="s">
        <v>942</v>
      </c>
      <c r="C213" s="26" t="s">
        <v>589</v>
      </c>
      <c r="D213" s="27"/>
      <c r="E213" s="28" t="s">
        <v>943</v>
      </c>
      <c r="F213" s="29"/>
      <c r="G213" s="13"/>
      <c r="H213" s="10"/>
      <c r="I213" s="29"/>
      <c r="J213" s="7"/>
      <c r="K213" s="7"/>
      <c r="L213" s="7"/>
      <c r="M213" s="7"/>
      <c r="N213" s="7">
        <f t="shared" si="2"/>
        <v>0</v>
      </c>
      <c r="O213" s="7"/>
    </row>
    <row r="214">
      <c r="A214" s="26" t="s">
        <v>945</v>
      </c>
      <c r="B214" s="26" t="s">
        <v>946</v>
      </c>
      <c r="C214" s="26" t="s">
        <v>589</v>
      </c>
      <c r="D214" s="27"/>
      <c r="E214" s="28" t="s">
        <v>947</v>
      </c>
      <c r="F214" s="30" t="s">
        <v>948</v>
      </c>
      <c r="G214" s="13"/>
      <c r="H214" s="10"/>
      <c r="I214" s="30" t="s">
        <v>290</v>
      </c>
      <c r="J214" s="7"/>
      <c r="K214" s="7"/>
      <c r="L214" s="7"/>
      <c r="M214" s="7"/>
      <c r="N214" s="7">
        <f t="shared" si="2"/>
        <v>1</v>
      </c>
      <c r="O214" s="7"/>
    </row>
    <row r="215">
      <c r="A215" s="26" t="s">
        <v>949</v>
      </c>
      <c r="B215" s="26" t="s">
        <v>950</v>
      </c>
      <c r="C215" s="26" t="s">
        <v>589</v>
      </c>
      <c r="D215" s="27"/>
      <c r="E215" s="28" t="s">
        <v>951</v>
      </c>
      <c r="F215" s="30" t="s">
        <v>1917</v>
      </c>
      <c r="G215" s="13"/>
      <c r="H215" s="10"/>
      <c r="I215" s="29"/>
      <c r="J215" s="7"/>
      <c r="K215" s="7"/>
      <c r="L215" s="7"/>
      <c r="M215" s="7"/>
      <c r="N215" s="7">
        <f t="shared" si="2"/>
        <v>1</v>
      </c>
      <c r="O215" s="7"/>
    </row>
    <row r="216">
      <c r="A216" s="26" t="s">
        <v>953</v>
      </c>
      <c r="B216" s="26" t="s">
        <v>954</v>
      </c>
      <c r="C216" s="26" t="s">
        <v>584</v>
      </c>
      <c r="D216" s="26" t="s">
        <v>955</v>
      </c>
      <c r="E216" s="34" t="s">
        <v>956</v>
      </c>
      <c r="F216" s="30" t="s">
        <v>957</v>
      </c>
      <c r="G216" s="13"/>
      <c r="H216" s="10"/>
      <c r="I216" s="29"/>
      <c r="J216" s="7"/>
      <c r="K216" s="7"/>
      <c r="L216" s="7"/>
      <c r="M216" s="7"/>
      <c r="N216" s="7">
        <f t="shared" si="2"/>
        <v>1</v>
      </c>
      <c r="O216" s="7"/>
    </row>
    <row r="217">
      <c r="A217" s="26" t="s">
        <v>958</v>
      </c>
      <c r="B217" s="26" t="s">
        <v>277</v>
      </c>
      <c r="C217" s="26" t="s">
        <v>589</v>
      </c>
      <c r="D217" s="27"/>
      <c r="E217" s="28" t="s">
        <v>959</v>
      </c>
      <c r="F217" s="30" t="s">
        <v>188</v>
      </c>
      <c r="G217" s="13"/>
      <c r="H217" s="10"/>
      <c r="I217" s="30" t="s">
        <v>280</v>
      </c>
      <c r="J217" s="7"/>
      <c r="K217" s="7"/>
      <c r="L217" s="7"/>
      <c r="M217" s="7"/>
      <c r="N217" s="7">
        <f t="shared" si="2"/>
        <v>1</v>
      </c>
      <c r="O217" s="7"/>
    </row>
    <row r="218">
      <c r="A218" s="26" t="s">
        <v>960</v>
      </c>
      <c r="B218" s="26" t="s">
        <v>961</v>
      </c>
      <c r="C218" s="26" t="s">
        <v>589</v>
      </c>
      <c r="D218" s="27"/>
      <c r="E218" s="28" t="s">
        <v>962</v>
      </c>
      <c r="F218" s="30" t="s">
        <v>963</v>
      </c>
      <c r="G218" s="13"/>
      <c r="H218" s="10"/>
      <c r="I218" s="30" t="s">
        <v>20</v>
      </c>
      <c r="J218" s="7"/>
      <c r="K218" s="7"/>
      <c r="L218" s="7"/>
      <c r="M218" s="7"/>
      <c r="N218" s="7">
        <f t="shared" si="2"/>
        <v>1</v>
      </c>
      <c r="O218" s="7"/>
    </row>
    <row r="219">
      <c r="A219" s="26" t="s">
        <v>964</v>
      </c>
      <c r="B219" s="26" t="s">
        <v>965</v>
      </c>
      <c r="C219" s="26" t="s">
        <v>589</v>
      </c>
      <c r="D219" s="26" t="s">
        <v>635</v>
      </c>
      <c r="E219" s="28" t="s">
        <v>966</v>
      </c>
      <c r="F219" s="30" t="s">
        <v>1919</v>
      </c>
      <c r="G219" s="13"/>
      <c r="H219" s="10"/>
      <c r="I219" s="29"/>
      <c r="J219" s="7"/>
      <c r="K219" s="7"/>
      <c r="L219" s="7"/>
      <c r="M219" s="7"/>
      <c r="N219" s="7">
        <f t="shared" si="2"/>
        <v>1</v>
      </c>
      <c r="O219" s="7"/>
    </row>
    <row r="220">
      <c r="A220" s="26" t="s">
        <v>968</v>
      </c>
      <c r="B220" s="31" t="s">
        <v>969</v>
      </c>
      <c r="C220" s="26" t="s">
        <v>589</v>
      </c>
      <c r="D220" s="27"/>
      <c r="E220" s="34" t="s">
        <v>970</v>
      </c>
      <c r="F220" s="30" t="s">
        <v>971</v>
      </c>
      <c r="G220" s="13"/>
      <c r="H220" s="10"/>
      <c r="I220" s="30" t="s">
        <v>247</v>
      </c>
      <c r="J220" s="7"/>
      <c r="K220" s="7"/>
      <c r="L220" s="7"/>
      <c r="M220" s="7"/>
      <c r="N220" s="7">
        <f t="shared" si="2"/>
        <v>1</v>
      </c>
      <c r="O220" s="7"/>
    </row>
    <row r="221">
      <c r="A221" s="26" t="s">
        <v>972</v>
      </c>
      <c r="B221" s="26" t="s">
        <v>973</v>
      </c>
      <c r="C221" s="26" t="s">
        <v>974</v>
      </c>
      <c r="D221" s="27"/>
      <c r="E221" s="28" t="s">
        <v>976</v>
      </c>
      <c r="F221" s="30" t="s">
        <v>977</v>
      </c>
      <c r="G221" s="13"/>
      <c r="H221" s="10"/>
      <c r="I221" s="29"/>
      <c r="J221" s="7"/>
      <c r="K221" s="7"/>
      <c r="L221" s="7"/>
      <c r="M221" s="7"/>
      <c r="N221" s="7">
        <f t="shared" si="2"/>
        <v>1</v>
      </c>
      <c r="O221" s="7"/>
    </row>
    <row r="222">
      <c r="A222" s="26" t="s">
        <v>978</v>
      </c>
      <c r="B222" s="26" t="s">
        <v>979</v>
      </c>
      <c r="C222" s="26" t="s">
        <v>589</v>
      </c>
      <c r="D222" s="26" t="s">
        <v>598</v>
      </c>
      <c r="E222" s="28" t="s">
        <v>980</v>
      </c>
      <c r="F222" s="29"/>
      <c r="G222" s="13"/>
      <c r="H222" s="10"/>
      <c r="I222" s="29"/>
      <c r="J222" s="7"/>
      <c r="K222" s="7"/>
      <c r="L222" s="7"/>
      <c r="M222" s="7"/>
      <c r="N222" s="7">
        <f t="shared" si="2"/>
        <v>0</v>
      </c>
      <c r="O222" s="7"/>
    </row>
    <row r="223">
      <c r="A223" s="26" t="s">
        <v>981</v>
      </c>
      <c r="B223" s="26" t="s">
        <v>982</v>
      </c>
      <c r="C223" s="26" t="s">
        <v>589</v>
      </c>
      <c r="D223" s="26" t="s">
        <v>598</v>
      </c>
      <c r="E223" s="28" t="s">
        <v>983</v>
      </c>
      <c r="F223" s="30" t="s">
        <v>984</v>
      </c>
      <c r="G223" s="13"/>
      <c r="H223" s="10"/>
      <c r="I223" s="29"/>
      <c r="J223" s="7"/>
      <c r="K223" s="7"/>
      <c r="L223" s="7"/>
      <c r="M223" s="7"/>
      <c r="N223" s="7">
        <f t="shared" si="2"/>
        <v>1</v>
      </c>
      <c r="O223" s="7"/>
    </row>
    <row r="224">
      <c r="A224" s="26" t="s">
        <v>985</v>
      </c>
      <c r="B224" s="26" t="s">
        <v>986</v>
      </c>
      <c r="C224" s="26" t="s">
        <v>589</v>
      </c>
      <c r="D224" s="26" t="s">
        <v>598</v>
      </c>
      <c r="E224" s="28" t="s">
        <v>987</v>
      </c>
      <c r="F224" s="29"/>
      <c r="G224" s="13"/>
      <c r="H224" s="10"/>
      <c r="I224" s="29"/>
      <c r="J224" s="7"/>
      <c r="K224" s="7"/>
      <c r="L224" s="7"/>
      <c r="M224" s="7"/>
      <c r="N224" s="7">
        <f t="shared" si="2"/>
        <v>0</v>
      </c>
      <c r="O224" s="7"/>
    </row>
    <row r="225">
      <c r="A225" s="26" t="s">
        <v>988</v>
      </c>
      <c r="B225" s="26" t="s">
        <v>989</v>
      </c>
      <c r="C225" s="26" t="s">
        <v>589</v>
      </c>
      <c r="D225" s="26" t="s">
        <v>598</v>
      </c>
      <c r="E225" s="28" t="s">
        <v>990</v>
      </c>
      <c r="F225" s="30" t="s">
        <v>1921</v>
      </c>
      <c r="G225" s="13"/>
      <c r="H225" s="10"/>
      <c r="I225" s="30" t="s">
        <v>344</v>
      </c>
      <c r="J225" s="7"/>
      <c r="K225" s="7"/>
      <c r="L225" s="7"/>
      <c r="M225" s="7"/>
      <c r="N225" s="7">
        <f t="shared" si="2"/>
        <v>1</v>
      </c>
      <c r="O225" s="7"/>
    </row>
    <row r="226">
      <c r="A226" s="26" t="s">
        <v>992</v>
      </c>
      <c r="B226" s="26" t="s">
        <v>993</v>
      </c>
      <c r="C226" s="26" t="s">
        <v>589</v>
      </c>
      <c r="D226" s="27"/>
      <c r="E226" s="28" t="s">
        <v>994</v>
      </c>
      <c r="F226" s="29"/>
      <c r="G226" s="13"/>
      <c r="H226" s="10"/>
      <c r="I226" s="29"/>
      <c r="J226" s="7"/>
      <c r="K226" s="7"/>
      <c r="L226" s="7"/>
      <c r="M226" s="7"/>
      <c r="N226" s="7">
        <f t="shared" si="2"/>
        <v>0</v>
      </c>
      <c r="O226" s="7"/>
    </row>
    <row r="227">
      <c r="A227" s="26" t="s">
        <v>995</v>
      </c>
      <c r="B227" s="26" t="s">
        <v>996</v>
      </c>
      <c r="C227" s="26" t="s">
        <v>589</v>
      </c>
      <c r="D227" s="26" t="s">
        <v>997</v>
      </c>
      <c r="E227" s="28" t="s">
        <v>998</v>
      </c>
      <c r="F227" s="30" t="s">
        <v>1922</v>
      </c>
      <c r="G227" s="13"/>
      <c r="H227" s="10"/>
      <c r="I227" s="30"/>
      <c r="J227" s="7"/>
      <c r="K227" s="7"/>
      <c r="L227" s="7"/>
      <c r="M227" s="7"/>
      <c r="N227" s="7">
        <f t="shared" si="2"/>
        <v>1</v>
      </c>
      <c r="O227" s="7"/>
    </row>
    <row r="228">
      <c r="A228" s="26" t="s">
        <v>999</v>
      </c>
      <c r="B228" s="26" t="s">
        <v>1000</v>
      </c>
      <c r="C228" s="26" t="s">
        <v>589</v>
      </c>
      <c r="D228" s="26" t="s">
        <v>598</v>
      </c>
      <c r="E228" s="28" t="s">
        <v>1001</v>
      </c>
      <c r="F228" s="30" t="s">
        <v>1002</v>
      </c>
      <c r="G228" s="13"/>
      <c r="H228" s="10"/>
      <c r="I228" s="29"/>
      <c r="J228" s="7"/>
      <c r="K228" s="7"/>
      <c r="L228" s="7"/>
      <c r="M228" s="7"/>
      <c r="N228" s="7">
        <f t="shared" si="2"/>
        <v>1</v>
      </c>
      <c r="O228" s="7"/>
    </row>
    <row r="229">
      <c r="A229" s="26" t="s">
        <v>1003</v>
      </c>
      <c r="B229" s="31" t="s">
        <v>1004</v>
      </c>
      <c r="C229" s="26" t="s">
        <v>589</v>
      </c>
      <c r="D229" s="27"/>
      <c r="E229" s="28" t="s">
        <v>1005</v>
      </c>
      <c r="F229" s="29"/>
      <c r="G229" s="13"/>
      <c r="H229" s="10"/>
      <c r="I229" s="29"/>
      <c r="J229" s="7"/>
      <c r="K229" s="7"/>
      <c r="L229" s="7"/>
      <c r="M229" s="7"/>
      <c r="N229" s="7">
        <f t="shared" si="2"/>
        <v>0</v>
      </c>
      <c r="O229" s="7"/>
    </row>
    <row r="230">
      <c r="A230" s="26" t="s">
        <v>1008</v>
      </c>
      <c r="B230" s="31" t="s">
        <v>1009</v>
      </c>
      <c r="C230" s="26" t="s">
        <v>589</v>
      </c>
      <c r="D230" s="27"/>
      <c r="E230" s="28" t="s">
        <v>1010</v>
      </c>
      <c r="F230" s="29"/>
      <c r="G230" s="13"/>
      <c r="H230" s="10"/>
      <c r="I230" s="29"/>
      <c r="J230" s="7"/>
      <c r="K230" s="7"/>
      <c r="L230" s="7"/>
      <c r="M230" s="7"/>
      <c r="N230" s="7">
        <f t="shared" si="2"/>
        <v>0</v>
      </c>
      <c r="O230" s="7"/>
    </row>
    <row r="231">
      <c r="A231" s="26" t="s">
        <v>1013</v>
      </c>
      <c r="B231" s="26" t="s">
        <v>1014</v>
      </c>
      <c r="C231" s="26" t="s">
        <v>589</v>
      </c>
      <c r="D231" s="26" t="s">
        <v>598</v>
      </c>
      <c r="E231" s="28" t="s">
        <v>1015</v>
      </c>
      <c r="F231" s="29"/>
      <c r="G231" s="13"/>
      <c r="H231" s="10"/>
      <c r="I231" s="29"/>
      <c r="J231" s="7"/>
      <c r="K231" s="7"/>
      <c r="L231" s="7"/>
      <c r="M231" s="7"/>
      <c r="N231" s="7">
        <f t="shared" si="2"/>
        <v>0</v>
      </c>
      <c r="O231" s="7"/>
    </row>
    <row r="232">
      <c r="A232" s="26" t="s">
        <v>1016</v>
      </c>
      <c r="B232" s="26" t="s">
        <v>1017</v>
      </c>
      <c r="C232" s="26" t="s">
        <v>589</v>
      </c>
      <c r="D232" s="27"/>
      <c r="E232" s="28" t="s">
        <v>1018</v>
      </c>
      <c r="F232" s="30" t="s">
        <v>154</v>
      </c>
      <c r="G232" s="13"/>
      <c r="H232" s="10"/>
      <c r="I232" s="29"/>
      <c r="J232" s="7"/>
      <c r="K232" s="7"/>
      <c r="L232" s="7"/>
      <c r="M232" s="7"/>
      <c r="N232" s="7">
        <f t="shared" si="2"/>
        <v>1</v>
      </c>
      <c r="O232" s="7"/>
    </row>
    <row r="233">
      <c r="A233" s="26" t="s">
        <v>1019</v>
      </c>
      <c r="B233" s="31" t="s">
        <v>1020</v>
      </c>
      <c r="C233" s="26" t="s">
        <v>589</v>
      </c>
      <c r="D233" s="27"/>
      <c r="E233" s="32" t="s">
        <v>1021</v>
      </c>
      <c r="F233" s="30" t="s">
        <v>1022</v>
      </c>
      <c r="G233" s="13"/>
      <c r="H233" s="10"/>
      <c r="I233" s="30" t="s">
        <v>427</v>
      </c>
      <c r="J233" s="7"/>
      <c r="K233" s="7"/>
      <c r="L233" s="7"/>
      <c r="M233" s="7"/>
      <c r="N233" s="7">
        <f t="shared" si="2"/>
        <v>1</v>
      </c>
      <c r="O233" s="7"/>
    </row>
    <row r="234">
      <c r="A234" s="31" t="s">
        <v>1023</v>
      </c>
      <c r="B234" s="26" t="s">
        <v>1024</v>
      </c>
      <c r="C234" s="26" t="s">
        <v>589</v>
      </c>
      <c r="D234" s="26" t="s">
        <v>598</v>
      </c>
      <c r="E234" s="27"/>
      <c r="F234" s="29"/>
      <c r="G234" s="13"/>
      <c r="H234" s="10"/>
      <c r="I234" s="29"/>
      <c r="J234" s="7"/>
      <c r="K234" s="7"/>
      <c r="L234" s="7"/>
      <c r="M234" s="7"/>
      <c r="N234" s="7">
        <f t="shared" si="2"/>
        <v>0</v>
      </c>
      <c r="O234" s="7"/>
    </row>
    <row r="235">
      <c r="A235" s="31" t="s">
        <v>1023</v>
      </c>
      <c r="B235" s="26" t="s">
        <v>1024</v>
      </c>
      <c r="C235" s="26" t="s">
        <v>1025</v>
      </c>
      <c r="D235" s="26" t="s">
        <v>1026</v>
      </c>
      <c r="E235" s="27"/>
      <c r="F235" s="30" t="s">
        <v>1027</v>
      </c>
      <c r="G235" s="13"/>
      <c r="H235" s="10"/>
      <c r="I235" s="29"/>
      <c r="J235" s="7"/>
      <c r="K235" s="7"/>
      <c r="L235" s="7"/>
      <c r="M235" s="7"/>
      <c r="N235" s="7">
        <f t="shared" si="2"/>
        <v>1</v>
      </c>
      <c r="O235" s="7"/>
    </row>
    <row r="236">
      <c r="A236" s="26" t="s">
        <v>1028</v>
      </c>
      <c r="B236" s="26" t="s">
        <v>1029</v>
      </c>
      <c r="C236" s="26" t="s">
        <v>584</v>
      </c>
      <c r="D236" s="27"/>
      <c r="E236" s="32" t="s">
        <v>1030</v>
      </c>
      <c r="F236" s="29"/>
      <c r="G236" s="13"/>
      <c r="H236" s="10"/>
      <c r="I236" s="29"/>
      <c r="J236" s="7"/>
      <c r="K236" s="7"/>
      <c r="L236" s="7"/>
      <c r="M236" s="7"/>
      <c r="N236" s="7">
        <f t="shared" si="2"/>
        <v>0</v>
      </c>
      <c r="O236" s="7"/>
    </row>
    <row r="237">
      <c r="A237" s="26" t="s">
        <v>1031</v>
      </c>
      <c r="B237" s="26" t="s">
        <v>1032</v>
      </c>
      <c r="C237" s="26" t="s">
        <v>589</v>
      </c>
      <c r="D237" s="26" t="s">
        <v>598</v>
      </c>
      <c r="E237" s="28" t="s">
        <v>1033</v>
      </c>
      <c r="F237" s="29"/>
      <c r="G237" s="13"/>
      <c r="H237" s="10"/>
      <c r="I237" s="29"/>
      <c r="J237" s="7"/>
      <c r="K237" s="7"/>
      <c r="L237" s="7"/>
      <c r="M237" s="7"/>
      <c r="N237" s="7">
        <f t="shared" si="2"/>
        <v>0</v>
      </c>
      <c r="O237" s="7"/>
    </row>
    <row r="238">
      <c r="A238" s="26" t="s">
        <v>1035</v>
      </c>
      <c r="B238" s="26" t="s">
        <v>1036</v>
      </c>
      <c r="C238" s="26" t="s">
        <v>589</v>
      </c>
      <c r="D238" s="26" t="s">
        <v>635</v>
      </c>
      <c r="E238" s="28" t="s">
        <v>1037</v>
      </c>
      <c r="F238" s="30" t="s">
        <v>1923</v>
      </c>
      <c r="G238" s="13"/>
      <c r="H238" s="10"/>
      <c r="I238" s="29"/>
      <c r="J238" s="7"/>
      <c r="K238" s="7"/>
      <c r="L238" s="7"/>
      <c r="M238" s="7"/>
      <c r="N238" s="7">
        <f t="shared" si="2"/>
        <v>1</v>
      </c>
      <c r="O238" s="7"/>
    </row>
    <row r="239">
      <c r="A239" s="26" t="s">
        <v>1039</v>
      </c>
      <c r="B239" s="26" t="s">
        <v>1040</v>
      </c>
      <c r="C239" s="26" t="s">
        <v>589</v>
      </c>
      <c r="D239" s="27"/>
      <c r="E239" s="28" t="s">
        <v>1041</v>
      </c>
      <c r="F239" s="29"/>
      <c r="G239" s="13"/>
      <c r="H239" s="10"/>
      <c r="I239" s="29"/>
      <c r="J239" s="7"/>
      <c r="K239" s="7"/>
      <c r="L239" s="7"/>
      <c r="M239" s="7"/>
      <c r="N239" s="7">
        <f t="shared" si="2"/>
        <v>0</v>
      </c>
      <c r="O239" s="7"/>
    </row>
    <row r="240">
      <c r="A240" s="26" t="s">
        <v>1043</v>
      </c>
      <c r="B240" s="26" t="s">
        <v>1044</v>
      </c>
      <c r="C240" s="26" t="s">
        <v>589</v>
      </c>
      <c r="D240" s="27"/>
      <c r="E240" s="28" t="s">
        <v>1045</v>
      </c>
      <c r="F240" s="29"/>
      <c r="G240" s="13"/>
      <c r="H240" s="10"/>
      <c r="I240" s="29"/>
      <c r="J240" s="7"/>
      <c r="K240" s="7"/>
      <c r="L240" s="7"/>
      <c r="M240" s="7"/>
      <c r="N240" s="7">
        <f t="shared" si="2"/>
        <v>0</v>
      </c>
      <c r="O240" s="7"/>
    </row>
    <row r="241">
      <c r="A241" s="26" t="s">
        <v>1047</v>
      </c>
      <c r="B241" s="26" t="s">
        <v>1048</v>
      </c>
      <c r="C241" s="26" t="s">
        <v>589</v>
      </c>
      <c r="D241" s="26" t="s">
        <v>635</v>
      </c>
      <c r="E241" s="28" t="s">
        <v>1049</v>
      </c>
      <c r="F241" s="29"/>
      <c r="G241" s="13"/>
      <c r="H241" s="10"/>
      <c r="I241" s="29"/>
      <c r="J241" s="7"/>
      <c r="K241" s="7"/>
      <c r="L241" s="7"/>
      <c r="M241" s="7"/>
      <c r="N241" s="7">
        <f t="shared" si="2"/>
        <v>0</v>
      </c>
      <c r="O241" s="7"/>
    </row>
    <row r="242">
      <c r="A242" s="26" t="s">
        <v>1050</v>
      </c>
      <c r="B242" s="26" t="s">
        <v>1051</v>
      </c>
      <c r="C242" s="26" t="s">
        <v>589</v>
      </c>
      <c r="D242" s="27"/>
      <c r="E242" s="28" t="s">
        <v>1052</v>
      </c>
      <c r="F242" s="30" t="s">
        <v>1053</v>
      </c>
      <c r="G242" s="13"/>
      <c r="H242" s="10"/>
      <c r="I242" s="29"/>
      <c r="J242" s="7"/>
      <c r="K242" s="7"/>
      <c r="L242" s="7"/>
      <c r="M242" s="7"/>
      <c r="N242" s="7">
        <f t="shared" si="2"/>
        <v>1</v>
      </c>
      <c r="O242" s="7"/>
    </row>
    <row r="243">
      <c r="A243" s="26" t="s">
        <v>1054</v>
      </c>
      <c r="B243" s="26" t="s">
        <v>1055</v>
      </c>
      <c r="C243" s="26" t="s">
        <v>589</v>
      </c>
      <c r="D243" s="27"/>
      <c r="E243" s="28" t="s">
        <v>1056</v>
      </c>
      <c r="F243" s="29"/>
      <c r="G243" s="13"/>
      <c r="H243" s="10"/>
      <c r="I243" s="29"/>
      <c r="J243" s="7"/>
      <c r="K243" s="7"/>
      <c r="L243" s="7"/>
      <c r="M243" s="7"/>
      <c r="N243" s="7">
        <f t="shared" si="2"/>
        <v>0</v>
      </c>
      <c r="O243" s="7"/>
    </row>
    <row r="244">
      <c r="A244" s="26" t="s">
        <v>1057</v>
      </c>
      <c r="B244" s="26" t="s">
        <v>1058</v>
      </c>
      <c r="C244" s="26" t="s">
        <v>1059</v>
      </c>
      <c r="D244" s="26" t="s">
        <v>635</v>
      </c>
      <c r="E244" s="28" t="s">
        <v>1060</v>
      </c>
      <c r="F244" s="30" t="s">
        <v>1926</v>
      </c>
      <c r="G244" s="13"/>
      <c r="H244" s="10"/>
      <c r="I244" s="29"/>
      <c r="J244" s="7"/>
      <c r="K244" s="7"/>
      <c r="L244" s="7"/>
      <c r="M244" s="7"/>
      <c r="N244" s="7">
        <f t="shared" si="2"/>
        <v>1</v>
      </c>
      <c r="O244" s="7"/>
    </row>
    <row r="245">
      <c r="A245" s="26" t="s">
        <v>1062</v>
      </c>
      <c r="B245" s="26" t="s">
        <v>1063</v>
      </c>
      <c r="C245" s="26" t="s">
        <v>589</v>
      </c>
      <c r="D245" s="26" t="s">
        <v>598</v>
      </c>
      <c r="E245" s="28" t="s">
        <v>1064</v>
      </c>
      <c r="F245" s="29"/>
      <c r="G245" s="13"/>
      <c r="H245" s="10"/>
      <c r="I245" s="29"/>
      <c r="J245" s="7"/>
      <c r="K245" s="7"/>
      <c r="L245" s="7"/>
      <c r="M245" s="7"/>
      <c r="N245" s="7">
        <f t="shared" si="2"/>
        <v>0</v>
      </c>
      <c r="O245" s="7"/>
    </row>
    <row r="246">
      <c r="A246" s="26" t="s">
        <v>1065</v>
      </c>
      <c r="B246" s="26" t="s">
        <v>1066</v>
      </c>
      <c r="C246" s="26" t="s">
        <v>584</v>
      </c>
      <c r="D246" s="27"/>
      <c r="E246" s="32" t="s">
        <v>1067</v>
      </c>
      <c r="F246" s="30" t="s">
        <v>1068</v>
      </c>
      <c r="G246" s="13"/>
      <c r="H246" s="10"/>
      <c r="I246" s="29"/>
      <c r="J246" s="7"/>
      <c r="K246" s="7"/>
      <c r="L246" s="7"/>
      <c r="M246" s="7"/>
      <c r="N246" s="7">
        <f t="shared" si="2"/>
        <v>1</v>
      </c>
      <c r="O246" s="7"/>
    </row>
    <row r="247">
      <c r="A247" s="26" t="s">
        <v>1070</v>
      </c>
      <c r="B247" s="26" t="s">
        <v>1071</v>
      </c>
      <c r="C247" s="26" t="s">
        <v>589</v>
      </c>
      <c r="D247" s="26" t="s">
        <v>598</v>
      </c>
      <c r="E247" s="28" t="s">
        <v>1072</v>
      </c>
      <c r="F247" s="29"/>
      <c r="G247" s="13"/>
      <c r="H247" s="10"/>
      <c r="I247" s="29"/>
      <c r="J247" s="7"/>
      <c r="K247" s="7"/>
      <c r="L247" s="7"/>
      <c r="M247" s="7"/>
      <c r="N247" s="7">
        <f t="shared" si="2"/>
        <v>0</v>
      </c>
      <c r="O247" s="7"/>
    </row>
    <row r="248">
      <c r="A248" s="26" t="s">
        <v>1073</v>
      </c>
      <c r="B248" s="26" t="s">
        <v>1074</v>
      </c>
      <c r="C248" s="26" t="s">
        <v>835</v>
      </c>
      <c r="D248" s="27"/>
      <c r="E248" s="28" t="s">
        <v>1075</v>
      </c>
      <c r="F248" s="29"/>
      <c r="G248" s="13"/>
      <c r="H248" s="10"/>
      <c r="I248" s="29"/>
      <c r="J248" s="7"/>
      <c r="K248" s="7"/>
      <c r="L248" s="7"/>
      <c r="M248" s="7"/>
      <c r="N248" s="7">
        <f t="shared" si="2"/>
        <v>0</v>
      </c>
      <c r="O248" s="7"/>
    </row>
    <row r="249">
      <c r="A249" s="26" t="s">
        <v>1076</v>
      </c>
      <c r="B249" s="26" t="s">
        <v>1077</v>
      </c>
      <c r="C249" s="26" t="s">
        <v>589</v>
      </c>
      <c r="D249" s="26" t="s">
        <v>598</v>
      </c>
      <c r="E249" s="28" t="s">
        <v>1078</v>
      </c>
      <c r="F249" s="29"/>
      <c r="G249" s="13"/>
      <c r="H249" s="10"/>
      <c r="I249" s="29"/>
      <c r="J249" s="7"/>
      <c r="K249" s="7"/>
      <c r="L249" s="7"/>
      <c r="M249" s="7"/>
      <c r="N249" s="7">
        <f t="shared" si="2"/>
        <v>0</v>
      </c>
      <c r="O249" s="7"/>
    </row>
    <row r="250">
      <c r="A250" s="26" t="s">
        <v>1079</v>
      </c>
      <c r="B250" s="26" t="s">
        <v>1080</v>
      </c>
      <c r="C250" s="26" t="s">
        <v>584</v>
      </c>
      <c r="D250" s="27"/>
      <c r="E250" s="28" t="s">
        <v>1081</v>
      </c>
      <c r="F250" s="29"/>
      <c r="G250" s="13"/>
      <c r="H250" s="10"/>
      <c r="I250" s="29"/>
      <c r="J250" s="7"/>
      <c r="K250" s="7"/>
      <c r="L250" s="7"/>
      <c r="M250" s="7"/>
      <c r="N250" s="7">
        <f t="shared" si="2"/>
        <v>0</v>
      </c>
      <c r="O250" s="7"/>
    </row>
    <row r="251">
      <c r="A251" s="26" t="s">
        <v>1082</v>
      </c>
      <c r="B251" s="26" t="s">
        <v>1083</v>
      </c>
      <c r="C251" s="26" t="s">
        <v>589</v>
      </c>
      <c r="D251" s="27"/>
      <c r="E251" s="28" t="s">
        <v>1084</v>
      </c>
      <c r="F251" s="29"/>
      <c r="G251" s="13"/>
      <c r="H251" s="10"/>
      <c r="I251" s="29"/>
      <c r="J251" s="7"/>
      <c r="K251" s="7"/>
      <c r="L251" s="7"/>
      <c r="M251" s="7"/>
      <c r="N251" s="7">
        <f t="shared" si="2"/>
        <v>0</v>
      </c>
      <c r="O251" s="7"/>
    </row>
    <row r="252">
      <c r="A252" s="26" t="s">
        <v>1085</v>
      </c>
      <c r="B252" s="26" t="s">
        <v>1086</v>
      </c>
      <c r="C252" s="26" t="s">
        <v>589</v>
      </c>
      <c r="D252" s="26" t="s">
        <v>1087</v>
      </c>
      <c r="E252" s="28" t="s">
        <v>1088</v>
      </c>
      <c r="F252" s="30" t="s">
        <v>1089</v>
      </c>
      <c r="G252" s="13"/>
      <c r="H252" s="10"/>
      <c r="I252" s="29"/>
      <c r="J252" s="7"/>
      <c r="K252" s="7"/>
      <c r="L252" s="7"/>
      <c r="M252" s="7"/>
      <c r="N252" s="7">
        <f t="shared" si="2"/>
        <v>1</v>
      </c>
      <c r="O252" s="7"/>
    </row>
    <row r="253">
      <c r="A253" s="26" t="s">
        <v>1090</v>
      </c>
      <c r="B253" s="26" t="s">
        <v>1091</v>
      </c>
      <c r="C253" s="26" t="s">
        <v>589</v>
      </c>
      <c r="D253" s="26" t="s">
        <v>235</v>
      </c>
      <c r="E253" s="28" t="s">
        <v>1088</v>
      </c>
      <c r="F253" s="30" t="s">
        <v>1092</v>
      </c>
      <c r="G253" s="13"/>
      <c r="H253" s="10"/>
      <c r="I253" s="29"/>
      <c r="J253" s="7"/>
      <c r="K253" s="7"/>
      <c r="L253" s="7"/>
      <c r="M253" s="7"/>
      <c r="N253" s="7">
        <f t="shared" si="2"/>
        <v>1</v>
      </c>
      <c r="O253" s="7"/>
    </row>
    <row r="254">
      <c r="A254" s="26" t="s">
        <v>1093</v>
      </c>
      <c r="B254" s="26" t="s">
        <v>1094</v>
      </c>
      <c r="C254" s="26" t="s">
        <v>589</v>
      </c>
      <c r="D254" s="26" t="s">
        <v>235</v>
      </c>
      <c r="E254" s="28" t="s">
        <v>1088</v>
      </c>
      <c r="F254" s="30" t="s">
        <v>1095</v>
      </c>
      <c r="G254" s="13"/>
      <c r="H254" s="10"/>
      <c r="I254" s="29"/>
      <c r="J254" s="7"/>
      <c r="K254" s="7"/>
      <c r="L254" s="7"/>
      <c r="M254" s="7"/>
      <c r="N254" s="7">
        <f t="shared" si="2"/>
        <v>1</v>
      </c>
      <c r="O254" s="7"/>
    </row>
    <row r="255">
      <c r="A255" s="26" t="s">
        <v>1096</v>
      </c>
      <c r="B255" s="26" t="s">
        <v>1097</v>
      </c>
      <c r="C255" s="26" t="s">
        <v>589</v>
      </c>
      <c r="D255" s="27"/>
      <c r="E255" s="32" t="s">
        <v>1098</v>
      </c>
      <c r="F255" s="30" t="s">
        <v>1099</v>
      </c>
      <c r="G255" s="13"/>
      <c r="H255" s="10"/>
      <c r="I255" s="29"/>
      <c r="J255" s="7"/>
      <c r="K255" s="7"/>
      <c r="L255" s="7"/>
      <c r="M255" s="7"/>
      <c r="N255" s="7">
        <f t="shared" si="2"/>
        <v>1</v>
      </c>
      <c r="O255" s="7"/>
    </row>
    <row r="256">
      <c r="A256" s="26" t="s">
        <v>1100</v>
      </c>
      <c r="B256" s="26" t="s">
        <v>1101</v>
      </c>
      <c r="C256" s="26" t="s">
        <v>589</v>
      </c>
      <c r="D256" s="27"/>
      <c r="E256" s="28" t="s">
        <v>1102</v>
      </c>
      <c r="F256" s="30" t="s">
        <v>1103</v>
      </c>
      <c r="G256" s="13"/>
      <c r="H256" s="10"/>
      <c r="I256" s="29"/>
      <c r="J256" s="7"/>
      <c r="K256" s="7"/>
      <c r="L256" s="7"/>
      <c r="M256" s="7"/>
      <c r="N256" s="7">
        <f t="shared" si="2"/>
        <v>1</v>
      </c>
      <c r="O256" s="7"/>
    </row>
    <row r="257">
      <c r="A257" s="26" t="s">
        <v>1104</v>
      </c>
      <c r="B257" s="26" t="s">
        <v>1105</v>
      </c>
      <c r="C257" s="26" t="s">
        <v>589</v>
      </c>
      <c r="D257" s="27"/>
      <c r="E257" s="28" t="s">
        <v>1106</v>
      </c>
      <c r="F257" s="30" t="s">
        <v>1107</v>
      </c>
      <c r="G257" s="13"/>
      <c r="H257" s="10"/>
      <c r="I257" s="29"/>
      <c r="J257" s="7"/>
      <c r="K257" s="7"/>
      <c r="L257" s="7"/>
      <c r="M257" s="7"/>
      <c r="N257" s="7">
        <f t="shared" si="2"/>
        <v>1</v>
      </c>
      <c r="O257" s="7"/>
    </row>
    <row r="258">
      <c r="A258" s="26" t="s">
        <v>1108</v>
      </c>
      <c r="B258" s="26" t="s">
        <v>1109</v>
      </c>
      <c r="C258" s="26" t="s">
        <v>648</v>
      </c>
      <c r="D258" s="26" t="s">
        <v>1026</v>
      </c>
      <c r="E258" s="27"/>
      <c r="F258" s="30" t="s">
        <v>1928</v>
      </c>
      <c r="G258" s="13"/>
      <c r="H258" s="10"/>
      <c r="I258" s="29"/>
      <c r="J258" s="7"/>
      <c r="K258" s="7"/>
      <c r="L258" s="7"/>
      <c r="M258" s="7"/>
      <c r="N258" s="7">
        <f t="shared" si="2"/>
        <v>1</v>
      </c>
      <c r="O258" s="7"/>
    </row>
    <row r="259">
      <c r="A259" s="26" t="s">
        <v>1111</v>
      </c>
      <c r="B259" s="26" t="s">
        <v>1112</v>
      </c>
      <c r="C259" s="26" t="s">
        <v>589</v>
      </c>
      <c r="D259" s="27"/>
      <c r="E259" s="28" t="s">
        <v>1113</v>
      </c>
      <c r="F259" s="29"/>
      <c r="G259" s="13"/>
      <c r="H259" s="10"/>
      <c r="I259" s="29"/>
      <c r="J259" s="7"/>
      <c r="K259" s="7"/>
      <c r="L259" s="7"/>
      <c r="M259" s="7"/>
      <c r="N259" s="7">
        <f t="shared" si="2"/>
        <v>0</v>
      </c>
      <c r="O259" s="7"/>
    </row>
    <row r="260">
      <c r="A260" s="26" t="s">
        <v>1114</v>
      </c>
      <c r="B260" s="26" t="s">
        <v>1115</v>
      </c>
      <c r="C260" s="26" t="s">
        <v>589</v>
      </c>
      <c r="D260" s="27"/>
      <c r="E260" s="28" t="s">
        <v>1116</v>
      </c>
      <c r="F260" s="29"/>
      <c r="G260" s="13"/>
      <c r="H260" s="10"/>
      <c r="I260" s="29"/>
      <c r="J260" s="7"/>
      <c r="K260" s="7"/>
      <c r="L260" s="7"/>
      <c r="M260" s="7"/>
      <c r="N260" s="7">
        <f t="shared" si="2"/>
        <v>0</v>
      </c>
      <c r="O260" s="7"/>
    </row>
    <row r="261">
      <c r="A261" s="26" t="s">
        <v>1117</v>
      </c>
      <c r="B261" s="26" t="s">
        <v>1118</v>
      </c>
      <c r="C261" s="26" t="s">
        <v>589</v>
      </c>
      <c r="D261" s="26" t="s">
        <v>598</v>
      </c>
      <c r="E261" s="28" t="s">
        <v>1119</v>
      </c>
      <c r="F261" s="29"/>
      <c r="G261" s="13"/>
      <c r="H261" s="10"/>
      <c r="I261" s="29"/>
      <c r="J261" s="7"/>
      <c r="K261" s="7"/>
      <c r="L261" s="7"/>
      <c r="M261" s="7"/>
      <c r="N261" s="7">
        <f t="shared" si="2"/>
        <v>0</v>
      </c>
      <c r="O261" s="7"/>
    </row>
    <row r="262">
      <c r="A262" s="26" t="s">
        <v>1120</v>
      </c>
      <c r="B262" s="26" t="s">
        <v>1020</v>
      </c>
      <c r="C262" s="26" t="s">
        <v>589</v>
      </c>
      <c r="D262" s="27"/>
      <c r="E262" s="28" t="s">
        <v>1121</v>
      </c>
      <c r="F262" s="30" t="s">
        <v>1122</v>
      </c>
      <c r="G262" s="13"/>
      <c r="H262" s="10"/>
      <c r="I262" s="30" t="s">
        <v>351</v>
      </c>
      <c r="J262" s="7"/>
      <c r="K262" s="7"/>
      <c r="L262" s="7"/>
      <c r="M262" s="7"/>
      <c r="N262" s="7">
        <f t="shared" si="2"/>
        <v>1</v>
      </c>
      <c r="O262" s="7"/>
    </row>
    <row r="263">
      <c r="A263" s="26" t="s">
        <v>1123</v>
      </c>
      <c r="B263" s="26" t="s">
        <v>1124</v>
      </c>
      <c r="C263" s="26" t="s">
        <v>589</v>
      </c>
      <c r="D263" s="27"/>
      <c r="E263" s="28" t="s">
        <v>1125</v>
      </c>
      <c r="F263" s="30" t="s">
        <v>1126</v>
      </c>
      <c r="G263" s="13"/>
      <c r="H263" s="10"/>
      <c r="I263" s="30" t="s">
        <v>260</v>
      </c>
      <c r="J263" s="7"/>
      <c r="K263" s="7"/>
      <c r="L263" s="7"/>
      <c r="M263" s="7"/>
      <c r="N263" s="7">
        <f t="shared" si="2"/>
        <v>1</v>
      </c>
      <c r="O263" s="7"/>
    </row>
    <row r="264">
      <c r="A264" s="26" t="s">
        <v>1127</v>
      </c>
      <c r="B264" s="26" t="s">
        <v>1128</v>
      </c>
      <c r="C264" s="26" t="s">
        <v>589</v>
      </c>
      <c r="D264" s="27"/>
      <c r="E264" s="28" t="s">
        <v>1129</v>
      </c>
      <c r="F264" s="30" t="s">
        <v>1130</v>
      </c>
      <c r="G264" s="13"/>
      <c r="H264" s="10"/>
      <c r="I264" s="30" t="s">
        <v>324</v>
      </c>
      <c r="J264" s="7"/>
      <c r="K264" s="7"/>
      <c r="L264" s="7"/>
      <c r="M264" s="7"/>
      <c r="N264" s="7">
        <f t="shared" si="2"/>
        <v>1</v>
      </c>
      <c r="O264" s="7"/>
    </row>
    <row r="265">
      <c r="A265" s="26" t="s">
        <v>1131</v>
      </c>
      <c r="B265" s="31" t="s">
        <v>1132</v>
      </c>
      <c r="C265" s="26" t="s">
        <v>589</v>
      </c>
      <c r="D265" s="26" t="s">
        <v>598</v>
      </c>
      <c r="E265" s="28" t="s">
        <v>1133</v>
      </c>
      <c r="F265" s="29"/>
      <c r="G265" s="13"/>
      <c r="H265" s="10"/>
      <c r="I265" s="29"/>
      <c r="J265" s="7"/>
      <c r="K265" s="7"/>
      <c r="L265" s="7"/>
      <c r="M265" s="7"/>
      <c r="N265" s="7">
        <f t="shared" si="2"/>
        <v>0</v>
      </c>
      <c r="O265" s="7"/>
    </row>
    <row r="266">
      <c r="A266" s="26" t="s">
        <v>1134</v>
      </c>
      <c r="B266" s="31" t="s">
        <v>1135</v>
      </c>
      <c r="C266" s="26" t="s">
        <v>589</v>
      </c>
      <c r="D266" s="27"/>
      <c r="E266" s="28" t="s">
        <v>1136</v>
      </c>
      <c r="F266" s="29"/>
      <c r="G266" s="13"/>
      <c r="H266" s="10"/>
      <c r="I266" s="29"/>
      <c r="J266" s="7"/>
      <c r="K266" s="7"/>
      <c r="L266" s="7"/>
      <c r="M266" s="7"/>
      <c r="N266" s="7">
        <f t="shared" si="2"/>
        <v>0</v>
      </c>
      <c r="O266" s="7"/>
    </row>
    <row r="267">
      <c r="A267" s="31" t="s">
        <v>1138</v>
      </c>
      <c r="B267" s="26" t="s">
        <v>1139</v>
      </c>
      <c r="C267" s="26" t="s">
        <v>589</v>
      </c>
      <c r="D267" s="26" t="s">
        <v>598</v>
      </c>
      <c r="E267" s="27"/>
      <c r="F267" s="30" t="s">
        <v>1140</v>
      </c>
      <c r="G267" s="13"/>
      <c r="H267" s="10"/>
      <c r="I267" s="29"/>
      <c r="J267" s="7"/>
      <c r="K267" s="7"/>
      <c r="L267" s="7"/>
      <c r="M267" s="7"/>
      <c r="N267" s="7">
        <f t="shared" si="2"/>
        <v>1</v>
      </c>
      <c r="O267" s="7"/>
    </row>
    <row r="268">
      <c r="A268" s="26" t="s">
        <v>1141</v>
      </c>
      <c r="B268" s="26" t="s">
        <v>1142</v>
      </c>
      <c r="C268" s="26" t="s">
        <v>589</v>
      </c>
      <c r="D268" s="27"/>
      <c r="E268" s="28" t="s">
        <v>1143</v>
      </c>
      <c r="F268" s="30" t="s">
        <v>1144</v>
      </c>
      <c r="G268" s="13"/>
      <c r="H268" s="10"/>
      <c r="I268" s="29"/>
      <c r="J268" s="7"/>
      <c r="K268" s="7"/>
      <c r="L268" s="7"/>
      <c r="M268" s="7"/>
      <c r="N268" s="7">
        <f t="shared" si="2"/>
        <v>1</v>
      </c>
      <c r="O268" s="7"/>
    </row>
    <row r="269">
      <c r="A269" s="26" t="s">
        <v>1145</v>
      </c>
      <c r="B269" s="26" t="s">
        <v>1146</v>
      </c>
      <c r="C269" s="26" t="s">
        <v>584</v>
      </c>
      <c r="D269" s="27"/>
      <c r="E269" s="33" t="s">
        <v>1933</v>
      </c>
      <c r="F269" s="30" t="s">
        <v>1148</v>
      </c>
      <c r="G269" s="13"/>
      <c r="H269" s="10"/>
      <c r="I269" s="29"/>
      <c r="J269" s="7"/>
      <c r="K269" s="7"/>
      <c r="L269" s="7"/>
      <c r="M269" s="7"/>
      <c r="N269" s="7">
        <f t="shared" si="2"/>
        <v>1</v>
      </c>
      <c r="O269" s="7"/>
    </row>
    <row r="270">
      <c r="A270" s="26" t="s">
        <v>1149</v>
      </c>
      <c r="B270" s="26" t="s">
        <v>1150</v>
      </c>
      <c r="C270" s="26" t="s">
        <v>1151</v>
      </c>
      <c r="D270" s="27"/>
      <c r="E270" s="28" t="s">
        <v>1152</v>
      </c>
      <c r="F270" s="29"/>
      <c r="G270" s="13"/>
      <c r="H270" s="10"/>
      <c r="I270" s="29"/>
      <c r="J270" s="7"/>
      <c r="K270" s="7"/>
      <c r="L270" s="7"/>
      <c r="M270" s="7"/>
      <c r="N270" s="7">
        <f t="shared" si="2"/>
        <v>0</v>
      </c>
      <c r="O270" s="7"/>
    </row>
    <row r="271">
      <c r="A271" s="31" t="s">
        <v>1153</v>
      </c>
      <c r="B271" s="26" t="s">
        <v>1154</v>
      </c>
      <c r="C271" s="26" t="s">
        <v>589</v>
      </c>
      <c r="D271" s="27"/>
      <c r="E271" s="28" t="s">
        <v>1155</v>
      </c>
      <c r="F271" s="30" t="s">
        <v>1156</v>
      </c>
      <c r="G271" s="13"/>
      <c r="H271" s="10"/>
      <c r="I271" s="30" t="s">
        <v>39</v>
      </c>
      <c r="J271" s="7"/>
      <c r="K271" s="7"/>
      <c r="L271" s="7"/>
      <c r="M271" s="7"/>
      <c r="N271" s="7">
        <f t="shared" si="2"/>
        <v>1</v>
      </c>
      <c r="O271" s="7"/>
    </row>
    <row r="272">
      <c r="A272" s="26" t="s">
        <v>1157</v>
      </c>
      <c r="B272" s="26" t="s">
        <v>1158</v>
      </c>
      <c r="C272" s="26" t="s">
        <v>584</v>
      </c>
      <c r="D272" s="27"/>
      <c r="E272" s="28" t="s">
        <v>1159</v>
      </c>
      <c r="F272" s="29"/>
      <c r="G272" s="13"/>
      <c r="H272" s="10"/>
      <c r="I272" s="29"/>
      <c r="J272" s="7"/>
      <c r="K272" s="7"/>
      <c r="L272" s="7"/>
      <c r="M272" s="7"/>
      <c r="N272" s="7">
        <f t="shared" si="2"/>
        <v>0</v>
      </c>
      <c r="O272" s="7"/>
    </row>
    <row r="273">
      <c r="A273" s="26" t="s">
        <v>1160</v>
      </c>
      <c r="B273" s="26" t="s">
        <v>1161</v>
      </c>
      <c r="C273" s="26" t="s">
        <v>1162</v>
      </c>
      <c r="D273" s="27"/>
      <c r="E273" s="28" t="s">
        <v>1163</v>
      </c>
      <c r="F273" s="29"/>
      <c r="G273" s="13"/>
      <c r="H273" s="10"/>
      <c r="I273" s="29"/>
      <c r="J273" s="7"/>
      <c r="K273" s="7"/>
      <c r="L273" s="7"/>
      <c r="M273" s="7"/>
      <c r="N273" s="7">
        <f t="shared" si="2"/>
        <v>0</v>
      </c>
      <c r="O273" s="7"/>
    </row>
    <row r="274">
      <c r="A274" s="26" t="s">
        <v>1164</v>
      </c>
      <c r="B274" s="26" t="s">
        <v>1165</v>
      </c>
      <c r="C274" s="26" t="s">
        <v>589</v>
      </c>
      <c r="D274" s="27"/>
      <c r="E274" s="28" t="s">
        <v>1166</v>
      </c>
      <c r="F274" s="30" t="s">
        <v>1167</v>
      </c>
      <c r="G274" s="13"/>
      <c r="H274" s="10"/>
      <c r="I274" s="29"/>
      <c r="J274" s="7"/>
      <c r="K274" s="7"/>
      <c r="L274" s="7"/>
      <c r="M274" s="7"/>
      <c r="N274" s="7">
        <f t="shared" si="2"/>
        <v>1</v>
      </c>
      <c r="O274" s="7"/>
    </row>
    <row r="275">
      <c r="A275" s="26" t="s">
        <v>1168</v>
      </c>
      <c r="B275" s="26" t="s">
        <v>1169</v>
      </c>
      <c r="C275" s="26" t="s">
        <v>1059</v>
      </c>
      <c r="D275" s="27"/>
      <c r="E275" s="28" t="s">
        <v>1170</v>
      </c>
      <c r="F275" s="30" t="s">
        <v>1935</v>
      </c>
      <c r="G275" s="13"/>
      <c r="H275" s="10"/>
      <c r="I275" s="29"/>
      <c r="J275" s="7"/>
      <c r="K275" s="7"/>
      <c r="L275" s="7"/>
      <c r="M275" s="7"/>
      <c r="N275" s="7">
        <f t="shared" si="2"/>
        <v>1</v>
      </c>
      <c r="O275" s="7"/>
    </row>
    <row r="276" ht="16.5" customHeight="1">
      <c r="A276" s="26" t="s">
        <v>1172</v>
      </c>
      <c r="B276" s="26" t="s">
        <v>1173</v>
      </c>
      <c r="C276" s="26" t="s">
        <v>589</v>
      </c>
      <c r="D276" s="28" t="s">
        <v>1174</v>
      </c>
      <c r="E276" s="33" t="s">
        <v>1936</v>
      </c>
      <c r="F276" s="30" t="s">
        <v>1176</v>
      </c>
      <c r="G276" s="13"/>
      <c r="H276" s="10"/>
      <c r="I276" s="30" t="s">
        <v>122</v>
      </c>
      <c r="J276" s="7"/>
      <c r="K276" s="7"/>
      <c r="L276" s="7"/>
      <c r="M276" s="7"/>
      <c r="N276" s="7">
        <f t="shared" si="2"/>
        <v>1</v>
      </c>
      <c r="O276" s="7"/>
    </row>
    <row r="277" ht="15.75" customHeight="1">
      <c r="A277" s="26" t="s">
        <v>1177</v>
      </c>
      <c r="B277" s="26" t="s">
        <v>1178</v>
      </c>
      <c r="C277" s="26" t="s">
        <v>589</v>
      </c>
      <c r="D277" s="28" t="s">
        <v>1174</v>
      </c>
      <c r="E277" s="28" t="s">
        <v>1179</v>
      </c>
      <c r="F277" s="30" t="s">
        <v>1180</v>
      </c>
      <c r="G277" s="13"/>
      <c r="H277" s="10"/>
      <c r="I277" s="30" t="s">
        <v>122</v>
      </c>
      <c r="J277" s="7"/>
      <c r="K277" s="7"/>
      <c r="L277" s="7"/>
      <c r="M277" s="7"/>
      <c r="N277" s="7">
        <f t="shared" si="2"/>
        <v>1</v>
      </c>
      <c r="O277" s="7"/>
    </row>
    <row r="278">
      <c r="A278" s="26" t="s">
        <v>1181</v>
      </c>
      <c r="B278" s="31" t="s">
        <v>1182</v>
      </c>
      <c r="C278" s="26" t="s">
        <v>589</v>
      </c>
      <c r="D278" s="26"/>
      <c r="E278" s="28" t="s">
        <v>1937</v>
      </c>
      <c r="F278" s="29"/>
      <c r="G278" s="13"/>
      <c r="H278" s="10"/>
      <c r="I278" s="30" t="s">
        <v>403</v>
      </c>
      <c r="J278" s="7"/>
      <c r="K278" s="7"/>
      <c r="L278" s="7"/>
      <c r="M278" s="7"/>
      <c r="N278" s="7">
        <f t="shared" si="2"/>
        <v>0</v>
      </c>
      <c r="O278" s="7"/>
    </row>
    <row r="279">
      <c r="A279" s="26" t="s">
        <v>1184</v>
      </c>
      <c r="B279" s="26" t="s">
        <v>1185</v>
      </c>
      <c r="C279" s="26" t="s">
        <v>835</v>
      </c>
      <c r="D279" s="26" t="s">
        <v>635</v>
      </c>
      <c r="E279" s="28" t="s">
        <v>1186</v>
      </c>
      <c r="F279" s="29"/>
      <c r="G279" s="13"/>
      <c r="H279" s="10"/>
      <c r="I279" s="29"/>
      <c r="J279" s="7"/>
      <c r="K279" s="7"/>
      <c r="L279" s="7"/>
      <c r="M279" s="7"/>
      <c r="N279" s="7">
        <f t="shared" si="2"/>
        <v>0</v>
      </c>
      <c r="O279" s="7"/>
    </row>
    <row r="280">
      <c r="A280" s="26" t="s">
        <v>1187</v>
      </c>
      <c r="B280" s="26" t="s">
        <v>1188</v>
      </c>
      <c r="C280" s="26" t="s">
        <v>589</v>
      </c>
      <c r="D280" s="27"/>
      <c r="E280" s="28" t="s">
        <v>1189</v>
      </c>
      <c r="F280" s="30" t="s">
        <v>1190</v>
      </c>
      <c r="G280" s="13"/>
      <c r="H280" s="10"/>
      <c r="I280" s="30" t="s">
        <v>52</v>
      </c>
      <c r="J280" s="7"/>
      <c r="K280" s="7"/>
      <c r="L280" s="7"/>
      <c r="M280" s="7"/>
      <c r="N280" s="7">
        <f t="shared" si="2"/>
        <v>1</v>
      </c>
      <c r="O280" s="7"/>
    </row>
    <row r="281">
      <c r="A281" s="26" t="s">
        <v>1191</v>
      </c>
      <c r="B281" s="26" t="s">
        <v>1192</v>
      </c>
      <c r="C281" s="26" t="s">
        <v>589</v>
      </c>
      <c r="D281" s="27"/>
      <c r="E281" s="28" t="s">
        <v>1193</v>
      </c>
      <c r="F281" s="30" t="s">
        <v>1194</v>
      </c>
      <c r="G281" s="13"/>
      <c r="H281" s="10"/>
      <c r="I281" s="29"/>
      <c r="J281" s="7"/>
      <c r="K281" s="7"/>
      <c r="L281" s="7"/>
      <c r="M281" s="7"/>
      <c r="N281" s="7">
        <f t="shared" si="2"/>
        <v>1</v>
      </c>
      <c r="O281" s="7"/>
    </row>
    <row r="282">
      <c r="A282" s="26" t="s">
        <v>1195</v>
      </c>
      <c r="B282" s="26" t="s">
        <v>1196</v>
      </c>
      <c r="C282" s="26" t="s">
        <v>648</v>
      </c>
      <c r="D282" s="27"/>
      <c r="E282" s="28" t="s">
        <v>1197</v>
      </c>
      <c r="F282" s="29"/>
      <c r="G282" s="13"/>
      <c r="H282" s="10"/>
      <c r="I282" s="29"/>
      <c r="J282" s="7"/>
      <c r="K282" s="7"/>
      <c r="L282" s="7"/>
      <c r="M282" s="7"/>
      <c r="N282" s="7">
        <f t="shared" si="2"/>
        <v>0</v>
      </c>
      <c r="O282" s="7"/>
    </row>
    <row r="283">
      <c r="A283" s="26" t="s">
        <v>1198</v>
      </c>
      <c r="B283" s="26" t="s">
        <v>1199</v>
      </c>
      <c r="C283" s="26" t="s">
        <v>589</v>
      </c>
      <c r="D283" s="27"/>
      <c r="E283" s="32" t="s">
        <v>1200</v>
      </c>
      <c r="F283" s="30" t="s">
        <v>1201</v>
      </c>
      <c r="G283" s="13"/>
      <c r="H283" s="10"/>
      <c r="I283" s="29"/>
      <c r="J283" s="7"/>
      <c r="K283" s="7"/>
      <c r="L283" s="7"/>
      <c r="M283" s="7"/>
      <c r="N283" s="7">
        <f t="shared" si="2"/>
        <v>1</v>
      </c>
      <c r="O283" s="7"/>
    </row>
    <row r="284">
      <c r="A284" s="26" t="s">
        <v>1202</v>
      </c>
      <c r="B284" s="26" t="s">
        <v>1203</v>
      </c>
      <c r="C284" s="26" t="s">
        <v>1204</v>
      </c>
      <c r="D284" s="27"/>
      <c r="E284" s="28" t="s">
        <v>1205</v>
      </c>
      <c r="F284" s="30" t="s">
        <v>1206</v>
      </c>
      <c r="G284" s="13"/>
      <c r="H284" s="10"/>
      <c r="I284" s="29"/>
      <c r="J284" s="7"/>
      <c r="K284" s="7"/>
      <c r="L284" s="7"/>
      <c r="M284" s="7"/>
      <c r="N284" s="7">
        <f t="shared" si="2"/>
        <v>1</v>
      </c>
      <c r="O284" s="7"/>
    </row>
    <row r="285">
      <c r="A285" s="26" t="s">
        <v>1207</v>
      </c>
      <c r="B285" s="26" t="s">
        <v>1208</v>
      </c>
      <c r="C285" s="26" t="s">
        <v>589</v>
      </c>
      <c r="D285" s="27"/>
      <c r="E285" s="28" t="s">
        <v>1209</v>
      </c>
      <c r="F285" s="30" t="s">
        <v>1210</v>
      </c>
      <c r="G285" s="13"/>
      <c r="H285" s="10"/>
      <c r="I285" s="29"/>
      <c r="J285" s="7"/>
      <c r="K285" s="7"/>
      <c r="L285" s="7"/>
      <c r="M285" s="7"/>
      <c r="N285" s="7">
        <f t="shared" si="2"/>
        <v>1</v>
      </c>
      <c r="O285" s="7"/>
    </row>
    <row r="286">
      <c r="A286" s="31" t="s">
        <v>1212</v>
      </c>
      <c r="B286" s="26" t="s">
        <v>1213</v>
      </c>
      <c r="C286" s="26" t="s">
        <v>589</v>
      </c>
      <c r="D286" s="26" t="s">
        <v>598</v>
      </c>
      <c r="E286" s="28" t="s">
        <v>1214</v>
      </c>
      <c r="F286" s="30" t="s">
        <v>1215</v>
      </c>
      <c r="G286" s="13"/>
      <c r="H286" s="10"/>
      <c r="I286" s="29"/>
      <c r="J286" s="7"/>
      <c r="K286" s="7"/>
      <c r="L286" s="7"/>
      <c r="M286" s="7"/>
      <c r="N286" s="7">
        <f t="shared" si="2"/>
        <v>1</v>
      </c>
      <c r="O286" s="7"/>
    </row>
    <row r="287">
      <c r="A287" s="26" t="s">
        <v>1216</v>
      </c>
      <c r="B287" s="26" t="s">
        <v>1217</v>
      </c>
      <c r="C287" s="26" t="s">
        <v>584</v>
      </c>
      <c r="D287" s="26" t="s">
        <v>635</v>
      </c>
      <c r="E287" s="28" t="s">
        <v>1218</v>
      </c>
      <c r="F287" s="29"/>
      <c r="G287" s="13"/>
      <c r="H287" s="10"/>
      <c r="I287" s="29"/>
      <c r="J287" s="7"/>
      <c r="K287" s="7"/>
      <c r="L287" s="7"/>
      <c r="M287" s="7"/>
      <c r="N287" s="7">
        <f t="shared" si="2"/>
        <v>0</v>
      </c>
      <c r="O287" s="7"/>
    </row>
    <row r="288">
      <c r="A288" s="26" t="s">
        <v>1219</v>
      </c>
      <c r="B288" s="26" t="s">
        <v>1220</v>
      </c>
      <c r="C288" s="26" t="s">
        <v>584</v>
      </c>
      <c r="D288" s="27"/>
      <c r="E288" s="28" t="s">
        <v>1221</v>
      </c>
      <c r="F288" s="29"/>
      <c r="G288" s="13"/>
      <c r="H288" s="10"/>
      <c r="I288" s="29"/>
      <c r="J288" s="7"/>
      <c r="K288" s="7"/>
      <c r="L288" s="7"/>
      <c r="M288" s="7"/>
      <c r="N288" s="7">
        <f t="shared" si="2"/>
        <v>0</v>
      </c>
      <c r="O288" s="7"/>
    </row>
    <row r="289">
      <c r="A289" s="26" t="s">
        <v>1223</v>
      </c>
      <c r="B289" s="31" t="s">
        <v>1224</v>
      </c>
      <c r="C289" s="26" t="s">
        <v>589</v>
      </c>
      <c r="D289" s="26" t="s">
        <v>635</v>
      </c>
      <c r="E289" s="28" t="s">
        <v>1225</v>
      </c>
      <c r="F289" s="30" t="s">
        <v>1226</v>
      </c>
      <c r="G289" s="13"/>
      <c r="H289" s="10"/>
      <c r="I289" s="29"/>
      <c r="J289" s="7"/>
      <c r="K289" s="7"/>
      <c r="L289" s="7"/>
      <c r="M289" s="7"/>
      <c r="N289" s="7">
        <f t="shared" si="2"/>
        <v>1</v>
      </c>
      <c r="O289" s="7"/>
    </row>
    <row r="290">
      <c r="A290" s="26" t="s">
        <v>1227</v>
      </c>
      <c r="B290" s="26" t="s">
        <v>1228</v>
      </c>
      <c r="C290" s="26" t="s">
        <v>589</v>
      </c>
      <c r="D290" s="27"/>
      <c r="E290" s="28" t="s">
        <v>1229</v>
      </c>
      <c r="F290" s="29"/>
      <c r="G290" s="13"/>
      <c r="H290" s="10"/>
      <c r="I290" s="29"/>
      <c r="J290" s="7"/>
      <c r="K290" s="7"/>
      <c r="L290" s="7"/>
      <c r="M290" s="7"/>
      <c r="N290" s="7">
        <f t="shared" si="2"/>
        <v>0</v>
      </c>
      <c r="O290" s="7"/>
    </row>
    <row r="291">
      <c r="A291" s="26" t="s">
        <v>1230</v>
      </c>
      <c r="B291" s="26" t="s">
        <v>1231</v>
      </c>
      <c r="C291" s="26" t="s">
        <v>589</v>
      </c>
      <c r="D291" s="26" t="s">
        <v>598</v>
      </c>
      <c r="E291" s="28" t="s">
        <v>1232</v>
      </c>
      <c r="F291" s="30" t="s">
        <v>1233</v>
      </c>
      <c r="G291" s="13"/>
      <c r="H291" s="10"/>
      <c r="I291" s="29"/>
      <c r="J291" s="7"/>
      <c r="K291" s="7"/>
      <c r="L291" s="7"/>
      <c r="M291" s="7"/>
      <c r="N291" s="7">
        <f t="shared" si="2"/>
        <v>1</v>
      </c>
      <c r="O291" s="7"/>
    </row>
    <row r="292">
      <c r="A292" s="26" t="s">
        <v>1234</v>
      </c>
      <c r="B292" s="26" t="s">
        <v>1235</v>
      </c>
      <c r="C292" s="26" t="s">
        <v>589</v>
      </c>
      <c r="D292" s="27"/>
      <c r="E292" s="28" t="s">
        <v>1236</v>
      </c>
      <c r="F292" s="30" t="s">
        <v>1237</v>
      </c>
      <c r="G292" s="13"/>
      <c r="H292" s="10"/>
      <c r="I292" s="29"/>
      <c r="J292" s="7"/>
      <c r="K292" s="7"/>
      <c r="L292" s="7"/>
      <c r="M292" s="7"/>
      <c r="N292" s="7">
        <f t="shared" si="2"/>
        <v>1</v>
      </c>
      <c r="O292" s="7"/>
    </row>
    <row r="293">
      <c r="A293" s="31" t="s">
        <v>1238</v>
      </c>
      <c r="B293" s="26" t="s">
        <v>1239</v>
      </c>
      <c r="C293" s="31" t="s">
        <v>589</v>
      </c>
      <c r="D293" s="26"/>
      <c r="E293" s="31" t="s">
        <v>1240</v>
      </c>
      <c r="F293" s="29"/>
      <c r="G293" s="13"/>
      <c r="H293" s="10"/>
      <c r="I293" s="30" t="s">
        <v>391</v>
      </c>
      <c r="J293" s="7"/>
      <c r="K293" s="7"/>
      <c r="L293" s="7"/>
      <c r="M293" s="7"/>
      <c r="N293" s="7">
        <f t="shared" si="2"/>
        <v>0</v>
      </c>
      <c r="O293" s="7"/>
    </row>
    <row r="294">
      <c r="A294" s="26" t="s">
        <v>1241</v>
      </c>
      <c r="B294" s="26" t="s">
        <v>1242</v>
      </c>
      <c r="C294" s="26" t="s">
        <v>589</v>
      </c>
      <c r="D294" s="26" t="s">
        <v>598</v>
      </c>
      <c r="E294" s="28" t="s">
        <v>1243</v>
      </c>
      <c r="F294" s="29"/>
      <c r="G294" s="13"/>
      <c r="H294" s="10"/>
      <c r="I294" s="29"/>
      <c r="J294" s="7"/>
      <c r="K294" s="7"/>
      <c r="L294" s="7"/>
      <c r="M294" s="7"/>
      <c r="N294" s="7">
        <f t="shared" si="2"/>
        <v>0</v>
      </c>
      <c r="O294" s="7"/>
    </row>
    <row r="295">
      <c r="A295" s="26" t="s">
        <v>1244</v>
      </c>
      <c r="B295" s="26" t="s">
        <v>1245</v>
      </c>
      <c r="C295" s="26" t="s">
        <v>584</v>
      </c>
      <c r="D295" s="26" t="s">
        <v>635</v>
      </c>
      <c r="E295" s="28" t="s">
        <v>1246</v>
      </c>
      <c r="F295" s="29"/>
      <c r="G295" s="13"/>
      <c r="H295" s="10"/>
      <c r="I295" s="29"/>
      <c r="J295" s="7"/>
      <c r="K295" s="7"/>
      <c r="L295" s="7"/>
      <c r="M295" s="7"/>
      <c r="N295" s="7">
        <f t="shared" si="2"/>
        <v>0</v>
      </c>
      <c r="O295" s="7"/>
    </row>
    <row r="296">
      <c r="A296" s="26" t="s">
        <v>1247</v>
      </c>
      <c r="B296" s="26" t="s">
        <v>1248</v>
      </c>
      <c r="C296" s="26" t="s">
        <v>589</v>
      </c>
      <c r="D296" s="27"/>
      <c r="E296" s="28" t="s">
        <v>1249</v>
      </c>
      <c r="F296" s="35" t="s">
        <v>166</v>
      </c>
      <c r="I296" s="29"/>
      <c r="J296" s="7"/>
      <c r="K296" s="7"/>
      <c r="L296" s="7"/>
      <c r="M296" s="7"/>
      <c r="N296" s="7">
        <f t="shared" si="2"/>
        <v>1</v>
      </c>
      <c r="O296" s="7"/>
    </row>
    <row r="297">
      <c r="A297" s="26" t="s">
        <v>1250</v>
      </c>
      <c r="B297" s="26" t="s">
        <v>1251</v>
      </c>
      <c r="C297" s="26" t="s">
        <v>589</v>
      </c>
      <c r="D297" s="27"/>
      <c r="E297" s="28" t="s">
        <v>1252</v>
      </c>
      <c r="F297" s="29"/>
      <c r="G297" s="13"/>
      <c r="H297" s="10"/>
      <c r="I297" s="29"/>
      <c r="J297" s="7"/>
      <c r="K297" s="7"/>
      <c r="L297" s="7"/>
      <c r="M297" s="7"/>
      <c r="N297" s="7">
        <f t="shared" si="2"/>
        <v>0</v>
      </c>
      <c r="O297" s="7"/>
    </row>
    <row r="298">
      <c r="A298" s="26" t="s">
        <v>1253</v>
      </c>
      <c r="B298" s="31" t="s">
        <v>1254</v>
      </c>
      <c r="C298" s="26" t="s">
        <v>589</v>
      </c>
      <c r="D298" s="26" t="s">
        <v>635</v>
      </c>
      <c r="E298" s="28" t="s">
        <v>1255</v>
      </c>
      <c r="F298" s="29"/>
      <c r="G298" s="13"/>
      <c r="H298" s="10"/>
      <c r="I298" s="29"/>
      <c r="J298" s="7"/>
      <c r="K298" s="7"/>
      <c r="L298" s="7"/>
      <c r="M298" s="7"/>
      <c r="N298" s="7">
        <f t="shared" si="2"/>
        <v>0</v>
      </c>
      <c r="O298" s="7"/>
    </row>
    <row r="299">
      <c r="A299" s="26" t="s">
        <v>1256</v>
      </c>
      <c r="B299" s="26" t="s">
        <v>1257</v>
      </c>
      <c r="C299" s="26" t="s">
        <v>589</v>
      </c>
      <c r="D299" s="26" t="s">
        <v>635</v>
      </c>
      <c r="E299" s="28" t="s">
        <v>1258</v>
      </c>
      <c r="F299" s="30" t="s">
        <v>1259</v>
      </c>
      <c r="G299" s="13"/>
      <c r="H299" s="10"/>
      <c r="I299" s="29"/>
      <c r="J299" s="7"/>
      <c r="K299" s="7"/>
      <c r="L299" s="7"/>
      <c r="M299" s="7"/>
      <c r="N299" s="7">
        <f t="shared" si="2"/>
        <v>1</v>
      </c>
      <c r="O299" s="7"/>
    </row>
    <row r="300">
      <c r="A300" s="26" t="s">
        <v>1260</v>
      </c>
      <c r="B300" s="26" t="s">
        <v>1261</v>
      </c>
      <c r="C300" s="26" t="s">
        <v>589</v>
      </c>
      <c r="D300" s="27"/>
      <c r="E300" s="28" t="s">
        <v>1262</v>
      </c>
      <c r="F300" s="29"/>
      <c r="G300" s="13"/>
      <c r="H300" s="10"/>
      <c r="I300" s="29"/>
      <c r="J300" s="7"/>
      <c r="K300" s="7"/>
      <c r="L300" s="7"/>
      <c r="M300" s="7"/>
      <c r="N300" s="7">
        <f t="shared" si="2"/>
        <v>0</v>
      </c>
      <c r="O300" s="7"/>
    </row>
    <row r="301">
      <c r="A301" s="26" t="s">
        <v>1264</v>
      </c>
      <c r="B301" s="26" t="s">
        <v>1265</v>
      </c>
      <c r="C301" s="26" t="s">
        <v>589</v>
      </c>
      <c r="D301" s="27"/>
      <c r="E301" s="28" t="s">
        <v>1266</v>
      </c>
      <c r="F301" s="30" t="s">
        <v>1942</v>
      </c>
      <c r="G301" s="13"/>
      <c r="H301" s="10"/>
      <c r="I301" s="29"/>
      <c r="J301" s="7"/>
      <c r="K301" s="7"/>
      <c r="L301" s="7"/>
      <c r="M301" s="7"/>
      <c r="N301" s="7">
        <f t="shared" si="2"/>
        <v>1</v>
      </c>
      <c r="O301" s="7"/>
    </row>
    <row r="302">
      <c r="A302" s="26" t="s">
        <v>1268</v>
      </c>
      <c r="B302" s="26" t="s">
        <v>1269</v>
      </c>
      <c r="C302" s="26" t="s">
        <v>589</v>
      </c>
      <c r="D302" s="26" t="s">
        <v>635</v>
      </c>
      <c r="E302" s="33" t="s">
        <v>1943</v>
      </c>
      <c r="F302" s="30" t="s">
        <v>1271</v>
      </c>
      <c r="G302" s="13"/>
      <c r="H302" s="10"/>
      <c r="I302" s="30" t="s">
        <v>356</v>
      </c>
      <c r="J302" s="7"/>
      <c r="K302" s="7"/>
      <c r="L302" s="7"/>
      <c r="M302" s="7"/>
      <c r="N302" s="7">
        <f t="shared" si="2"/>
        <v>1</v>
      </c>
      <c r="O302" s="7"/>
    </row>
    <row r="303">
      <c r="A303" s="26" t="s">
        <v>1272</v>
      </c>
      <c r="B303" s="31" t="s">
        <v>1273</v>
      </c>
      <c r="C303" s="26" t="s">
        <v>589</v>
      </c>
      <c r="D303" s="27"/>
      <c r="E303" s="28" t="s">
        <v>1274</v>
      </c>
      <c r="F303" s="29"/>
      <c r="G303" s="13"/>
      <c r="H303" s="10"/>
      <c r="I303" s="29"/>
      <c r="J303" s="7"/>
      <c r="K303" s="7"/>
      <c r="L303" s="7"/>
      <c r="M303" s="7"/>
      <c r="N303" s="7">
        <f t="shared" si="2"/>
        <v>0</v>
      </c>
      <c r="O303" s="7"/>
    </row>
    <row r="304">
      <c r="A304" s="26" t="s">
        <v>1275</v>
      </c>
      <c r="B304" s="26" t="s">
        <v>1276</v>
      </c>
      <c r="C304" s="26" t="s">
        <v>589</v>
      </c>
      <c r="D304" s="27"/>
      <c r="E304" s="28" t="s">
        <v>1277</v>
      </c>
      <c r="F304" s="30" t="s">
        <v>1279</v>
      </c>
      <c r="G304" s="13"/>
      <c r="H304" s="10"/>
      <c r="I304" s="29"/>
      <c r="J304" s="7"/>
      <c r="K304" s="7"/>
      <c r="L304" s="7"/>
      <c r="M304" s="7"/>
      <c r="N304" s="7">
        <f t="shared" si="2"/>
        <v>1</v>
      </c>
      <c r="O304" s="7"/>
    </row>
    <row r="305">
      <c r="A305" s="26" t="s">
        <v>1280</v>
      </c>
      <c r="B305" s="26" t="s">
        <v>1281</v>
      </c>
      <c r="C305" s="26" t="s">
        <v>584</v>
      </c>
      <c r="D305" s="26" t="s">
        <v>635</v>
      </c>
      <c r="E305" s="28" t="s">
        <v>1282</v>
      </c>
      <c r="F305" s="29"/>
      <c r="G305" s="13"/>
      <c r="H305" s="10"/>
      <c r="I305" s="29"/>
      <c r="J305" s="7"/>
      <c r="K305" s="7"/>
      <c r="L305" s="7"/>
      <c r="M305" s="7"/>
      <c r="N305" s="7">
        <f t="shared" si="2"/>
        <v>0</v>
      </c>
      <c r="O305" s="7"/>
    </row>
    <row r="306">
      <c r="A306" s="26" t="s">
        <v>1283</v>
      </c>
      <c r="B306" s="26" t="s">
        <v>1284</v>
      </c>
      <c r="C306" s="26" t="s">
        <v>589</v>
      </c>
      <c r="D306" s="27"/>
      <c r="E306" s="28" t="s">
        <v>1285</v>
      </c>
      <c r="F306" s="29"/>
      <c r="G306" s="13"/>
      <c r="H306" s="10"/>
      <c r="I306" s="29"/>
      <c r="J306" s="7"/>
      <c r="K306" s="7"/>
      <c r="L306" s="7"/>
      <c r="M306" s="7"/>
      <c r="N306" s="7">
        <f t="shared" si="2"/>
        <v>0</v>
      </c>
      <c r="O306" s="7"/>
    </row>
    <row r="307">
      <c r="A307" s="26" t="s">
        <v>1286</v>
      </c>
      <c r="B307" s="26" t="s">
        <v>1287</v>
      </c>
      <c r="C307" s="26" t="s">
        <v>584</v>
      </c>
      <c r="D307" s="27"/>
      <c r="E307" s="33" t="s">
        <v>1945</v>
      </c>
      <c r="F307" s="29"/>
      <c r="G307" s="13"/>
      <c r="H307" s="10"/>
      <c r="I307" s="29"/>
      <c r="J307" s="7"/>
      <c r="K307" s="7"/>
      <c r="L307" s="7"/>
      <c r="M307" s="7"/>
      <c r="N307" s="7">
        <f t="shared" si="2"/>
        <v>0</v>
      </c>
      <c r="O307" s="7"/>
    </row>
    <row r="308">
      <c r="A308" s="26" t="s">
        <v>1289</v>
      </c>
      <c r="B308" s="26" t="s">
        <v>1290</v>
      </c>
      <c r="C308" s="26" t="s">
        <v>589</v>
      </c>
      <c r="D308" s="26" t="s">
        <v>1026</v>
      </c>
      <c r="E308" s="27"/>
      <c r="F308" s="30" t="s">
        <v>1291</v>
      </c>
      <c r="G308" s="13"/>
      <c r="H308" s="10"/>
      <c r="I308" s="29"/>
      <c r="J308" s="7"/>
      <c r="K308" s="7"/>
      <c r="L308" s="7"/>
      <c r="M308" s="7"/>
      <c r="N308" s="7">
        <f t="shared" si="2"/>
        <v>1</v>
      </c>
      <c r="O308" s="7"/>
    </row>
    <row r="309">
      <c r="A309" s="26" t="s">
        <v>1292</v>
      </c>
      <c r="B309" s="26" t="s">
        <v>1293</v>
      </c>
      <c r="C309" s="26" t="s">
        <v>589</v>
      </c>
      <c r="D309" s="27"/>
      <c r="E309" s="28" t="s">
        <v>1294</v>
      </c>
      <c r="F309" s="29"/>
      <c r="G309" s="13"/>
      <c r="H309" s="10"/>
      <c r="I309" s="29"/>
      <c r="J309" s="7"/>
      <c r="K309" s="7"/>
      <c r="L309" s="7"/>
      <c r="M309" s="7"/>
      <c r="N309" s="7">
        <f t="shared" si="2"/>
        <v>0</v>
      </c>
      <c r="O309" s="7"/>
    </row>
    <row r="310">
      <c r="A310" s="26" t="s">
        <v>1295</v>
      </c>
      <c r="B310" s="26" t="s">
        <v>1296</v>
      </c>
      <c r="C310" s="26" t="s">
        <v>589</v>
      </c>
      <c r="D310" s="27"/>
      <c r="E310" s="28" t="s">
        <v>1297</v>
      </c>
      <c r="F310" s="29"/>
      <c r="G310" s="13"/>
      <c r="H310" s="10"/>
      <c r="I310" s="29"/>
      <c r="J310" s="7"/>
      <c r="K310" s="7"/>
      <c r="L310" s="7"/>
      <c r="M310" s="7"/>
      <c r="N310" s="7">
        <f t="shared" si="2"/>
        <v>0</v>
      </c>
      <c r="O310" s="7"/>
    </row>
    <row r="311">
      <c r="A311" s="26" t="s">
        <v>1299</v>
      </c>
      <c r="B311" s="26" t="s">
        <v>1300</v>
      </c>
      <c r="C311" s="26" t="s">
        <v>589</v>
      </c>
      <c r="D311" s="27"/>
      <c r="E311" s="28" t="s">
        <v>1301</v>
      </c>
      <c r="F311" s="29"/>
      <c r="G311" s="13"/>
      <c r="H311" s="10"/>
      <c r="I311" s="29"/>
      <c r="J311" s="7"/>
      <c r="K311" s="7"/>
      <c r="L311" s="7"/>
      <c r="M311" s="7"/>
      <c r="N311" s="7">
        <f t="shared" si="2"/>
        <v>0</v>
      </c>
      <c r="O311" s="7"/>
    </row>
    <row r="312">
      <c r="A312" s="26" t="s">
        <v>1302</v>
      </c>
      <c r="B312" s="26" t="s">
        <v>1303</v>
      </c>
      <c r="C312" s="26" t="s">
        <v>584</v>
      </c>
      <c r="D312" s="27"/>
      <c r="E312" s="28" t="s">
        <v>1304</v>
      </c>
      <c r="F312" s="29"/>
      <c r="G312" s="13"/>
      <c r="H312" s="10"/>
      <c r="I312" s="29"/>
      <c r="J312" s="7"/>
      <c r="K312" s="7"/>
      <c r="L312" s="7"/>
      <c r="M312" s="7"/>
      <c r="N312" s="7">
        <f t="shared" si="2"/>
        <v>0</v>
      </c>
      <c r="O312" s="7"/>
    </row>
    <row r="313">
      <c r="A313" s="31" t="s">
        <v>1305</v>
      </c>
      <c r="B313" s="26" t="s">
        <v>1058</v>
      </c>
      <c r="C313" s="26" t="s">
        <v>589</v>
      </c>
      <c r="D313" s="27"/>
      <c r="E313" s="28" t="s">
        <v>1306</v>
      </c>
      <c r="F313" s="30" t="s">
        <v>1947</v>
      </c>
      <c r="G313" s="13"/>
      <c r="H313" s="10"/>
      <c r="I313" s="29"/>
      <c r="J313" s="7"/>
      <c r="K313" s="7"/>
      <c r="L313" s="7"/>
      <c r="M313" s="7"/>
      <c r="N313" s="7">
        <f t="shared" si="2"/>
        <v>1</v>
      </c>
      <c r="O313" s="7"/>
    </row>
    <row r="314">
      <c r="A314" s="31" t="s">
        <v>1308</v>
      </c>
      <c r="B314" s="26" t="s">
        <v>1309</v>
      </c>
      <c r="C314" s="26" t="s">
        <v>589</v>
      </c>
      <c r="D314" s="27"/>
      <c r="E314" s="28" t="s">
        <v>1310</v>
      </c>
      <c r="F314" s="29"/>
      <c r="G314" s="13"/>
      <c r="H314" s="10"/>
      <c r="I314" s="29"/>
      <c r="J314" s="7"/>
      <c r="K314" s="7"/>
      <c r="L314" s="7"/>
      <c r="M314" s="7"/>
      <c r="N314" s="7">
        <f t="shared" si="2"/>
        <v>0</v>
      </c>
      <c r="O314" s="7"/>
    </row>
    <row r="315">
      <c r="A315" s="31" t="s">
        <v>1311</v>
      </c>
      <c r="B315" s="26" t="s">
        <v>1312</v>
      </c>
      <c r="C315" s="26" t="s">
        <v>589</v>
      </c>
      <c r="D315" s="26" t="s">
        <v>598</v>
      </c>
      <c r="E315" s="28" t="s">
        <v>1313</v>
      </c>
      <c r="F315" s="30" t="s">
        <v>1948</v>
      </c>
      <c r="G315" s="13"/>
      <c r="H315" s="10"/>
      <c r="I315" s="29"/>
      <c r="J315" s="7"/>
      <c r="K315" s="7"/>
      <c r="L315" s="7"/>
      <c r="M315" s="7"/>
      <c r="N315" s="7">
        <f t="shared" si="2"/>
        <v>1</v>
      </c>
      <c r="O315" s="7"/>
    </row>
    <row r="316">
      <c r="A316" s="26" t="s">
        <v>1315</v>
      </c>
      <c r="B316" s="26" t="s">
        <v>1316</v>
      </c>
      <c r="C316" s="26" t="s">
        <v>589</v>
      </c>
      <c r="D316" s="26" t="s">
        <v>598</v>
      </c>
      <c r="E316" s="28" t="s">
        <v>1317</v>
      </c>
      <c r="F316" s="29"/>
      <c r="G316" s="13"/>
      <c r="H316" s="10"/>
      <c r="I316" s="29"/>
      <c r="J316" s="7"/>
      <c r="K316" s="7"/>
      <c r="L316" s="7"/>
      <c r="M316" s="7"/>
      <c r="N316" s="7">
        <f t="shared" si="2"/>
        <v>0</v>
      </c>
      <c r="O316" s="7"/>
    </row>
    <row r="317">
      <c r="A317" s="26" t="s">
        <v>1319</v>
      </c>
      <c r="B317" s="26" t="s">
        <v>1320</v>
      </c>
      <c r="C317" s="26" t="s">
        <v>589</v>
      </c>
      <c r="D317" s="27"/>
      <c r="E317" s="34" t="s">
        <v>1321</v>
      </c>
      <c r="F317" s="30" t="s">
        <v>1322</v>
      </c>
      <c r="G317" s="13"/>
      <c r="H317" s="10"/>
      <c r="I317" s="29"/>
      <c r="J317" s="7"/>
      <c r="K317" s="7"/>
      <c r="L317" s="7"/>
      <c r="M317" s="7"/>
      <c r="N317" s="7">
        <f t="shared" si="2"/>
        <v>1</v>
      </c>
      <c r="O317" s="7"/>
    </row>
    <row r="318">
      <c r="A318" s="26" t="s">
        <v>1323</v>
      </c>
      <c r="B318" s="26" t="s">
        <v>1324</v>
      </c>
      <c r="C318" s="26" t="s">
        <v>589</v>
      </c>
      <c r="D318" s="26" t="s">
        <v>598</v>
      </c>
      <c r="E318" s="28" t="s">
        <v>1325</v>
      </c>
      <c r="F318" s="29"/>
      <c r="G318" s="13"/>
      <c r="H318" s="10"/>
      <c r="I318" s="29"/>
      <c r="J318" s="7"/>
      <c r="K318" s="7"/>
      <c r="L318" s="7"/>
      <c r="M318" s="7"/>
      <c r="N318" s="7">
        <f t="shared" si="2"/>
        <v>0</v>
      </c>
      <c r="O318" s="7"/>
    </row>
    <row r="319">
      <c r="A319" s="26" t="s">
        <v>1326</v>
      </c>
      <c r="B319" s="26" t="s">
        <v>1327</v>
      </c>
      <c r="C319" s="26" t="s">
        <v>589</v>
      </c>
      <c r="D319" s="27"/>
      <c r="E319" s="28" t="s">
        <v>1328</v>
      </c>
      <c r="F319" s="30" t="s">
        <v>1329</v>
      </c>
      <c r="G319" s="13"/>
      <c r="H319" s="10"/>
      <c r="I319" s="29"/>
      <c r="J319" s="7"/>
      <c r="K319" s="7"/>
      <c r="L319" s="7"/>
      <c r="M319" s="7"/>
      <c r="N319" s="7">
        <f t="shared" si="2"/>
        <v>1</v>
      </c>
      <c r="O319" s="7"/>
    </row>
    <row r="320">
      <c r="A320" s="26" t="s">
        <v>1330</v>
      </c>
      <c r="B320" s="26" t="s">
        <v>1331</v>
      </c>
      <c r="C320" s="26" t="s">
        <v>589</v>
      </c>
      <c r="D320" s="27"/>
      <c r="E320" s="32" t="s">
        <v>1332</v>
      </c>
      <c r="F320" s="30" t="s">
        <v>1333</v>
      </c>
      <c r="G320" s="13"/>
      <c r="H320" s="10"/>
      <c r="I320" s="30" t="s">
        <v>260</v>
      </c>
      <c r="J320" s="7"/>
      <c r="K320" s="7"/>
      <c r="L320" s="7"/>
      <c r="M320" s="7"/>
      <c r="N320" s="7">
        <f t="shared" si="2"/>
        <v>1</v>
      </c>
      <c r="O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f>SUM(N126:N320)</f>
        <v>113</v>
      </c>
      <c r="P322" s="7"/>
      <c r="Q322" s="7"/>
      <c r="R322" s="7"/>
      <c r="S322" s="7"/>
      <c r="T322" s="7"/>
      <c r="U322" s="7"/>
      <c r="V322" s="7"/>
      <c r="W322" s="7"/>
      <c r="X322" s="7"/>
      <c r="Y322" s="7"/>
      <c r="Z322" s="7"/>
    </row>
    <row r="323">
      <c r="A323" s="25" t="s">
        <v>1338</v>
      </c>
      <c r="B323" s="25" t="s">
        <v>577</v>
      </c>
      <c r="C323" s="25" t="s">
        <v>578</v>
      </c>
      <c r="D323" s="25" t="s">
        <v>1339</v>
      </c>
      <c r="E323" s="36" t="s">
        <v>1340</v>
      </c>
      <c r="F323" s="25" t="s">
        <v>1341</v>
      </c>
      <c r="G323" s="25" t="s">
        <v>581</v>
      </c>
      <c r="H323" s="25"/>
      <c r="I323" s="36" t="s">
        <v>4</v>
      </c>
      <c r="J323" s="7"/>
      <c r="K323" s="7"/>
      <c r="L323" s="7"/>
      <c r="M323" s="7"/>
      <c r="N323" s="7"/>
      <c r="O323" s="7"/>
    </row>
    <row r="324">
      <c r="A324" s="26" t="s">
        <v>1342</v>
      </c>
      <c r="B324" s="26" t="s">
        <v>1343</v>
      </c>
      <c r="C324" s="26" t="s">
        <v>584</v>
      </c>
      <c r="D324" s="33" t="s">
        <v>1949</v>
      </c>
      <c r="E324" s="37" t="s">
        <v>584</v>
      </c>
      <c r="F324" s="37">
        <v>1.0</v>
      </c>
      <c r="G324" s="30" t="s">
        <v>1345</v>
      </c>
      <c r="H324" s="10"/>
      <c r="I324" s="17" t="s">
        <v>445</v>
      </c>
      <c r="J324" s="7"/>
      <c r="K324" s="7"/>
      <c r="L324" s="7"/>
      <c r="M324" s="7"/>
      <c r="N324" s="7">
        <f t="shared" ref="N324:N340" si="3"> IF(ISBLANK(G324), 0, 1)</f>
        <v>1</v>
      </c>
      <c r="O324" s="7"/>
    </row>
    <row r="325">
      <c r="A325" s="26" t="s">
        <v>1346</v>
      </c>
      <c r="B325" s="26" t="s">
        <v>1347</v>
      </c>
      <c r="C325" s="26" t="s">
        <v>584</v>
      </c>
      <c r="D325" s="33" t="s">
        <v>1950</v>
      </c>
      <c r="E325" s="37" t="s">
        <v>584</v>
      </c>
      <c r="F325" s="37">
        <v>1.0</v>
      </c>
      <c r="G325" s="30" t="s">
        <v>1350</v>
      </c>
      <c r="H325" s="10"/>
      <c r="I325" s="37"/>
      <c r="J325" s="7"/>
      <c r="K325" s="7"/>
      <c r="L325" s="7"/>
      <c r="M325" s="7"/>
      <c r="N325" s="7">
        <f t="shared" si="3"/>
        <v>1</v>
      </c>
      <c r="O325" s="7"/>
    </row>
    <row r="326">
      <c r="A326" s="26" t="s">
        <v>1351</v>
      </c>
      <c r="B326" s="26" t="s">
        <v>1352</v>
      </c>
      <c r="C326" s="26" t="s">
        <v>584</v>
      </c>
      <c r="D326" s="33" t="s">
        <v>1951</v>
      </c>
      <c r="E326" s="37" t="s">
        <v>584</v>
      </c>
      <c r="F326" s="37">
        <v>1.0</v>
      </c>
      <c r="G326" s="30" t="s">
        <v>1354</v>
      </c>
      <c r="H326" s="10"/>
      <c r="I326" s="37"/>
      <c r="J326" s="7"/>
      <c r="K326" s="7"/>
      <c r="L326" s="7"/>
      <c r="M326" s="7"/>
      <c r="N326" s="7">
        <f t="shared" si="3"/>
        <v>1</v>
      </c>
      <c r="O326" s="7"/>
    </row>
    <row r="327">
      <c r="A327" s="26" t="s">
        <v>1355</v>
      </c>
      <c r="B327" s="26" t="s">
        <v>1356</v>
      </c>
      <c r="C327" s="26" t="s">
        <v>584</v>
      </c>
      <c r="D327" s="28" t="s">
        <v>1357</v>
      </c>
      <c r="E327" s="37" t="s">
        <v>584</v>
      </c>
      <c r="F327" s="37">
        <v>1.0</v>
      </c>
      <c r="G327" s="30" t="s">
        <v>1359</v>
      </c>
      <c r="H327" s="10"/>
      <c r="I327" s="37"/>
      <c r="J327" s="7"/>
      <c r="K327" s="7"/>
      <c r="L327" s="7"/>
      <c r="M327" s="7"/>
      <c r="N327" s="7">
        <f t="shared" si="3"/>
        <v>1</v>
      </c>
      <c r="O327" s="7"/>
    </row>
    <row r="328">
      <c r="A328" s="26" t="s">
        <v>1360</v>
      </c>
      <c r="B328" s="26" t="s">
        <v>1361</v>
      </c>
      <c r="C328" s="26" t="s">
        <v>584</v>
      </c>
      <c r="D328" s="33" t="s">
        <v>1953</v>
      </c>
      <c r="E328" s="37" t="s">
        <v>589</v>
      </c>
      <c r="F328" s="37">
        <v>2.0</v>
      </c>
      <c r="G328" s="30" t="s">
        <v>1363</v>
      </c>
      <c r="H328" s="10"/>
      <c r="I328" s="37" t="s">
        <v>344</v>
      </c>
      <c r="J328" s="7"/>
      <c r="K328" s="7"/>
      <c r="L328" s="7"/>
      <c r="M328" s="7"/>
      <c r="N328" s="7">
        <f t="shared" si="3"/>
        <v>1</v>
      </c>
      <c r="O328" s="7"/>
    </row>
    <row r="329">
      <c r="A329" s="26" t="s">
        <v>1364</v>
      </c>
      <c r="B329" s="26" t="s">
        <v>1365</v>
      </c>
      <c r="C329" s="26" t="s">
        <v>589</v>
      </c>
      <c r="D329" s="28" t="s">
        <v>1366</v>
      </c>
      <c r="E329" s="37" t="s">
        <v>589</v>
      </c>
      <c r="F329" s="37">
        <v>3.0</v>
      </c>
      <c r="G329" s="30" t="s">
        <v>1367</v>
      </c>
      <c r="H329" s="10"/>
      <c r="I329" s="37" t="s">
        <v>403</v>
      </c>
      <c r="J329" s="7"/>
      <c r="K329" s="7"/>
      <c r="L329" s="7"/>
      <c r="M329" s="7"/>
      <c r="N329" s="7">
        <f t="shared" si="3"/>
        <v>1</v>
      </c>
      <c r="O329" s="7"/>
    </row>
    <row r="330">
      <c r="A330" s="31" t="s">
        <v>1368</v>
      </c>
      <c r="B330" s="26" t="s">
        <v>1369</v>
      </c>
      <c r="C330" s="31" t="s">
        <v>589</v>
      </c>
      <c r="D330" s="31" t="s">
        <v>595</v>
      </c>
      <c r="E330" s="37" t="s">
        <v>589</v>
      </c>
      <c r="F330" s="37">
        <v>3.0</v>
      </c>
      <c r="G330" s="30" t="s">
        <v>1370</v>
      </c>
      <c r="H330" s="10"/>
      <c r="I330" s="37" t="s">
        <v>247</v>
      </c>
      <c r="J330" s="7"/>
      <c r="K330" s="7"/>
      <c r="L330" s="7"/>
      <c r="M330" s="7"/>
      <c r="N330" s="7">
        <f t="shared" si="3"/>
        <v>1</v>
      </c>
      <c r="O330" s="7"/>
    </row>
    <row r="331">
      <c r="A331" s="26" t="s">
        <v>1371</v>
      </c>
      <c r="B331" s="26" t="s">
        <v>1372</v>
      </c>
      <c r="C331" s="26" t="s">
        <v>589</v>
      </c>
      <c r="D331" s="28" t="s">
        <v>1373</v>
      </c>
      <c r="E331" s="37" t="s">
        <v>589</v>
      </c>
      <c r="F331" s="37">
        <v>2.0</v>
      </c>
      <c r="G331" s="30" t="s">
        <v>1374</v>
      </c>
      <c r="H331" s="10"/>
      <c r="I331" s="37" t="s">
        <v>461</v>
      </c>
      <c r="J331" s="7"/>
      <c r="K331" s="7"/>
      <c r="L331" s="7"/>
      <c r="M331" s="7"/>
      <c r="N331" s="7">
        <f t="shared" si="3"/>
        <v>1</v>
      </c>
      <c r="O331" s="7"/>
    </row>
    <row r="332">
      <c r="A332" s="26" t="s">
        <v>1375</v>
      </c>
      <c r="B332" s="26" t="s">
        <v>1376</v>
      </c>
      <c r="C332" s="26" t="s">
        <v>584</v>
      </c>
      <c r="D332" s="33" t="s">
        <v>1956</v>
      </c>
      <c r="E332" s="37" t="s">
        <v>589</v>
      </c>
      <c r="F332" s="37">
        <v>3.0</v>
      </c>
      <c r="G332" s="30" t="s">
        <v>1379</v>
      </c>
      <c r="H332" s="10"/>
      <c r="I332" s="37" t="s">
        <v>520</v>
      </c>
      <c r="J332" s="7"/>
      <c r="K332" s="7"/>
      <c r="L332" s="7"/>
      <c r="M332" s="7"/>
      <c r="N332" s="7">
        <f t="shared" si="3"/>
        <v>1</v>
      </c>
      <c r="O332" s="7"/>
    </row>
    <row r="333">
      <c r="A333" s="26" t="s">
        <v>1380</v>
      </c>
      <c r="B333" s="26" t="s">
        <v>1381</v>
      </c>
      <c r="C333" s="26" t="s">
        <v>584</v>
      </c>
      <c r="D333" s="28" t="s">
        <v>1382</v>
      </c>
      <c r="E333" s="37" t="s">
        <v>589</v>
      </c>
      <c r="F333" s="37">
        <v>3.0</v>
      </c>
      <c r="G333" s="30" t="s">
        <v>1383</v>
      </c>
      <c r="H333" s="10"/>
      <c r="I333" s="37" t="s">
        <v>290</v>
      </c>
      <c r="J333" s="7"/>
      <c r="K333" s="7"/>
      <c r="L333" s="7"/>
      <c r="M333" s="7"/>
      <c r="N333" s="7">
        <f t="shared" si="3"/>
        <v>1</v>
      </c>
      <c r="O333" s="7"/>
    </row>
    <row r="334">
      <c r="A334" s="26" t="s">
        <v>1384</v>
      </c>
      <c r="B334" s="26" t="s">
        <v>1385</v>
      </c>
      <c r="C334" s="26" t="s">
        <v>584</v>
      </c>
      <c r="D334" s="28" t="s">
        <v>1386</v>
      </c>
      <c r="E334" s="37" t="s">
        <v>589</v>
      </c>
      <c r="F334" s="37">
        <v>2.0</v>
      </c>
      <c r="G334" s="30" t="s">
        <v>1387</v>
      </c>
      <c r="H334" s="10"/>
      <c r="I334" s="37"/>
      <c r="J334" s="7"/>
      <c r="K334" s="7"/>
      <c r="L334" s="7"/>
      <c r="M334" s="7"/>
      <c r="N334" s="7">
        <f t="shared" si="3"/>
        <v>1</v>
      </c>
      <c r="O334" s="7"/>
    </row>
    <row r="335">
      <c r="A335" s="26" t="s">
        <v>1388</v>
      </c>
      <c r="B335" s="26" t="s">
        <v>1389</v>
      </c>
      <c r="C335" s="26" t="s">
        <v>584</v>
      </c>
      <c r="D335" s="33" t="s">
        <v>1959</v>
      </c>
      <c r="E335" s="37" t="s">
        <v>589</v>
      </c>
      <c r="F335" s="37">
        <v>2.0</v>
      </c>
      <c r="G335" s="30" t="s">
        <v>1391</v>
      </c>
      <c r="H335" s="10"/>
      <c r="I335" s="37" t="s">
        <v>374</v>
      </c>
      <c r="J335" s="7"/>
      <c r="K335" s="7"/>
      <c r="L335" s="7"/>
      <c r="M335" s="7"/>
      <c r="N335" s="7">
        <f t="shared" si="3"/>
        <v>1</v>
      </c>
      <c r="O335" s="7"/>
    </row>
    <row r="336">
      <c r="A336" s="26" t="s">
        <v>1392</v>
      </c>
      <c r="B336" s="26" t="s">
        <v>1393</v>
      </c>
      <c r="C336" s="26" t="s">
        <v>584</v>
      </c>
      <c r="D336" s="33" t="s">
        <v>1961</v>
      </c>
      <c r="E336" s="37" t="s">
        <v>589</v>
      </c>
      <c r="F336" s="37">
        <v>2.0</v>
      </c>
      <c r="G336" s="30" t="s">
        <v>1395</v>
      </c>
      <c r="H336" s="10"/>
      <c r="I336" s="37"/>
      <c r="J336" s="7"/>
      <c r="K336" s="7"/>
      <c r="L336" s="7"/>
      <c r="M336" s="7"/>
      <c r="N336" s="7">
        <f t="shared" si="3"/>
        <v>1</v>
      </c>
      <c r="O336" s="7"/>
    </row>
    <row r="337">
      <c r="A337" s="26" t="s">
        <v>1396</v>
      </c>
      <c r="B337" s="26" t="s">
        <v>1397</v>
      </c>
      <c r="C337" s="26" t="s">
        <v>589</v>
      </c>
      <c r="D337" s="28" t="s">
        <v>1088</v>
      </c>
      <c r="E337" s="37" t="s">
        <v>589</v>
      </c>
      <c r="F337" s="37">
        <v>3.0</v>
      </c>
      <c r="G337" s="30" t="s">
        <v>1398</v>
      </c>
      <c r="H337" s="10"/>
      <c r="I337" s="37"/>
      <c r="J337" s="7"/>
      <c r="K337" s="7"/>
      <c r="L337" s="7"/>
      <c r="M337" s="7"/>
      <c r="N337" s="7">
        <f t="shared" si="3"/>
        <v>1</v>
      </c>
      <c r="O337" s="7"/>
    </row>
    <row r="338">
      <c r="A338" s="26" t="s">
        <v>1399</v>
      </c>
      <c r="B338" s="26" t="s">
        <v>1397</v>
      </c>
      <c r="C338" s="26" t="s">
        <v>589</v>
      </c>
      <c r="D338" s="28" t="s">
        <v>1088</v>
      </c>
      <c r="E338" s="37" t="s">
        <v>589</v>
      </c>
      <c r="F338" s="37">
        <v>3.0</v>
      </c>
      <c r="G338" s="30" t="s">
        <v>1400</v>
      </c>
      <c r="H338" s="10"/>
      <c r="I338" s="37" t="s">
        <v>391</v>
      </c>
      <c r="J338" s="7"/>
      <c r="K338" s="7"/>
      <c r="L338" s="7"/>
      <c r="M338" s="7"/>
      <c r="N338" s="7">
        <f t="shared" si="3"/>
        <v>1</v>
      </c>
      <c r="O338" s="7"/>
    </row>
    <row r="339">
      <c r="A339" s="37" t="s">
        <v>1401</v>
      </c>
      <c r="B339" s="37" t="s">
        <v>1402</v>
      </c>
      <c r="C339" s="37" t="s">
        <v>584</v>
      </c>
      <c r="D339" s="37" t="s">
        <v>595</v>
      </c>
      <c r="E339" s="37" t="s">
        <v>589</v>
      </c>
      <c r="F339" s="37">
        <v>4.0</v>
      </c>
      <c r="G339" s="30" t="s">
        <v>1403</v>
      </c>
      <c r="H339" s="10"/>
      <c r="I339" s="37" t="s">
        <v>1404</v>
      </c>
      <c r="J339" s="7"/>
      <c r="K339" s="7"/>
      <c r="L339" s="7"/>
      <c r="M339" s="7"/>
      <c r="N339" s="7">
        <f t="shared" si="3"/>
        <v>1</v>
      </c>
      <c r="O339" s="7"/>
    </row>
    <row r="340">
      <c r="A340" s="37" t="s">
        <v>1405</v>
      </c>
      <c r="B340" s="37" t="s">
        <v>1406</v>
      </c>
      <c r="C340" s="37" t="s">
        <v>589</v>
      </c>
      <c r="D340" s="37" t="s">
        <v>1407</v>
      </c>
      <c r="E340" s="37" t="s">
        <v>589</v>
      </c>
      <c r="F340" s="37">
        <v>3.0</v>
      </c>
      <c r="G340" s="30" t="s">
        <v>1408</v>
      </c>
      <c r="H340" s="10"/>
      <c r="I340" s="37" t="s">
        <v>280</v>
      </c>
      <c r="J340" s="7"/>
      <c r="K340" s="7"/>
      <c r="L340" s="7"/>
      <c r="M340" s="7"/>
      <c r="N340" s="7">
        <f t="shared" si="3"/>
        <v>1</v>
      </c>
      <c r="O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22"/>
      <c r="B342" s="7"/>
      <c r="C342" s="7"/>
      <c r="D342" s="7"/>
      <c r="E342" s="7"/>
      <c r="F342" s="7"/>
      <c r="G342" s="7"/>
      <c r="H342" s="7"/>
      <c r="I342" s="7"/>
      <c r="J342" s="7"/>
      <c r="K342" s="7"/>
      <c r="L342" s="7"/>
      <c r="M342" s="7"/>
      <c r="N342" s="7"/>
      <c r="O342" s="7">
        <f>SUM(N324:N341)</f>
        <v>17</v>
      </c>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f>SUM(O342,O322,O124)</f>
        <v>224</v>
      </c>
      <c r="O345" s="7"/>
      <c r="P345" s="7"/>
      <c r="Q345" s="7"/>
      <c r="R345" s="7"/>
      <c r="S345" s="7"/>
      <c r="T345" s="7"/>
      <c r="U345" s="7"/>
      <c r="V345" s="7"/>
      <c r="W345" s="7"/>
      <c r="X345" s="7"/>
      <c r="Y345" s="7"/>
      <c r="Z345" s="7"/>
    </row>
    <row r="346">
      <c r="A346" s="39" t="s">
        <v>1440</v>
      </c>
      <c r="B346" s="40"/>
      <c r="C346" s="41" t="s">
        <v>1441</v>
      </c>
      <c r="D346" s="42"/>
      <c r="E346" s="43" t="s">
        <v>1442</v>
      </c>
      <c r="F346" s="43" t="s">
        <v>1443</v>
      </c>
      <c r="G346" s="44" t="s">
        <v>1444</v>
      </c>
      <c r="H346" s="45"/>
      <c r="I346" s="46"/>
      <c r="J346" s="47" t="s">
        <v>1445</v>
      </c>
      <c r="K346" s="7"/>
      <c r="L346" s="7"/>
      <c r="M346" s="7"/>
      <c r="N346" s="7">
        <f>COUNT(N2:N340)</f>
        <v>334</v>
      </c>
      <c r="O346" s="22"/>
    </row>
    <row r="347">
      <c r="A347" s="48" t="s">
        <v>1446</v>
      </c>
      <c r="B347" s="10"/>
      <c r="C347" s="49" t="s">
        <v>1447</v>
      </c>
      <c r="D347" s="50"/>
      <c r="E347" s="51" t="s">
        <v>1448</v>
      </c>
      <c r="F347" s="51">
        <v>0.5</v>
      </c>
      <c r="G347" s="52"/>
      <c r="H347" s="13"/>
      <c r="I347" s="10"/>
      <c r="J347" s="6" t="s">
        <v>589</v>
      </c>
      <c r="K347" s="7"/>
      <c r="L347" s="7"/>
      <c r="M347" s="7"/>
      <c r="N347" s="7">
        <f>N345/N346</f>
        <v>0.6706586826</v>
      </c>
      <c r="O347" s="7"/>
    </row>
    <row r="348">
      <c r="A348" s="53" t="s">
        <v>1452</v>
      </c>
      <c r="B348" s="54"/>
      <c r="C348" s="55" t="s">
        <v>1447</v>
      </c>
      <c r="D348" s="50"/>
      <c r="E348" s="56" t="s">
        <v>1448</v>
      </c>
      <c r="F348" s="56">
        <v>2.0</v>
      </c>
      <c r="G348" s="57"/>
      <c r="H348" s="58"/>
      <c r="I348" s="54"/>
      <c r="J348" s="6" t="s">
        <v>589</v>
      </c>
      <c r="K348" s="7"/>
      <c r="L348" s="7"/>
      <c r="M348" s="7"/>
      <c r="N348" s="7"/>
      <c r="O348" s="7"/>
    </row>
    <row r="349">
      <c r="A349" s="48" t="s">
        <v>1453</v>
      </c>
      <c r="B349" s="10"/>
      <c r="C349" s="49" t="s">
        <v>1454</v>
      </c>
      <c r="D349" s="50"/>
      <c r="E349" s="51" t="s">
        <v>1448</v>
      </c>
      <c r="F349" s="51">
        <v>10.0</v>
      </c>
      <c r="G349" s="52"/>
      <c r="H349" s="13"/>
      <c r="I349" s="10"/>
      <c r="J349" s="6" t="s">
        <v>584</v>
      </c>
      <c r="K349" s="7"/>
      <c r="L349" s="7"/>
      <c r="M349" s="7"/>
      <c r="N349" s="7"/>
      <c r="O349" s="7"/>
    </row>
    <row r="350">
      <c r="A350" s="48" t="s">
        <v>1455</v>
      </c>
      <c r="B350" s="10"/>
      <c r="C350" s="49" t="s">
        <v>1456</v>
      </c>
      <c r="D350" s="50"/>
      <c r="E350" s="51" t="s">
        <v>1448</v>
      </c>
      <c r="F350" s="51">
        <v>20.0</v>
      </c>
      <c r="G350" s="52"/>
      <c r="H350" s="13"/>
      <c r="I350" s="10"/>
      <c r="J350" s="6" t="s">
        <v>584</v>
      </c>
      <c r="K350" s="7"/>
      <c r="L350" s="7"/>
      <c r="M350" s="7"/>
      <c r="N350" s="7"/>
      <c r="O350" s="7"/>
    </row>
    <row r="351">
      <c r="A351" s="48" t="s">
        <v>1457</v>
      </c>
      <c r="B351" s="10"/>
      <c r="C351" s="49" t="s">
        <v>1456</v>
      </c>
      <c r="D351" s="50"/>
      <c r="E351" s="51" t="s">
        <v>1448</v>
      </c>
      <c r="F351" s="51">
        <v>30.0</v>
      </c>
      <c r="G351" s="52"/>
      <c r="H351" s="13"/>
      <c r="I351" s="10"/>
      <c r="J351" s="6" t="s">
        <v>584</v>
      </c>
      <c r="K351" s="7"/>
      <c r="L351" s="7"/>
      <c r="M351" s="7"/>
      <c r="N351" s="7"/>
      <c r="O351" s="7"/>
    </row>
    <row r="352">
      <c r="A352" s="48" t="s">
        <v>1458</v>
      </c>
      <c r="B352" s="10"/>
      <c r="C352" s="49" t="s">
        <v>1447</v>
      </c>
      <c r="D352" s="50"/>
      <c r="E352" s="51" t="s">
        <v>1448</v>
      </c>
      <c r="F352" s="51">
        <v>1.0</v>
      </c>
      <c r="G352" s="52"/>
      <c r="H352" s="13"/>
      <c r="I352" s="10"/>
      <c r="J352" s="6" t="s">
        <v>589</v>
      </c>
      <c r="K352" s="7"/>
      <c r="L352" s="7"/>
      <c r="M352" s="7"/>
      <c r="N352" s="7"/>
      <c r="O352" s="7"/>
    </row>
    <row r="353">
      <c r="A353" s="48" t="s">
        <v>1459</v>
      </c>
      <c r="B353" s="10"/>
      <c r="C353" s="49" t="s">
        <v>1447</v>
      </c>
      <c r="D353" s="50"/>
      <c r="E353" s="51" t="s">
        <v>1448</v>
      </c>
      <c r="F353" s="51">
        <v>4.0</v>
      </c>
      <c r="G353" s="52"/>
      <c r="H353" s="13"/>
      <c r="I353" s="10"/>
      <c r="J353" s="6" t="s">
        <v>589</v>
      </c>
      <c r="K353" s="7"/>
      <c r="L353" s="7"/>
      <c r="M353" s="7"/>
      <c r="N353" s="7"/>
      <c r="O353" s="7"/>
    </row>
    <row r="354">
      <c r="A354" s="48" t="s">
        <v>1460</v>
      </c>
      <c r="B354" s="10"/>
      <c r="C354" s="49" t="s">
        <v>1463</v>
      </c>
      <c r="D354" s="50"/>
      <c r="E354" s="51" t="s">
        <v>1448</v>
      </c>
      <c r="F354" s="51">
        <v>50.0</v>
      </c>
      <c r="G354" s="52"/>
      <c r="H354" s="13"/>
      <c r="I354" s="10"/>
      <c r="J354" s="6" t="s">
        <v>584</v>
      </c>
      <c r="K354" s="7"/>
      <c r="L354" s="7"/>
      <c r="M354" s="7"/>
      <c r="N354" s="7"/>
      <c r="O354" s="7"/>
    </row>
    <row r="355">
      <c r="A355" s="48" t="s">
        <v>1464</v>
      </c>
      <c r="B355" s="10"/>
      <c r="C355" s="49" t="s">
        <v>1447</v>
      </c>
      <c r="D355" s="50"/>
      <c r="E355" s="51" t="s">
        <v>1448</v>
      </c>
      <c r="F355" s="51">
        <v>2.0</v>
      </c>
      <c r="G355" s="52"/>
      <c r="H355" s="13"/>
      <c r="I355" s="10"/>
      <c r="J355" s="6" t="s">
        <v>589</v>
      </c>
      <c r="K355" s="7"/>
      <c r="L355" s="7"/>
      <c r="M355" s="7"/>
      <c r="N355" s="7"/>
      <c r="O355" s="7"/>
    </row>
    <row r="356">
      <c r="A356" s="48" t="s">
        <v>1180</v>
      </c>
      <c r="B356" s="10"/>
      <c r="C356" s="49"/>
      <c r="D356" s="50"/>
      <c r="E356" s="51" t="s">
        <v>1448</v>
      </c>
      <c r="F356" s="51">
        <v>50.0</v>
      </c>
      <c r="G356" s="52" t="s">
        <v>1465</v>
      </c>
      <c r="H356" s="13"/>
      <c r="I356" s="10"/>
      <c r="J356" s="6" t="s">
        <v>584</v>
      </c>
      <c r="K356" s="7"/>
      <c r="L356" s="7"/>
      <c r="M356" s="7"/>
      <c r="N356" s="7"/>
      <c r="O356" s="7"/>
    </row>
    <row r="357">
      <c r="A357" s="48" t="s">
        <v>1466</v>
      </c>
      <c r="B357" s="10"/>
      <c r="C357" s="49" t="s">
        <v>1463</v>
      </c>
      <c r="D357" s="50"/>
      <c r="E357" s="51" t="s">
        <v>1448</v>
      </c>
      <c r="F357" s="51">
        <v>30.0</v>
      </c>
      <c r="G357" s="52"/>
      <c r="H357" s="13"/>
      <c r="I357" s="10"/>
      <c r="J357" s="6" t="s">
        <v>584</v>
      </c>
      <c r="K357" s="7"/>
      <c r="L357" s="7"/>
      <c r="M357" s="7"/>
      <c r="N357" s="7"/>
      <c r="O357" s="7"/>
    </row>
    <row r="358">
      <c r="A358" s="48" t="s">
        <v>1467</v>
      </c>
      <c r="B358" s="10"/>
      <c r="C358" s="49" t="s">
        <v>1447</v>
      </c>
      <c r="D358" s="50"/>
      <c r="E358" s="51" t="s">
        <v>1448</v>
      </c>
      <c r="F358" s="51">
        <v>3.0</v>
      </c>
      <c r="G358" s="52"/>
      <c r="H358" s="13"/>
      <c r="I358" s="10"/>
      <c r="J358" s="6" t="s">
        <v>584</v>
      </c>
      <c r="K358" s="7"/>
      <c r="L358" s="7"/>
      <c r="M358" s="7"/>
      <c r="N358" s="7"/>
      <c r="O358" s="7"/>
    </row>
    <row r="359">
      <c r="A359" s="48" t="s">
        <v>1468</v>
      </c>
      <c r="B359" s="10"/>
      <c r="C359" s="59"/>
      <c r="D359" s="50"/>
      <c r="E359" s="51" t="s">
        <v>1469</v>
      </c>
      <c r="F359" s="51" t="s">
        <v>1470</v>
      </c>
      <c r="G359" s="52" t="s">
        <v>1471</v>
      </c>
      <c r="H359" s="13"/>
      <c r="I359" s="10"/>
      <c r="J359" s="6" t="s">
        <v>589</v>
      </c>
      <c r="K359" s="7"/>
      <c r="L359" s="7"/>
      <c r="M359" s="7"/>
      <c r="N359" s="7"/>
      <c r="O359" s="7"/>
    </row>
    <row r="360">
      <c r="A360" s="48" t="s">
        <v>1472</v>
      </c>
      <c r="B360" s="10"/>
      <c r="C360" s="59"/>
      <c r="D360" s="50"/>
      <c r="E360" s="51" t="s">
        <v>1473</v>
      </c>
      <c r="F360" s="51" t="s">
        <v>1474</v>
      </c>
      <c r="G360" s="52" t="s">
        <v>1475</v>
      </c>
      <c r="H360" s="13"/>
      <c r="I360" s="10"/>
      <c r="J360" s="6" t="s">
        <v>1450</v>
      </c>
      <c r="K360" s="7"/>
      <c r="L360" s="7"/>
      <c r="M360" s="7"/>
      <c r="N360" s="7"/>
      <c r="O360" s="7"/>
    </row>
    <row r="361">
      <c r="A361" s="48" t="s">
        <v>1476</v>
      </c>
      <c r="B361" s="10"/>
      <c r="C361" s="59"/>
      <c r="D361" s="50"/>
      <c r="E361" s="51" t="s">
        <v>1477</v>
      </c>
      <c r="F361" s="51" t="s">
        <v>710</v>
      </c>
      <c r="G361" s="52" t="s">
        <v>1478</v>
      </c>
      <c r="H361" s="13"/>
      <c r="I361" s="10"/>
      <c r="J361" s="6" t="s">
        <v>584</v>
      </c>
      <c r="K361" s="7"/>
      <c r="L361" s="7"/>
      <c r="M361" s="7"/>
      <c r="N361" s="7"/>
      <c r="O361" s="7"/>
    </row>
    <row r="362">
      <c r="A362" s="48" t="s">
        <v>1479</v>
      </c>
      <c r="B362" s="10"/>
      <c r="C362" s="49" t="s">
        <v>1480</v>
      </c>
      <c r="D362" s="50"/>
      <c r="E362" s="51" t="s">
        <v>1482</v>
      </c>
      <c r="F362" s="51">
        <v>0.03</v>
      </c>
      <c r="G362" s="52" t="s">
        <v>1483</v>
      </c>
      <c r="H362" s="13"/>
      <c r="I362" s="10"/>
      <c r="J362" s="6" t="s">
        <v>589</v>
      </c>
      <c r="K362" s="7"/>
      <c r="L362" s="7"/>
      <c r="M362" s="7"/>
      <c r="N362" s="7"/>
      <c r="O362" s="7"/>
    </row>
    <row r="363">
      <c r="A363" s="48" t="s">
        <v>1484</v>
      </c>
      <c r="B363" s="10"/>
      <c r="C363" s="49" t="s">
        <v>1485</v>
      </c>
      <c r="D363" s="60"/>
      <c r="E363" s="51" t="s">
        <v>1486</v>
      </c>
      <c r="F363" s="51">
        <v>20.0</v>
      </c>
      <c r="G363" s="52" t="s">
        <v>1487</v>
      </c>
      <c r="H363" s="13"/>
      <c r="I363" s="10"/>
      <c r="J363" s="6" t="s">
        <v>584</v>
      </c>
      <c r="K363" s="7"/>
      <c r="L363" s="7"/>
      <c r="M363" s="7"/>
      <c r="N363" s="7"/>
      <c r="O363" s="7"/>
    </row>
    <row r="364">
      <c r="A364" s="48" t="s">
        <v>1488</v>
      </c>
      <c r="B364" s="10"/>
      <c r="C364" s="49" t="s">
        <v>1447</v>
      </c>
      <c r="D364" s="60"/>
      <c r="E364" s="51" t="s">
        <v>1489</v>
      </c>
      <c r="F364" s="51">
        <v>20.0</v>
      </c>
      <c r="G364" s="52" t="s">
        <v>1490</v>
      </c>
      <c r="H364" s="13"/>
      <c r="I364" s="10"/>
      <c r="J364" s="6" t="s">
        <v>1450</v>
      </c>
      <c r="K364" s="7"/>
      <c r="L364" s="7"/>
      <c r="M364" s="7"/>
      <c r="N364" s="7"/>
      <c r="O364" s="7"/>
    </row>
    <row r="365">
      <c r="A365" s="48" t="s">
        <v>1491</v>
      </c>
      <c r="B365" s="10"/>
      <c r="C365" s="49" t="s">
        <v>1447</v>
      </c>
      <c r="D365" s="60"/>
      <c r="E365" s="51" t="s">
        <v>1492</v>
      </c>
      <c r="F365" s="51">
        <v>30.0</v>
      </c>
      <c r="G365" s="52" t="s">
        <v>1493</v>
      </c>
      <c r="H365" s="13"/>
      <c r="I365" s="10"/>
      <c r="J365" s="6" t="s">
        <v>1450</v>
      </c>
      <c r="K365" s="7"/>
      <c r="L365" s="7"/>
      <c r="M365" s="7"/>
      <c r="N365" s="7"/>
      <c r="O365" s="7"/>
    </row>
    <row r="366">
      <c r="A366" s="48" t="s">
        <v>1494</v>
      </c>
      <c r="B366" s="10"/>
      <c r="C366" s="59"/>
      <c r="D366" s="60"/>
      <c r="E366" s="51" t="s">
        <v>1495</v>
      </c>
      <c r="F366" s="51" t="s">
        <v>1496</v>
      </c>
      <c r="G366" s="52" t="s">
        <v>1497</v>
      </c>
      <c r="H366" s="13"/>
      <c r="I366" s="10"/>
      <c r="J366" s="6" t="s">
        <v>1450</v>
      </c>
      <c r="K366" s="7"/>
      <c r="L366" s="7"/>
      <c r="M366" s="7"/>
      <c r="N366" s="7"/>
      <c r="O366" s="7"/>
    </row>
    <row r="367">
      <c r="A367" s="48" t="s">
        <v>188</v>
      </c>
      <c r="B367" s="10"/>
      <c r="C367" s="49" t="s">
        <v>1463</v>
      </c>
      <c r="D367" s="60"/>
      <c r="E367" s="51" t="s">
        <v>1498</v>
      </c>
      <c r="F367" s="51" t="s">
        <v>1470</v>
      </c>
      <c r="G367" s="52" t="s">
        <v>1499</v>
      </c>
      <c r="H367" s="13"/>
      <c r="I367" s="10"/>
      <c r="J367" s="6" t="s">
        <v>1450</v>
      </c>
      <c r="K367" s="7"/>
      <c r="L367" s="7"/>
      <c r="M367" s="7"/>
      <c r="N367" s="7"/>
      <c r="O367" s="7"/>
    </row>
    <row r="368">
      <c r="A368" s="48" t="s">
        <v>1500</v>
      </c>
      <c r="B368" s="10"/>
      <c r="C368" s="59"/>
      <c r="D368" s="60"/>
      <c r="E368" s="51" t="s">
        <v>1501</v>
      </c>
      <c r="F368" s="51" t="s">
        <v>1470</v>
      </c>
      <c r="G368" s="52" t="s">
        <v>1502</v>
      </c>
      <c r="H368" s="13"/>
      <c r="I368" s="10"/>
      <c r="J368" s="6" t="s">
        <v>589</v>
      </c>
      <c r="K368" s="7"/>
      <c r="L368" s="7"/>
      <c r="M368" s="7"/>
      <c r="N368" s="7"/>
      <c r="O368" s="7"/>
    </row>
    <row r="369">
      <c r="A369" s="48" t="s">
        <v>1144</v>
      </c>
      <c r="B369" s="10"/>
      <c r="C369" s="59"/>
      <c r="D369" s="60"/>
      <c r="E369" s="51" t="s">
        <v>1501</v>
      </c>
      <c r="F369" s="51" t="s">
        <v>1503</v>
      </c>
      <c r="G369" s="61"/>
      <c r="H369" s="58"/>
      <c r="I369" s="54"/>
      <c r="J369" s="6" t="s">
        <v>589</v>
      </c>
      <c r="K369" s="7"/>
      <c r="L369" s="7"/>
      <c r="M369" s="7"/>
      <c r="N369" s="7"/>
      <c r="O369" s="7"/>
    </row>
    <row r="370">
      <c r="A370" s="48" t="s">
        <v>1504</v>
      </c>
      <c r="B370" s="10"/>
      <c r="C370" s="49" t="s">
        <v>1505</v>
      </c>
      <c r="D370" s="60"/>
      <c r="E370" s="51" t="s">
        <v>1506</v>
      </c>
      <c r="F370" s="51">
        <v>1.2</v>
      </c>
      <c r="G370" s="52" t="s">
        <v>1507</v>
      </c>
      <c r="H370" s="13"/>
      <c r="I370" s="10"/>
      <c r="J370" s="6" t="s">
        <v>589</v>
      </c>
      <c r="K370" s="7"/>
      <c r="L370" s="7"/>
      <c r="M370" s="7"/>
      <c r="N370" s="7"/>
      <c r="O370" s="7"/>
    </row>
    <row r="371">
      <c r="A371" s="48" t="s">
        <v>1419</v>
      </c>
      <c r="B371" s="10"/>
      <c r="C371" s="59"/>
      <c r="D371" s="60"/>
      <c r="E371" s="51" t="s">
        <v>1501</v>
      </c>
      <c r="F371" s="51" t="s">
        <v>1496</v>
      </c>
      <c r="G371" s="52" t="s">
        <v>1508</v>
      </c>
      <c r="H371" s="13"/>
      <c r="I371" s="10"/>
      <c r="J371" s="6" t="s">
        <v>584</v>
      </c>
      <c r="K371" s="7"/>
      <c r="L371" s="7"/>
      <c r="M371" s="7"/>
      <c r="N371" s="7"/>
      <c r="O371" s="7"/>
    </row>
    <row r="372">
      <c r="A372" s="48" t="s">
        <v>1509</v>
      </c>
      <c r="B372" s="10"/>
      <c r="C372" s="49" t="s">
        <v>1969</v>
      </c>
      <c r="D372" s="60"/>
      <c r="E372" s="51" t="s">
        <v>1501</v>
      </c>
      <c r="F372" s="51"/>
      <c r="G372" s="52" t="s">
        <v>1970</v>
      </c>
      <c r="H372" s="13"/>
      <c r="I372" s="10"/>
      <c r="J372" s="6" t="s">
        <v>1450</v>
      </c>
      <c r="K372" s="7"/>
      <c r="L372" s="7"/>
      <c r="M372" s="7"/>
      <c r="N372" s="7"/>
      <c r="O372" s="7"/>
    </row>
    <row r="373">
      <c r="A373" s="48" t="s">
        <v>1511</v>
      </c>
      <c r="B373" s="10"/>
      <c r="C373" s="49" t="s">
        <v>1512</v>
      </c>
      <c r="D373" s="60"/>
      <c r="E373" s="51" t="s">
        <v>1513</v>
      </c>
      <c r="F373" s="51">
        <v>10.0</v>
      </c>
      <c r="G373" s="52" t="s">
        <v>1514</v>
      </c>
      <c r="H373" s="13"/>
      <c r="I373" s="10"/>
      <c r="J373" s="6" t="s">
        <v>584</v>
      </c>
      <c r="K373" s="7"/>
      <c r="L373" s="7"/>
      <c r="M373" s="7"/>
      <c r="N373" s="7"/>
      <c r="O373" s="7"/>
    </row>
    <row r="374">
      <c r="A374" s="48" t="s">
        <v>1515</v>
      </c>
      <c r="B374" s="10"/>
      <c r="C374" s="49" t="s">
        <v>1516</v>
      </c>
      <c r="D374" s="50" t="s">
        <v>1517</v>
      </c>
      <c r="E374" s="51" t="s">
        <v>1482</v>
      </c>
      <c r="F374" s="51" t="s">
        <v>1519</v>
      </c>
      <c r="G374" s="52" t="s">
        <v>1520</v>
      </c>
      <c r="H374" s="13"/>
      <c r="I374" s="10"/>
      <c r="J374" s="6" t="s">
        <v>589</v>
      </c>
      <c r="K374" s="7"/>
      <c r="L374" s="7"/>
      <c r="M374" s="7"/>
      <c r="N374" s="7"/>
      <c r="O374" s="7"/>
    </row>
    <row r="375">
      <c r="A375" s="48" t="s">
        <v>1521</v>
      </c>
      <c r="B375" s="10"/>
      <c r="C375" s="49" t="s">
        <v>1522</v>
      </c>
      <c r="D375" s="62" t="s">
        <v>1523</v>
      </c>
      <c r="E375" s="51" t="s">
        <v>1501</v>
      </c>
      <c r="F375" s="51" t="s">
        <v>1524</v>
      </c>
      <c r="G375" s="52"/>
      <c r="H375" s="13"/>
      <c r="I375" s="10"/>
      <c r="J375" s="6" t="s">
        <v>584</v>
      </c>
      <c r="K375" s="7"/>
      <c r="L375" s="7"/>
      <c r="M375" s="7"/>
      <c r="N375" s="7"/>
      <c r="O375" s="7"/>
    </row>
    <row r="376">
      <c r="A376" s="48" t="s">
        <v>1525</v>
      </c>
      <c r="B376" s="10"/>
      <c r="C376" s="49" t="s">
        <v>1526</v>
      </c>
      <c r="D376" s="60"/>
      <c r="E376" s="51" t="s">
        <v>1527</v>
      </c>
      <c r="F376" s="51" t="s">
        <v>1528</v>
      </c>
      <c r="G376" s="52" t="s">
        <v>1529</v>
      </c>
      <c r="H376" s="13"/>
      <c r="I376" s="10"/>
      <c r="J376" s="6" t="s">
        <v>1450</v>
      </c>
      <c r="K376" s="7"/>
      <c r="L376" s="7"/>
      <c r="M376" s="7"/>
      <c r="N376" s="7"/>
      <c r="O376" s="7"/>
    </row>
    <row r="377">
      <c r="A377" s="48" t="s">
        <v>1530</v>
      </c>
      <c r="B377" s="10"/>
      <c r="C377" s="49" t="s">
        <v>1526</v>
      </c>
      <c r="D377" s="60"/>
      <c r="E377" s="51" t="s">
        <v>1527</v>
      </c>
      <c r="F377" s="51" t="s">
        <v>1531</v>
      </c>
      <c r="G377" s="52" t="s">
        <v>1532</v>
      </c>
      <c r="H377" s="13"/>
      <c r="I377" s="10"/>
      <c r="J377" s="6" t="s">
        <v>1450</v>
      </c>
      <c r="K377" s="7"/>
      <c r="L377" s="7"/>
      <c r="M377" s="7"/>
      <c r="N377" s="7"/>
      <c r="O377" s="7"/>
    </row>
    <row r="378">
      <c r="A378" s="48" t="s">
        <v>1533</v>
      </c>
      <c r="B378" s="10"/>
      <c r="C378" s="49" t="s">
        <v>1534</v>
      </c>
      <c r="D378" s="60"/>
      <c r="E378" s="51" t="s">
        <v>1535</v>
      </c>
      <c r="F378" s="51">
        <v>3.0</v>
      </c>
      <c r="G378" s="52" t="s">
        <v>1536</v>
      </c>
      <c r="H378" s="13"/>
      <c r="I378" s="10"/>
      <c r="J378" s="6" t="s">
        <v>584</v>
      </c>
      <c r="K378" s="7"/>
      <c r="L378" s="7"/>
      <c r="M378" s="7"/>
      <c r="N378" s="7"/>
      <c r="O378" s="7"/>
    </row>
    <row r="379">
      <c r="A379" s="48" t="s">
        <v>1537</v>
      </c>
      <c r="B379" s="10"/>
      <c r="C379" s="49" t="s">
        <v>1538</v>
      </c>
      <c r="D379" s="60"/>
      <c r="E379" s="51" t="s">
        <v>1539</v>
      </c>
      <c r="F379" s="51">
        <v>8.0</v>
      </c>
      <c r="G379" s="52" t="s">
        <v>1540</v>
      </c>
      <c r="H379" s="13"/>
      <c r="I379" s="10"/>
      <c r="J379" s="6" t="s">
        <v>584</v>
      </c>
      <c r="K379" s="7"/>
      <c r="L379" s="7"/>
      <c r="M379" s="7"/>
      <c r="N379" s="7"/>
      <c r="O379" s="7"/>
    </row>
    <row r="380">
      <c r="A380" s="48" t="s">
        <v>1541</v>
      </c>
      <c r="B380" s="10"/>
      <c r="C380" s="49" t="s">
        <v>1542</v>
      </c>
      <c r="D380" s="60"/>
      <c r="E380" s="51" t="s">
        <v>1543</v>
      </c>
      <c r="F380" s="51">
        <v>2.0</v>
      </c>
      <c r="G380" s="52" t="s">
        <v>1544</v>
      </c>
      <c r="H380" s="13"/>
      <c r="I380" s="10"/>
      <c r="J380" s="6" t="s">
        <v>584</v>
      </c>
      <c r="K380" s="7"/>
      <c r="L380" s="7"/>
      <c r="M380" s="7"/>
      <c r="N380" s="7"/>
      <c r="O380" s="7"/>
    </row>
    <row r="381">
      <c r="A381" s="48" t="s">
        <v>1545</v>
      </c>
      <c r="B381" s="10"/>
      <c r="C381" s="49" t="s">
        <v>1546</v>
      </c>
      <c r="D381" s="60"/>
      <c r="E381" s="51" t="s">
        <v>1547</v>
      </c>
      <c r="F381" s="51">
        <v>5.0</v>
      </c>
      <c r="G381" s="52" t="s">
        <v>1548</v>
      </c>
      <c r="H381" s="13"/>
      <c r="I381" s="10"/>
      <c r="J381" s="6" t="s">
        <v>584</v>
      </c>
      <c r="K381" s="7"/>
      <c r="L381" s="7"/>
      <c r="M381" s="7"/>
      <c r="N381" s="7"/>
      <c r="O381" s="7"/>
    </row>
    <row r="382">
      <c r="A382" s="48" t="s">
        <v>1549</v>
      </c>
      <c r="B382" s="10"/>
      <c r="C382" s="49" t="s">
        <v>1550</v>
      </c>
      <c r="D382" s="60"/>
      <c r="E382" s="51" t="s">
        <v>1551</v>
      </c>
      <c r="F382" s="51">
        <v>14.0</v>
      </c>
      <c r="G382" s="52" t="s">
        <v>1552</v>
      </c>
      <c r="H382" s="13"/>
      <c r="I382" s="10"/>
      <c r="J382" s="6" t="s">
        <v>584</v>
      </c>
      <c r="K382" s="7"/>
      <c r="L382" s="7"/>
      <c r="M382" s="7"/>
      <c r="N382" s="7"/>
      <c r="O382" s="7"/>
    </row>
    <row r="383">
      <c r="A383" s="48" t="s">
        <v>1140</v>
      </c>
      <c r="B383" s="10"/>
      <c r="C383" s="59"/>
      <c r="D383" s="50" t="s">
        <v>166</v>
      </c>
      <c r="E383" s="51" t="s">
        <v>1553</v>
      </c>
      <c r="F383" s="51" t="s">
        <v>1554</v>
      </c>
      <c r="G383" s="52" t="s">
        <v>1555</v>
      </c>
      <c r="H383" s="13"/>
      <c r="I383" s="10"/>
      <c r="J383" s="6" t="s">
        <v>584</v>
      </c>
      <c r="K383" s="7"/>
      <c r="L383" s="7"/>
      <c r="M383" s="7"/>
      <c r="N383" s="7"/>
      <c r="O383" s="7"/>
    </row>
    <row r="384">
      <c r="A384" s="48" t="s">
        <v>1556</v>
      </c>
      <c r="B384" s="10"/>
      <c r="C384" s="49" t="s">
        <v>1485</v>
      </c>
      <c r="D384" s="60"/>
      <c r="E384" s="51" t="s">
        <v>1557</v>
      </c>
      <c r="F384" s="51">
        <v>5.0</v>
      </c>
      <c r="G384" s="52" t="s">
        <v>1558</v>
      </c>
      <c r="H384" s="13"/>
      <c r="I384" s="10"/>
      <c r="J384" s="6" t="s">
        <v>584</v>
      </c>
      <c r="K384" s="7"/>
      <c r="L384" s="7"/>
      <c r="M384" s="7"/>
      <c r="N384" s="7"/>
      <c r="O384" s="7"/>
    </row>
    <row r="385">
      <c r="A385" s="48" t="s">
        <v>912</v>
      </c>
      <c r="B385" s="10"/>
      <c r="C385" s="59"/>
      <c r="D385" s="60"/>
      <c r="E385" s="51" t="s">
        <v>1559</v>
      </c>
      <c r="F385" s="51" t="s">
        <v>1554</v>
      </c>
      <c r="G385" s="52" t="s">
        <v>1560</v>
      </c>
      <c r="H385" s="13"/>
      <c r="I385" s="10"/>
      <c r="J385" s="6" t="s">
        <v>584</v>
      </c>
      <c r="K385" s="7"/>
      <c r="L385" s="7"/>
      <c r="M385" s="7"/>
      <c r="N385" s="7"/>
      <c r="O385" s="7"/>
    </row>
    <row r="386">
      <c r="A386" s="48" t="s">
        <v>154</v>
      </c>
      <c r="B386" s="10"/>
      <c r="C386" s="59"/>
      <c r="D386" s="60"/>
      <c r="E386" s="51" t="s">
        <v>1561</v>
      </c>
      <c r="F386" s="51" t="s">
        <v>710</v>
      </c>
      <c r="G386" s="52" t="s">
        <v>1562</v>
      </c>
      <c r="H386" s="13"/>
      <c r="I386" s="10"/>
      <c r="J386" s="6" t="s">
        <v>584</v>
      </c>
      <c r="K386" s="7"/>
      <c r="L386" s="7"/>
      <c r="M386" s="7"/>
      <c r="N386" s="7"/>
      <c r="O386" s="7"/>
    </row>
    <row r="387">
      <c r="A387" s="48" t="s">
        <v>1563</v>
      </c>
      <c r="B387" s="10"/>
      <c r="C387" s="59"/>
      <c r="D387" s="60"/>
      <c r="E387" s="51" t="s">
        <v>1561</v>
      </c>
      <c r="F387" s="51" t="s">
        <v>710</v>
      </c>
      <c r="G387" s="52" t="s">
        <v>1564</v>
      </c>
      <c r="H387" s="13"/>
      <c r="I387" s="10"/>
      <c r="J387" s="6" t="s">
        <v>584</v>
      </c>
      <c r="K387" s="7"/>
      <c r="L387" s="7"/>
      <c r="M387" s="7"/>
      <c r="N387" s="7"/>
      <c r="O387" s="7"/>
    </row>
    <row r="388">
      <c r="A388" s="48" t="s">
        <v>1176</v>
      </c>
      <c r="B388" s="10"/>
      <c r="C388" s="59"/>
      <c r="D388" s="60"/>
      <c r="E388" s="51" t="s">
        <v>1561</v>
      </c>
      <c r="F388" s="51" t="s">
        <v>710</v>
      </c>
      <c r="G388" s="52" t="s">
        <v>1566</v>
      </c>
      <c r="H388" s="13"/>
      <c r="I388" s="10"/>
      <c r="J388" s="6" t="s">
        <v>584</v>
      </c>
      <c r="K388" s="7"/>
      <c r="L388" s="7"/>
      <c r="M388" s="7"/>
      <c r="N388" s="7"/>
      <c r="O388" s="7"/>
    </row>
    <row r="389">
      <c r="A389" s="48" t="s">
        <v>1567</v>
      </c>
      <c r="B389" s="10"/>
      <c r="C389" s="59"/>
      <c r="D389" s="60"/>
      <c r="E389" s="51" t="s">
        <v>1568</v>
      </c>
      <c r="F389" s="51" t="s">
        <v>1554</v>
      </c>
      <c r="G389" s="52" t="s">
        <v>1971</v>
      </c>
      <c r="H389" s="13"/>
      <c r="I389" s="10"/>
      <c r="J389" s="6" t="s">
        <v>584</v>
      </c>
      <c r="K389" s="7"/>
      <c r="L389" s="7"/>
      <c r="M389" s="7"/>
      <c r="N389" s="7"/>
      <c r="O389" s="7"/>
    </row>
    <row r="390">
      <c r="A390" s="48" t="s">
        <v>31</v>
      </c>
      <c r="B390" s="10"/>
      <c r="C390" s="59"/>
      <c r="D390" s="60"/>
      <c r="E390" s="51" t="s">
        <v>1570</v>
      </c>
      <c r="F390" s="51"/>
      <c r="G390" s="52" t="s">
        <v>1571</v>
      </c>
      <c r="H390" s="13"/>
      <c r="I390" s="10"/>
      <c r="J390" s="6" t="s">
        <v>584</v>
      </c>
      <c r="K390" s="7"/>
      <c r="L390" s="7"/>
      <c r="M390" s="7"/>
      <c r="N390" s="7"/>
      <c r="O390" s="7"/>
    </row>
    <row r="391">
      <c r="A391" s="48" t="s">
        <v>722</v>
      </c>
      <c r="B391" s="10"/>
      <c r="C391" s="59"/>
      <c r="D391" s="60"/>
      <c r="E391" s="51" t="s">
        <v>1572</v>
      </c>
      <c r="F391" s="51" t="s">
        <v>1573</v>
      </c>
      <c r="G391" s="52" t="s">
        <v>1574</v>
      </c>
      <c r="H391" s="13"/>
      <c r="I391" s="10"/>
      <c r="J391" s="6" t="s">
        <v>584</v>
      </c>
      <c r="K391" s="7"/>
      <c r="L391" s="7"/>
      <c r="M391" s="7"/>
      <c r="N391" s="7"/>
      <c r="O391" s="7"/>
    </row>
    <row r="392">
      <c r="A392" s="48" t="s">
        <v>1575</v>
      </c>
      <c r="B392" s="10"/>
      <c r="C392" s="49" t="s">
        <v>1576</v>
      </c>
      <c r="D392" s="60"/>
      <c r="E392" s="51" t="s">
        <v>1501</v>
      </c>
      <c r="F392" s="51"/>
      <c r="G392" s="52" t="s">
        <v>1577</v>
      </c>
      <c r="H392" s="13"/>
      <c r="I392" s="10"/>
      <c r="J392" s="6" t="s">
        <v>1450</v>
      </c>
      <c r="K392" s="7"/>
      <c r="L392" s="7"/>
      <c r="M392" s="7"/>
      <c r="N392" s="7"/>
      <c r="O392" s="7"/>
    </row>
    <row r="393">
      <c r="A393" s="63" t="s">
        <v>1578</v>
      </c>
      <c r="B393" s="10"/>
      <c r="C393" s="49" t="s">
        <v>1580</v>
      </c>
      <c r="D393" s="60"/>
      <c r="E393" s="51" t="s">
        <v>1581</v>
      </c>
      <c r="F393" s="51"/>
      <c r="G393" s="52" t="s">
        <v>1582</v>
      </c>
      <c r="H393" s="13"/>
      <c r="I393" s="10"/>
      <c r="J393" s="6" t="s">
        <v>584</v>
      </c>
      <c r="K393" s="7"/>
      <c r="L393" s="7"/>
      <c r="M393" s="7"/>
      <c r="N393" s="7"/>
      <c r="O393" s="7"/>
    </row>
    <row r="394">
      <c r="A394" s="63" t="s">
        <v>1583</v>
      </c>
      <c r="B394" s="10"/>
      <c r="C394" s="49"/>
      <c r="D394" s="60"/>
      <c r="E394" s="51" t="s">
        <v>1501</v>
      </c>
      <c r="F394" s="51"/>
      <c r="G394" s="52" t="s">
        <v>1584</v>
      </c>
      <c r="H394" s="13"/>
      <c r="I394" s="10"/>
      <c r="J394" s="6" t="s">
        <v>584</v>
      </c>
      <c r="K394" s="7"/>
      <c r="L394" s="7"/>
      <c r="M394" s="7"/>
      <c r="N394" s="7"/>
      <c r="O394" s="7"/>
    </row>
    <row r="395">
      <c r="A395" s="63" t="s">
        <v>1585</v>
      </c>
      <c r="B395" s="10"/>
      <c r="C395" s="49"/>
      <c r="D395" s="60"/>
      <c r="E395" s="51" t="s">
        <v>1501</v>
      </c>
      <c r="F395" s="51"/>
      <c r="G395" s="52" t="s">
        <v>1586</v>
      </c>
      <c r="H395" s="13"/>
      <c r="I395" s="10"/>
      <c r="J395" s="6" t="s">
        <v>584</v>
      </c>
      <c r="K395" s="7"/>
      <c r="L395" s="7"/>
      <c r="M395" s="7"/>
      <c r="N395" s="7"/>
      <c r="O395" s="7"/>
    </row>
    <row r="396">
      <c r="A396" s="63" t="s">
        <v>111</v>
      </c>
      <c r="B396" s="10"/>
      <c r="C396" s="49"/>
      <c r="D396" s="60"/>
      <c r="E396" s="51" t="s">
        <v>1501</v>
      </c>
      <c r="F396" s="51"/>
      <c r="G396" s="52" t="s">
        <v>1587</v>
      </c>
      <c r="H396" s="13"/>
      <c r="I396" s="10"/>
      <c r="J396" s="6" t="s">
        <v>584</v>
      </c>
      <c r="K396" s="7"/>
      <c r="L396" s="7"/>
      <c r="M396" s="7"/>
      <c r="N396" s="7"/>
      <c r="O396" s="7"/>
    </row>
    <row r="397">
      <c r="A397" s="63" t="s">
        <v>1588</v>
      </c>
      <c r="B397" s="10"/>
      <c r="C397" s="49"/>
      <c r="D397" s="60"/>
      <c r="E397" s="51" t="s">
        <v>1501</v>
      </c>
      <c r="F397" s="51"/>
      <c r="G397" s="52" t="s">
        <v>1590</v>
      </c>
      <c r="H397" s="13"/>
      <c r="I397" s="10"/>
      <c r="J397" s="6" t="s">
        <v>584</v>
      </c>
      <c r="K397" s="7"/>
      <c r="L397" s="7"/>
      <c r="M397" s="7"/>
      <c r="N397" s="7"/>
      <c r="O397" s="7"/>
    </row>
    <row r="398">
      <c r="A398" s="63" t="s">
        <v>1591</v>
      </c>
      <c r="B398" s="10"/>
      <c r="C398" s="49"/>
      <c r="D398" s="60"/>
      <c r="E398" s="51" t="s">
        <v>1501</v>
      </c>
      <c r="F398" s="51"/>
      <c r="G398" s="52" t="s">
        <v>1592</v>
      </c>
      <c r="H398" s="13"/>
      <c r="I398" s="10"/>
      <c r="J398" s="6" t="s">
        <v>584</v>
      </c>
      <c r="K398" s="7"/>
      <c r="L398" s="7"/>
      <c r="M398" s="7"/>
      <c r="N398" s="7"/>
      <c r="O398" s="7"/>
    </row>
    <row r="399">
      <c r="A399" s="63" t="s">
        <v>1594</v>
      </c>
      <c r="B399" s="10"/>
      <c r="C399" s="49"/>
      <c r="D399" s="60"/>
      <c r="E399" s="51" t="s">
        <v>1501</v>
      </c>
      <c r="F399" s="51"/>
      <c r="G399" s="52" t="s">
        <v>1595</v>
      </c>
      <c r="H399" s="13"/>
      <c r="I399" s="10"/>
      <c r="J399" s="6" t="s">
        <v>584</v>
      </c>
      <c r="K399" s="7"/>
      <c r="L399" s="7"/>
      <c r="M399" s="7"/>
      <c r="N399" s="7"/>
      <c r="O399" s="7"/>
    </row>
    <row r="400">
      <c r="A400" s="63" t="s">
        <v>1597</v>
      </c>
      <c r="B400" s="10"/>
      <c r="C400" s="49"/>
      <c r="D400" s="60"/>
      <c r="E400" s="51" t="s">
        <v>1501</v>
      </c>
      <c r="F400" s="51"/>
      <c r="G400" s="52" t="s">
        <v>1598</v>
      </c>
      <c r="H400" s="13"/>
      <c r="I400" s="10"/>
      <c r="J400" s="6" t="s">
        <v>584</v>
      </c>
      <c r="K400" s="7"/>
      <c r="L400" s="7"/>
      <c r="M400" s="7"/>
      <c r="N400" s="7"/>
      <c r="O400" s="7"/>
    </row>
    <row r="401">
      <c r="A401" s="63" t="s">
        <v>1600</v>
      </c>
      <c r="B401" s="10"/>
      <c r="C401" s="49"/>
      <c r="D401" s="60"/>
      <c r="E401" s="51" t="s">
        <v>1501</v>
      </c>
      <c r="F401" s="51"/>
      <c r="G401" s="52" t="s">
        <v>1601</v>
      </c>
      <c r="H401" s="13"/>
      <c r="I401" s="10"/>
      <c r="J401" s="6" t="s">
        <v>584</v>
      </c>
      <c r="K401" s="7"/>
      <c r="L401" s="7"/>
      <c r="M401" s="7"/>
      <c r="N401" s="7"/>
      <c r="O401" s="7"/>
    </row>
    <row r="402">
      <c r="A402" s="63" t="s">
        <v>1608</v>
      </c>
      <c r="B402" s="10"/>
      <c r="C402" s="49" t="s">
        <v>1609</v>
      </c>
      <c r="D402" s="60"/>
      <c r="E402" s="51" t="s">
        <v>1501</v>
      </c>
      <c r="F402" s="51"/>
      <c r="G402" s="52" t="s">
        <v>1610</v>
      </c>
      <c r="H402" s="13"/>
      <c r="I402" s="10"/>
      <c r="J402" s="6" t="s">
        <v>584</v>
      </c>
      <c r="K402" s="7"/>
      <c r="L402" s="7"/>
      <c r="M402" s="7"/>
      <c r="N402" s="7"/>
      <c r="O402" s="7"/>
    </row>
    <row r="403">
      <c r="A403" s="63" t="s">
        <v>1612</v>
      </c>
      <c r="B403" s="10"/>
      <c r="C403" s="49"/>
      <c r="D403" s="60"/>
      <c r="E403" s="51" t="s">
        <v>1501</v>
      </c>
      <c r="F403" s="51"/>
      <c r="G403" s="52" t="s">
        <v>1613</v>
      </c>
      <c r="H403" s="13"/>
      <c r="I403" s="10"/>
      <c r="J403" s="6" t="s">
        <v>584</v>
      </c>
      <c r="K403" s="7"/>
      <c r="L403" s="7"/>
      <c r="M403" s="7"/>
      <c r="N403" s="7"/>
      <c r="O403" s="7"/>
    </row>
    <row r="404">
      <c r="A404" s="68" t="s">
        <v>1619</v>
      </c>
      <c r="B404" s="10"/>
      <c r="C404" s="69"/>
      <c r="D404" s="70"/>
      <c r="E404" s="47" t="s">
        <v>1620</v>
      </c>
      <c r="F404" s="47"/>
      <c r="G404" s="71"/>
      <c r="H404" s="13"/>
      <c r="I404" s="10"/>
      <c r="J404" s="72"/>
      <c r="K404" s="7"/>
      <c r="L404" s="7"/>
      <c r="M404" s="7"/>
      <c r="N404" s="7"/>
      <c r="O404" s="7"/>
    </row>
    <row r="405">
      <c r="A405" s="48" t="s">
        <v>1621</v>
      </c>
      <c r="B405" s="10"/>
      <c r="C405" s="59"/>
      <c r="D405" s="60"/>
      <c r="E405" s="51"/>
      <c r="F405" s="51"/>
      <c r="G405" s="52" t="s">
        <v>1622</v>
      </c>
      <c r="H405" s="13"/>
      <c r="I405" s="10"/>
      <c r="J405" s="6" t="s">
        <v>584</v>
      </c>
      <c r="K405" s="7"/>
      <c r="L405" s="7"/>
      <c r="M405" s="7"/>
      <c r="N405" s="7"/>
      <c r="O405" s="7"/>
    </row>
    <row r="406">
      <c r="A406" s="48" t="s">
        <v>1623</v>
      </c>
      <c r="B406" s="10"/>
      <c r="C406" s="59"/>
      <c r="D406" s="60"/>
      <c r="E406" s="51"/>
      <c r="F406" s="51"/>
      <c r="G406" s="52" t="s">
        <v>1624</v>
      </c>
      <c r="H406" s="13"/>
      <c r="I406" s="10"/>
      <c r="J406" s="6" t="s">
        <v>1450</v>
      </c>
      <c r="K406" s="7"/>
      <c r="L406" s="7"/>
      <c r="M406" s="7"/>
      <c r="N406" s="7"/>
      <c r="O406" s="7"/>
    </row>
    <row r="407">
      <c r="A407" s="48" t="s">
        <v>1625</v>
      </c>
      <c r="B407" s="10"/>
      <c r="C407" s="59"/>
      <c r="D407" s="60"/>
      <c r="E407" s="51"/>
      <c r="F407" s="51"/>
      <c r="G407" s="52" t="s">
        <v>1626</v>
      </c>
      <c r="H407" s="13"/>
      <c r="I407" s="10"/>
      <c r="J407" s="6" t="s">
        <v>1450</v>
      </c>
      <c r="K407" s="7"/>
      <c r="L407" s="7"/>
      <c r="M407" s="7"/>
      <c r="N407" s="7"/>
      <c r="O407" s="7"/>
    </row>
    <row r="408">
      <c r="A408" s="48" t="s">
        <v>1627</v>
      </c>
      <c r="B408" s="10"/>
      <c r="C408" s="59"/>
      <c r="D408" s="60"/>
      <c r="E408" s="51"/>
      <c r="F408" s="51"/>
      <c r="G408" s="52" t="s">
        <v>1628</v>
      </c>
      <c r="H408" s="13"/>
      <c r="I408" s="10"/>
      <c r="J408" s="6" t="s">
        <v>584</v>
      </c>
      <c r="K408" s="7"/>
      <c r="L408" s="7"/>
      <c r="M408" s="7"/>
      <c r="N408" s="7"/>
      <c r="O408" s="7"/>
    </row>
    <row r="409">
      <c r="A409" s="48" t="s">
        <v>1629</v>
      </c>
      <c r="B409" s="10"/>
      <c r="C409" s="59"/>
      <c r="D409" s="60"/>
      <c r="E409" s="51"/>
      <c r="F409" s="51"/>
      <c r="G409" s="52" t="s">
        <v>1630</v>
      </c>
      <c r="H409" s="13"/>
      <c r="I409" s="10"/>
      <c r="J409" s="6" t="s">
        <v>584</v>
      </c>
      <c r="K409" s="7"/>
      <c r="L409" s="7"/>
      <c r="M409" s="7"/>
      <c r="N409" s="7"/>
      <c r="O409" s="7"/>
    </row>
    <row r="410">
      <c r="A410" s="48" t="s">
        <v>1631</v>
      </c>
      <c r="B410" s="10"/>
      <c r="C410" s="59"/>
      <c r="D410" s="60"/>
      <c r="E410" s="51"/>
      <c r="F410" s="51"/>
      <c r="G410" s="52" t="s">
        <v>1632</v>
      </c>
      <c r="H410" s="13"/>
      <c r="I410" s="10"/>
      <c r="J410" s="6" t="s">
        <v>584</v>
      </c>
      <c r="K410" s="7"/>
      <c r="L410" s="7"/>
      <c r="M410" s="7"/>
      <c r="N410" s="7"/>
      <c r="O410" s="7"/>
    </row>
    <row r="411">
      <c r="A411" s="48" t="s">
        <v>1633</v>
      </c>
      <c r="B411" s="10"/>
      <c r="C411" s="59"/>
      <c r="D411" s="60"/>
      <c r="E411" s="51"/>
      <c r="F411" s="51"/>
      <c r="G411" s="52" t="s">
        <v>1634</v>
      </c>
      <c r="H411" s="13"/>
      <c r="I411" s="10"/>
      <c r="J411" s="6" t="s">
        <v>584</v>
      </c>
      <c r="K411" s="7"/>
      <c r="L411" s="7"/>
      <c r="M411" s="7"/>
      <c r="N411" s="7"/>
      <c r="O411" s="7"/>
    </row>
    <row r="412">
      <c r="A412" s="73"/>
      <c r="B412" s="74"/>
      <c r="C412" s="74"/>
      <c r="D412" s="73"/>
      <c r="E412" s="22"/>
      <c r="F412" s="22"/>
      <c r="G412" s="22"/>
      <c r="H412" s="7"/>
      <c r="I412" s="7"/>
      <c r="J412" s="7">
        <f>COUNTIFS(J347:J411,"Yes")</f>
        <v>42</v>
      </c>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f>COUNTIF(J347:J411,"Changes")</f>
        <v>11</v>
      </c>
      <c r="K413" s="7"/>
      <c r="L413" s="7"/>
      <c r="M413" s="7"/>
      <c r="N413" s="7"/>
      <c r="O413" s="7"/>
      <c r="P413" s="7"/>
      <c r="Q413" s="7"/>
      <c r="R413" s="7"/>
      <c r="S413" s="7"/>
      <c r="T413" s="7"/>
      <c r="U413" s="7"/>
      <c r="V413" s="7"/>
      <c r="W413" s="7"/>
      <c r="X413" s="7"/>
      <c r="Y413" s="7"/>
      <c r="Z413" s="7"/>
    </row>
    <row r="414">
      <c r="A414" s="36" t="s">
        <v>1635</v>
      </c>
      <c r="B414" s="75" t="s">
        <v>1636</v>
      </c>
      <c r="C414" s="5"/>
      <c r="D414" s="5"/>
      <c r="E414" s="5"/>
      <c r="F414" s="5"/>
      <c r="G414" s="5"/>
      <c r="H414" s="5"/>
      <c r="I414" s="3"/>
      <c r="J414" s="7">
        <f>COUNTIF(J347:J411, "No")</f>
        <v>11</v>
      </c>
      <c r="K414" s="7"/>
      <c r="L414" s="7"/>
      <c r="M414" s="7"/>
      <c r="N414" s="7"/>
      <c r="O414" s="7"/>
    </row>
    <row r="415">
      <c r="A415" s="76" t="s">
        <v>1637</v>
      </c>
      <c r="B415" s="13"/>
      <c r="C415" s="13"/>
      <c r="D415" s="13"/>
      <c r="E415" s="13"/>
      <c r="F415" s="13"/>
      <c r="G415" s="13"/>
      <c r="H415" s="13"/>
      <c r="I415" s="10"/>
      <c r="J415" s="7">
        <f>J412+J413+J414</f>
        <v>64</v>
      </c>
      <c r="K415" s="7"/>
      <c r="L415" s="7"/>
      <c r="M415" s="7"/>
      <c r="N415" s="7"/>
      <c r="O415" s="7"/>
    </row>
    <row r="416">
      <c r="A416" s="36" t="s">
        <v>1639</v>
      </c>
      <c r="B416" s="36" t="s">
        <v>1640</v>
      </c>
      <c r="C416" s="36" t="s">
        <v>1641</v>
      </c>
      <c r="D416" s="36" t="s">
        <v>1642</v>
      </c>
      <c r="E416" s="36" t="s">
        <v>581</v>
      </c>
      <c r="F416" s="36"/>
      <c r="G416" s="36"/>
      <c r="H416" s="36"/>
      <c r="I416" s="36" t="s">
        <v>1643</v>
      </c>
      <c r="J416" s="7"/>
      <c r="K416" s="7"/>
      <c r="L416" s="7"/>
      <c r="M416" s="7"/>
      <c r="N416" s="7"/>
      <c r="O416" s="7"/>
    </row>
    <row r="417">
      <c r="A417" s="31" t="s">
        <v>20</v>
      </c>
      <c r="B417" s="31" t="s">
        <v>17</v>
      </c>
      <c r="C417" s="77" t="s">
        <v>960</v>
      </c>
      <c r="D417" s="37" t="s">
        <v>595</v>
      </c>
      <c r="E417" s="30" t="s">
        <v>1644</v>
      </c>
      <c r="F417" s="13"/>
      <c r="G417" s="13"/>
      <c r="H417" s="10"/>
      <c r="I417" s="37"/>
      <c r="J417" s="7"/>
      <c r="K417" s="7"/>
      <c r="L417" s="7"/>
      <c r="M417" s="7"/>
      <c r="N417" s="7">
        <f t="shared" ref="N417:N440" si="4"> IF(ISBLANK(E417), 0, 1)</f>
        <v>1</v>
      </c>
      <c r="O417" s="7"/>
    </row>
    <row r="418">
      <c r="A418" s="31" t="s">
        <v>403</v>
      </c>
      <c r="B418" s="31" t="s">
        <v>400</v>
      </c>
      <c r="C418" s="31" t="s">
        <v>1645</v>
      </c>
      <c r="D418" s="37" t="s">
        <v>1364</v>
      </c>
      <c r="E418" s="30" t="s">
        <v>1646</v>
      </c>
      <c r="F418" s="13"/>
      <c r="G418" s="13"/>
      <c r="H418" s="10"/>
      <c r="I418" s="37"/>
      <c r="J418" s="7"/>
      <c r="K418" s="7"/>
      <c r="L418" s="7"/>
      <c r="M418" s="7"/>
      <c r="N418" s="7">
        <f t="shared" si="4"/>
        <v>1</v>
      </c>
      <c r="O418" s="7"/>
    </row>
    <row r="419">
      <c r="A419" s="31" t="s">
        <v>290</v>
      </c>
      <c r="B419" s="31" t="s">
        <v>285</v>
      </c>
      <c r="C419" s="77" t="s">
        <v>945</v>
      </c>
      <c r="D419" s="37" t="s">
        <v>1380</v>
      </c>
      <c r="E419" s="30" t="s">
        <v>1647</v>
      </c>
      <c r="F419" s="13"/>
      <c r="G419" s="13"/>
      <c r="H419" s="10"/>
      <c r="I419" s="37"/>
      <c r="J419" s="7"/>
      <c r="K419" s="7"/>
      <c r="L419" s="7"/>
      <c r="M419" s="7"/>
      <c r="N419" s="7">
        <f t="shared" si="4"/>
        <v>1</v>
      </c>
      <c r="O419" s="7"/>
    </row>
    <row r="420">
      <c r="A420" s="31" t="s">
        <v>324</v>
      </c>
      <c r="B420" s="31" t="s">
        <v>319</v>
      </c>
      <c r="C420" s="31" t="s">
        <v>1127</v>
      </c>
      <c r="D420" s="37" t="s">
        <v>595</v>
      </c>
      <c r="E420" s="30" t="s">
        <v>1740</v>
      </c>
      <c r="F420" s="13"/>
      <c r="G420" s="13"/>
      <c r="H420" s="10"/>
      <c r="I420" s="37"/>
      <c r="J420" s="7"/>
      <c r="K420" s="7"/>
      <c r="L420" s="7"/>
      <c r="M420" s="7"/>
      <c r="N420" s="7">
        <f t="shared" si="4"/>
        <v>1</v>
      </c>
      <c r="O420" s="7"/>
    </row>
    <row r="421">
      <c r="A421" s="31" t="s">
        <v>122</v>
      </c>
      <c r="B421" s="31" t="s">
        <v>115</v>
      </c>
      <c r="C421" s="31" t="s">
        <v>1649</v>
      </c>
      <c r="D421" s="37" t="s">
        <v>595</v>
      </c>
      <c r="E421" s="30" t="s">
        <v>1650</v>
      </c>
      <c r="F421" s="13"/>
      <c r="G421" s="13"/>
      <c r="H421" s="10"/>
      <c r="I421" s="37"/>
      <c r="J421" s="7"/>
      <c r="K421" s="7"/>
      <c r="L421" s="7"/>
      <c r="M421" s="7"/>
      <c r="N421" s="7">
        <f t="shared" si="4"/>
        <v>1</v>
      </c>
      <c r="O421" s="7"/>
    </row>
    <row r="422">
      <c r="A422" s="31" t="s">
        <v>391</v>
      </c>
      <c r="B422" s="31" t="s">
        <v>1651</v>
      </c>
      <c r="C422" s="31" t="s">
        <v>387</v>
      </c>
      <c r="D422" s="37" t="s">
        <v>1399</v>
      </c>
      <c r="E422" s="30" t="s">
        <v>1652</v>
      </c>
      <c r="F422" s="13"/>
      <c r="G422" s="13"/>
      <c r="H422" s="10"/>
      <c r="I422" s="37"/>
      <c r="J422" s="7"/>
      <c r="K422" s="7"/>
      <c r="L422" s="7"/>
      <c r="M422" s="7"/>
      <c r="N422" s="7">
        <f t="shared" si="4"/>
        <v>1</v>
      </c>
      <c r="O422" s="7"/>
    </row>
    <row r="423">
      <c r="A423" s="31" t="s">
        <v>82</v>
      </c>
      <c r="B423" s="31" t="s">
        <v>78</v>
      </c>
      <c r="C423" s="77" t="s">
        <v>1653</v>
      </c>
      <c r="D423" s="37" t="s">
        <v>595</v>
      </c>
      <c r="E423" s="30" t="s">
        <v>1654</v>
      </c>
      <c r="F423" s="13"/>
      <c r="G423" s="13"/>
      <c r="H423" s="10"/>
      <c r="I423" s="37"/>
      <c r="J423" s="7"/>
      <c r="K423" s="7"/>
      <c r="L423" s="7"/>
      <c r="M423" s="7"/>
      <c r="N423" s="7">
        <f t="shared" si="4"/>
        <v>1</v>
      </c>
      <c r="O423" s="7"/>
    </row>
    <row r="424">
      <c r="A424" s="31" t="s">
        <v>356</v>
      </c>
      <c r="B424" s="31" t="s">
        <v>352</v>
      </c>
      <c r="C424" s="31" t="s">
        <v>1268</v>
      </c>
      <c r="D424" s="37" t="s">
        <v>595</v>
      </c>
      <c r="E424" s="30" t="s">
        <v>1655</v>
      </c>
      <c r="F424" s="13"/>
      <c r="G424" s="13"/>
      <c r="H424" s="10"/>
      <c r="I424" s="37"/>
      <c r="J424" s="7"/>
      <c r="K424" s="7"/>
      <c r="L424" s="7"/>
      <c r="M424" s="7"/>
      <c r="N424" s="7">
        <f t="shared" si="4"/>
        <v>1</v>
      </c>
      <c r="O424" s="7"/>
    </row>
    <row r="425">
      <c r="A425" s="31" t="s">
        <v>1404</v>
      </c>
      <c r="B425" s="31" t="s">
        <v>423</v>
      </c>
      <c r="C425" s="31" t="s">
        <v>1019</v>
      </c>
      <c r="D425" s="37" t="s">
        <v>1656</v>
      </c>
      <c r="E425" s="30" t="s">
        <v>1657</v>
      </c>
      <c r="F425" s="13"/>
      <c r="G425" s="13"/>
      <c r="H425" s="10"/>
      <c r="I425" s="37"/>
      <c r="J425" s="7"/>
      <c r="K425" s="7"/>
      <c r="L425" s="7"/>
      <c r="M425" s="7"/>
      <c r="N425" s="7">
        <f t="shared" si="4"/>
        <v>1</v>
      </c>
      <c r="O425" s="7"/>
    </row>
    <row r="426">
      <c r="A426" s="31" t="s">
        <v>351</v>
      </c>
      <c r="B426" s="31" t="s">
        <v>345</v>
      </c>
      <c r="C426" s="77" t="s">
        <v>1120</v>
      </c>
      <c r="D426" s="37" t="s">
        <v>595</v>
      </c>
      <c r="E426" s="30" t="s">
        <v>1658</v>
      </c>
      <c r="F426" s="13"/>
      <c r="G426" s="13"/>
      <c r="H426" s="10"/>
      <c r="I426" s="37"/>
      <c r="J426" s="7"/>
      <c r="K426" s="7"/>
      <c r="L426" s="7"/>
      <c r="M426" s="7"/>
      <c r="N426" s="7">
        <f t="shared" si="4"/>
        <v>1</v>
      </c>
      <c r="O426" s="7"/>
    </row>
    <row r="427">
      <c r="A427" s="31" t="s">
        <v>260</v>
      </c>
      <c r="B427" s="31" t="s">
        <v>1659</v>
      </c>
      <c r="C427" s="77" t="s">
        <v>1976</v>
      </c>
      <c r="D427" s="37" t="s">
        <v>595</v>
      </c>
      <c r="E427" s="30" t="s">
        <v>1660</v>
      </c>
      <c r="F427" s="13"/>
      <c r="G427" s="13"/>
      <c r="H427" s="10"/>
      <c r="I427" s="37"/>
      <c r="J427" s="7"/>
      <c r="K427" s="7"/>
      <c r="L427" s="7"/>
      <c r="M427" s="7"/>
      <c r="N427" s="7">
        <f t="shared" si="4"/>
        <v>1</v>
      </c>
      <c r="O427" s="7"/>
    </row>
    <row r="428">
      <c r="A428" s="31" t="s">
        <v>420</v>
      </c>
      <c r="B428" s="31" t="s">
        <v>415</v>
      </c>
      <c r="C428" s="31" t="s">
        <v>775</v>
      </c>
      <c r="D428" s="37" t="s">
        <v>595</v>
      </c>
      <c r="E428" s="30" t="s">
        <v>1661</v>
      </c>
      <c r="F428" s="13"/>
      <c r="G428" s="13"/>
      <c r="H428" s="10"/>
      <c r="I428" s="37"/>
      <c r="J428" s="7"/>
      <c r="K428" s="7"/>
      <c r="L428" s="7"/>
      <c r="M428" s="7"/>
      <c r="N428" s="7">
        <f t="shared" si="4"/>
        <v>1</v>
      </c>
      <c r="O428" s="7"/>
      <c r="P428" s="7"/>
      <c r="Q428" s="7"/>
      <c r="R428" s="7"/>
      <c r="S428" s="7"/>
      <c r="T428" s="7"/>
      <c r="U428" s="7"/>
      <c r="V428" s="7"/>
      <c r="W428" s="7"/>
      <c r="X428" s="7"/>
      <c r="Y428" s="7"/>
      <c r="Z428" s="7"/>
    </row>
    <row r="429">
      <c r="A429" s="31" t="s">
        <v>127</v>
      </c>
      <c r="B429" s="31" t="s">
        <v>123</v>
      </c>
      <c r="C429" s="31" t="s">
        <v>937</v>
      </c>
      <c r="D429" s="37" t="s">
        <v>595</v>
      </c>
      <c r="E429" s="30" t="s">
        <v>1662</v>
      </c>
      <c r="F429" s="13"/>
      <c r="G429" s="13"/>
      <c r="H429" s="10"/>
      <c r="I429" s="37"/>
      <c r="J429" s="7"/>
      <c r="K429" s="7"/>
      <c r="L429" s="7"/>
      <c r="M429" s="7"/>
      <c r="N429" s="7">
        <f t="shared" si="4"/>
        <v>1</v>
      </c>
      <c r="O429" s="7"/>
      <c r="P429" s="7"/>
      <c r="Q429" s="7"/>
      <c r="R429" s="7"/>
      <c r="S429" s="7"/>
      <c r="T429" s="7"/>
      <c r="U429" s="7"/>
      <c r="V429" s="7"/>
      <c r="W429" s="7"/>
      <c r="X429" s="7"/>
      <c r="Y429" s="7"/>
      <c r="Z429" s="7"/>
    </row>
    <row r="430">
      <c r="A430" s="37" t="s">
        <v>374</v>
      </c>
      <c r="B430" s="37" t="s">
        <v>371</v>
      </c>
      <c r="C430" s="37" t="s">
        <v>813</v>
      </c>
      <c r="D430" s="37" t="s">
        <v>1388</v>
      </c>
      <c r="E430" s="30" t="s">
        <v>1663</v>
      </c>
      <c r="F430" s="13"/>
      <c r="G430" s="13"/>
      <c r="H430" s="10"/>
      <c r="I430" s="37"/>
      <c r="J430" s="7"/>
      <c r="K430" s="7"/>
      <c r="L430" s="7"/>
      <c r="M430" s="7"/>
      <c r="N430" s="7">
        <f t="shared" si="4"/>
        <v>1</v>
      </c>
      <c r="O430" s="7"/>
      <c r="P430" s="7"/>
      <c r="Q430" s="7"/>
      <c r="R430" s="7"/>
      <c r="S430" s="7"/>
      <c r="T430" s="7"/>
      <c r="U430" s="7"/>
      <c r="V430" s="7"/>
      <c r="W430" s="7"/>
      <c r="X430" s="7"/>
      <c r="Y430" s="7"/>
      <c r="Z430" s="7"/>
    </row>
    <row r="431">
      <c r="A431" s="37" t="s">
        <v>39</v>
      </c>
      <c r="B431" s="37" t="s">
        <v>35</v>
      </c>
      <c r="C431" s="37" t="s">
        <v>1153</v>
      </c>
      <c r="D431" s="37" t="s">
        <v>595</v>
      </c>
      <c r="E431" s="30" t="s">
        <v>1665</v>
      </c>
      <c r="F431" s="13"/>
      <c r="G431" s="13"/>
      <c r="H431" s="10"/>
      <c r="I431" s="37"/>
      <c r="J431" s="7"/>
      <c r="K431" s="7"/>
      <c r="L431" s="7"/>
      <c r="M431" s="7"/>
      <c r="N431" s="7">
        <f t="shared" si="4"/>
        <v>1</v>
      </c>
      <c r="O431" s="7"/>
      <c r="P431" s="7"/>
      <c r="Q431" s="7"/>
      <c r="R431" s="7"/>
      <c r="S431" s="7"/>
      <c r="T431" s="7"/>
      <c r="U431" s="7"/>
      <c r="V431" s="7"/>
      <c r="W431" s="7"/>
      <c r="X431" s="7"/>
      <c r="Y431" s="7"/>
      <c r="Z431" s="7"/>
    </row>
    <row r="432">
      <c r="A432" s="37" t="s">
        <v>466</v>
      </c>
      <c r="B432" s="37" t="s">
        <v>1667</v>
      </c>
      <c r="C432" s="37" t="s">
        <v>1668</v>
      </c>
      <c r="D432" s="37" t="s">
        <v>595</v>
      </c>
      <c r="E432" s="30" t="s">
        <v>1669</v>
      </c>
      <c r="F432" s="13"/>
      <c r="G432" s="13"/>
      <c r="H432" s="10"/>
      <c r="I432" s="37"/>
      <c r="J432" s="7"/>
      <c r="K432" s="7"/>
      <c r="L432" s="7"/>
      <c r="M432" s="7"/>
      <c r="N432" s="7">
        <f t="shared" si="4"/>
        <v>1</v>
      </c>
      <c r="O432" s="7"/>
      <c r="P432" s="7"/>
      <c r="Q432" s="7"/>
      <c r="R432" s="7"/>
      <c r="S432" s="7"/>
      <c r="T432" s="7"/>
      <c r="U432" s="7"/>
      <c r="V432" s="7"/>
      <c r="W432" s="7"/>
      <c r="X432" s="7"/>
      <c r="Y432" s="7"/>
      <c r="Z432" s="7"/>
    </row>
    <row r="433">
      <c r="A433" s="37" t="s">
        <v>254</v>
      </c>
      <c r="B433" s="37" t="s">
        <v>248</v>
      </c>
      <c r="C433" s="37" t="s">
        <v>880</v>
      </c>
      <c r="D433" s="37" t="s">
        <v>595</v>
      </c>
      <c r="E433" s="30" t="s">
        <v>1670</v>
      </c>
      <c r="F433" s="13"/>
      <c r="G433" s="13"/>
      <c r="H433" s="10"/>
      <c r="I433" s="37"/>
      <c r="J433" s="7"/>
      <c r="K433" s="7"/>
      <c r="L433" s="7"/>
      <c r="M433" s="7"/>
      <c r="N433" s="7">
        <f t="shared" si="4"/>
        <v>1</v>
      </c>
      <c r="O433" s="7"/>
      <c r="P433" s="7"/>
      <c r="Q433" s="7"/>
      <c r="R433" s="7"/>
      <c r="S433" s="7"/>
      <c r="T433" s="7"/>
      <c r="U433" s="7"/>
      <c r="V433" s="7"/>
      <c r="W433" s="7"/>
      <c r="X433" s="7"/>
      <c r="Y433" s="7"/>
      <c r="Z433" s="7"/>
    </row>
    <row r="434">
      <c r="A434" s="37" t="s">
        <v>445</v>
      </c>
      <c r="B434" s="37" t="s">
        <v>440</v>
      </c>
      <c r="C434" s="37" t="s">
        <v>734</v>
      </c>
      <c r="D434" s="37" t="s">
        <v>1342</v>
      </c>
      <c r="E434" s="30" t="s">
        <v>1567</v>
      </c>
      <c r="F434" s="13"/>
      <c r="G434" s="13"/>
      <c r="H434" s="10"/>
      <c r="I434" s="37"/>
      <c r="J434" s="7"/>
      <c r="K434" s="7"/>
      <c r="L434" s="7"/>
      <c r="M434" s="7"/>
      <c r="N434" s="7">
        <f t="shared" si="4"/>
        <v>1</v>
      </c>
      <c r="O434" s="7"/>
      <c r="P434" s="7"/>
      <c r="Q434" s="7"/>
      <c r="R434" s="7"/>
      <c r="S434" s="7"/>
      <c r="T434" s="7"/>
      <c r="U434" s="7"/>
      <c r="V434" s="7"/>
      <c r="W434" s="7"/>
      <c r="X434" s="7"/>
      <c r="Y434" s="7"/>
      <c r="Z434" s="7"/>
    </row>
    <row r="435">
      <c r="A435" s="37" t="s">
        <v>520</v>
      </c>
      <c r="B435" s="37" t="s">
        <v>516</v>
      </c>
      <c r="C435" s="37" t="s">
        <v>602</v>
      </c>
      <c r="D435" s="37" t="s">
        <v>1375</v>
      </c>
      <c r="E435" s="30" t="s">
        <v>1673</v>
      </c>
      <c r="F435" s="13"/>
      <c r="G435" s="13"/>
      <c r="H435" s="10"/>
      <c r="I435" s="37"/>
      <c r="J435" s="7"/>
      <c r="K435" s="7"/>
      <c r="L435" s="7"/>
      <c r="M435" s="7"/>
      <c r="N435" s="7">
        <f t="shared" si="4"/>
        <v>1</v>
      </c>
      <c r="O435" s="7"/>
      <c r="P435" s="7"/>
      <c r="Q435" s="7"/>
      <c r="R435" s="7"/>
      <c r="S435" s="7"/>
      <c r="T435" s="7"/>
      <c r="U435" s="7"/>
      <c r="V435" s="7"/>
      <c r="W435" s="7"/>
      <c r="X435" s="7"/>
      <c r="Y435" s="7"/>
      <c r="Z435" s="7"/>
    </row>
    <row r="436">
      <c r="A436" s="37" t="s">
        <v>344</v>
      </c>
      <c r="B436" s="37" t="s">
        <v>1675</v>
      </c>
      <c r="C436" s="37" t="s">
        <v>1676</v>
      </c>
      <c r="D436" s="37" t="s">
        <v>1360</v>
      </c>
      <c r="E436" s="30" t="s">
        <v>1677</v>
      </c>
      <c r="F436" s="13"/>
      <c r="G436" s="13"/>
      <c r="H436" s="10"/>
      <c r="I436" s="37"/>
      <c r="J436" s="7"/>
      <c r="K436" s="7"/>
      <c r="L436" s="7"/>
      <c r="M436" s="7"/>
      <c r="N436" s="7">
        <f t="shared" si="4"/>
        <v>1</v>
      </c>
      <c r="O436" s="7"/>
      <c r="P436" s="7"/>
      <c r="Q436" s="7"/>
      <c r="R436" s="7"/>
      <c r="S436" s="7"/>
      <c r="T436" s="7"/>
      <c r="U436" s="7"/>
      <c r="V436" s="7"/>
      <c r="W436" s="7"/>
      <c r="X436" s="7"/>
      <c r="Y436" s="7"/>
      <c r="Z436" s="7"/>
    </row>
    <row r="437">
      <c r="A437" s="37" t="s">
        <v>280</v>
      </c>
      <c r="B437" s="37" t="s">
        <v>276</v>
      </c>
      <c r="C437" s="37" t="s">
        <v>958</v>
      </c>
      <c r="D437" s="37" t="s">
        <v>1405</v>
      </c>
      <c r="E437" s="30" t="s">
        <v>1679</v>
      </c>
      <c r="F437" s="13"/>
      <c r="G437" s="13"/>
      <c r="H437" s="10"/>
      <c r="I437" s="37"/>
      <c r="J437" s="7"/>
      <c r="K437" s="7"/>
      <c r="L437" s="7"/>
      <c r="M437" s="7"/>
      <c r="N437" s="7">
        <f t="shared" si="4"/>
        <v>1</v>
      </c>
      <c r="O437" s="7"/>
      <c r="P437" s="7"/>
      <c r="Q437" s="7"/>
      <c r="R437" s="7"/>
      <c r="S437" s="7"/>
      <c r="T437" s="7"/>
      <c r="U437" s="7"/>
      <c r="V437" s="7"/>
      <c r="W437" s="7"/>
      <c r="X437" s="7"/>
      <c r="Y437" s="7"/>
      <c r="Z437" s="7"/>
    </row>
    <row r="438">
      <c r="A438" s="37" t="s">
        <v>52</v>
      </c>
      <c r="B438" s="37" t="s">
        <v>48</v>
      </c>
      <c r="C438" s="37" t="s">
        <v>1187</v>
      </c>
      <c r="D438" s="37" t="s">
        <v>595</v>
      </c>
      <c r="E438" s="30" t="s">
        <v>1680</v>
      </c>
      <c r="F438" s="13"/>
      <c r="G438" s="13"/>
      <c r="H438" s="10"/>
      <c r="I438" s="37"/>
      <c r="J438" s="7"/>
      <c r="K438" s="7"/>
      <c r="L438" s="7"/>
      <c r="M438" s="7"/>
      <c r="N438" s="7">
        <f t="shared" si="4"/>
        <v>1</v>
      </c>
      <c r="O438" s="7"/>
      <c r="P438" s="7"/>
      <c r="Q438" s="7"/>
      <c r="R438" s="7"/>
      <c r="S438" s="7"/>
      <c r="T438" s="7"/>
      <c r="U438" s="7"/>
      <c r="V438" s="7"/>
      <c r="W438" s="7"/>
      <c r="X438" s="7"/>
      <c r="Y438" s="7"/>
      <c r="Z438" s="7"/>
    </row>
    <row r="439">
      <c r="A439" s="37" t="s">
        <v>1682</v>
      </c>
      <c r="B439" s="37" t="s">
        <v>242</v>
      </c>
      <c r="C439" s="37" t="s">
        <v>1683</v>
      </c>
      <c r="D439" s="37" t="s">
        <v>1368</v>
      </c>
      <c r="E439" s="30" t="s">
        <v>1684</v>
      </c>
      <c r="F439" s="13"/>
      <c r="G439" s="13"/>
      <c r="H439" s="10"/>
      <c r="I439" s="37"/>
      <c r="J439" s="7"/>
      <c r="K439" s="7"/>
      <c r="L439" s="7"/>
      <c r="M439" s="7"/>
      <c r="N439" s="7">
        <f t="shared" si="4"/>
        <v>1</v>
      </c>
      <c r="O439" s="7"/>
      <c r="P439" s="7"/>
      <c r="Q439" s="7"/>
      <c r="R439" s="7"/>
      <c r="S439" s="7"/>
      <c r="T439" s="7"/>
      <c r="U439" s="7"/>
      <c r="V439" s="7"/>
      <c r="W439" s="7"/>
      <c r="X439" s="7"/>
      <c r="Y439" s="7"/>
      <c r="Z439" s="7"/>
    </row>
    <row r="440">
      <c r="A440" s="37" t="s">
        <v>461</v>
      </c>
      <c r="B440" s="37" t="s">
        <v>457</v>
      </c>
      <c r="C440" s="37" t="s">
        <v>824</v>
      </c>
      <c r="D440" s="37" t="s">
        <v>1371</v>
      </c>
      <c r="E440" s="30" t="s">
        <v>1689</v>
      </c>
      <c r="F440" s="13"/>
      <c r="G440" s="13"/>
      <c r="H440" s="10"/>
      <c r="I440" s="37"/>
      <c r="J440" s="7"/>
      <c r="K440" s="7"/>
      <c r="L440" s="7"/>
      <c r="M440" s="7"/>
      <c r="N440" s="7">
        <f t="shared" si="4"/>
        <v>1</v>
      </c>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f>SUM(N417:N440)</f>
        <v>24</v>
      </c>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8" t="s">
        <v>1692</v>
      </c>
      <c r="B451" s="79"/>
      <c r="C451" s="79"/>
      <c r="D451" s="79"/>
      <c r="E451" s="79"/>
      <c r="F451" s="79"/>
      <c r="G451" s="79"/>
      <c r="H451" s="80"/>
      <c r="I451" s="7"/>
      <c r="J451" s="7"/>
      <c r="K451" s="7"/>
      <c r="L451" s="7"/>
      <c r="M451" s="7"/>
      <c r="N451" s="7"/>
      <c r="O451" s="7"/>
      <c r="P451" s="7"/>
      <c r="Q451" s="7"/>
      <c r="R451" s="7"/>
      <c r="S451" s="7"/>
      <c r="T451" s="7"/>
      <c r="U451" s="7"/>
      <c r="V451" s="7"/>
      <c r="W451" s="7"/>
      <c r="X451" s="7"/>
      <c r="Y451" s="7"/>
      <c r="Z451" s="7"/>
    </row>
    <row r="452">
      <c r="A452" s="81" t="s">
        <v>1693</v>
      </c>
      <c r="B452" s="82" t="s">
        <v>1694</v>
      </c>
      <c r="C452" s="82" t="s">
        <v>1695</v>
      </c>
      <c r="D452" s="83"/>
      <c r="E452" s="83"/>
      <c r="F452" s="83"/>
      <c r="G452" s="83"/>
      <c r="H452" s="83"/>
      <c r="I452" s="7"/>
      <c r="J452" s="7"/>
      <c r="K452" s="7"/>
      <c r="L452" s="7"/>
      <c r="M452" s="7"/>
      <c r="N452" s="7"/>
      <c r="O452" s="7"/>
      <c r="P452" s="7"/>
      <c r="Q452" s="7"/>
      <c r="R452" s="7"/>
      <c r="S452" s="7"/>
      <c r="T452" s="7"/>
      <c r="U452" s="7"/>
      <c r="V452" s="7"/>
      <c r="W452" s="7"/>
      <c r="X452" s="7"/>
      <c r="Y452" s="7"/>
      <c r="Z452" s="7"/>
    </row>
    <row r="453">
      <c r="A453" s="81" t="s">
        <v>1696</v>
      </c>
      <c r="B453" s="84" t="s">
        <v>1697</v>
      </c>
      <c r="C453" s="79"/>
      <c r="D453" s="79"/>
      <c r="E453" s="79"/>
      <c r="F453" s="79"/>
      <c r="G453" s="79"/>
      <c r="H453" s="80"/>
      <c r="I453" s="7"/>
      <c r="J453" s="7"/>
      <c r="K453" s="7"/>
      <c r="L453" s="7"/>
      <c r="M453" s="7"/>
      <c r="N453" s="7"/>
      <c r="O453" s="7"/>
      <c r="P453" s="7"/>
      <c r="Q453" s="7"/>
      <c r="R453" s="7"/>
      <c r="S453" s="7"/>
      <c r="T453" s="7"/>
      <c r="U453" s="7"/>
      <c r="V453" s="7"/>
      <c r="W453" s="7"/>
      <c r="X453" s="7"/>
      <c r="Y453" s="7"/>
      <c r="Z453" s="7"/>
    </row>
    <row r="454">
      <c r="A454" s="81" t="s">
        <v>1698</v>
      </c>
      <c r="B454" s="84" t="s">
        <v>1699</v>
      </c>
      <c r="C454" s="79"/>
      <c r="D454" s="79"/>
      <c r="E454" s="79"/>
      <c r="F454" s="79"/>
      <c r="G454" s="79"/>
      <c r="H454" s="80"/>
      <c r="I454" s="7"/>
      <c r="J454" s="7"/>
      <c r="K454" s="7"/>
      <c r="L454" s="7"/>
      <c r="M454" s="7"/>
      <c r="N454" s="7"/>
      <c r="O454" s="7"/>
      <c r="P454" s="7"/>
      <c r="Q454" s="7"/>
      <c r="R454" s="7"/>
      <c r="S454" s="7"/>
      <c r="T454" s="7"/>
      <c r="U454" s="7"/>
      <c r="V454" s="7"/>
      <c r="W454" s="7"/>
      <c r="X454" s="7"/>
      <c r="Y454" s="7"/>
      <c r="Z454" s="7"/>
    </row>
    <row r="455">
      <c r="A455" s="81" t="s">
        <v>1700</v>
      </c>
      <c r="B455" s="84" t="s">
        <v>1702</v>
      </c>
      <c r="C455" s="79"/>
      <c r="D455" s="79"/>
      <c r="E455" s="79"/>
      <c r="F455" s="79"/>
      <c r="G455" s="79"/>
      <c r="H455" s="80"/>
      <c r="I455" s="7"/>
      <c r="J455" s="7"/>
      <c r="K455" s="7"/>
      <c r="L455" s="7"/>
      <c r="M455" s="7"/>
      <c r="N455" s="7"/>
      <c r="O455" s="7"/>
      <c r="P455" s="7"/>
      <c r="Q455" s="7"/>
      <c r="R455" s="7"/>
      <c r="S455" s="7"/>
      <c r="T455" s="7"/>
      <c r="U455" s="7"/>
      <c r="V455" s="7"/>
      <c r="W455" s="7"/>
      <c r="X455" s="7"/>
      <c r="Y455" s="7"/>
      <c r="Z455" s="7"/>
    </row>
    <row r="456">
      <c r="A456" s="81" t="s">
        <v>1703</v>
      </c>
      <c r="B456" s="84" t="s">
        <v>1704</v>
      </c>
      <c r="C456" s="79"/>
      <c r="D456" s="79"/>
      <c r="E456" s="79"/>
      <c r="F456" s="79"/>
      <c r="G456" s="79"/>
      <c r="H456" s="80"/>
      <c r="I456" s="7"/>
      <c r="J456" s="7"/>
      <c r="K456" s="7"/>
      <c r="L456" s="7"/>
      <c r="M456" s="7"/>
      <c r="N456" s="7"/>
      <c r="O456" s="7"/>
      <c r="P456" s="7"/>
      <c r="Q456" s="7"/>
      <c r="R456" s="7"/>
      <c r="S456" s="7"/>
      <c r="T456" s="7"/>
      <c r="U456" s="7"/>
      <c r="V456" s="7"/>
      <c r="W456" s="7"/>
      <c r="X456" s="7"/>
      <c r="Y456" s="7"/>
      <c r="Z456" s="7"/>
    </row>
    <row r="457">
      <c r="A457" s="81" t="s">
        <v>1705</v>
      </c>
      <c r="B457" s="84" t="s">
        <v>1706</v>
      </c>
      <c r="C457" s="79"/>
      <c r="D457" s="79"/>
      <c r="E457" s="79"/>
      <c r="F457" s="79"/>
      <c r="G457" s="79"/>
      <c r="H457" s="80"/>
      <c r="I457" s="7"/>
      <c r="J457" s="7"/>
      <c r="K457" s="7"/>
      <c r="L457" s="7"/>
      <c r="M457" s="7"/>
      <c r="N457" s="7"/>
      <c r="O457" s="7"/>
      <c r="P457" s="7"/>
      <c r="Q457" s="7"/>
      <c r="R457" s="7"/>
      <c r="S457" s="7"/>
      <c r="T457" s="7"/>
      <c r="U457" s="7"/>
      <c r="V457" s="7"/>
      <c r="W457" s="7"/>
      <c r="X457" s="7"/>
      <c r="Y457" s="7"/>
      <c r="Z457" s="7"/>
    </row>
    <row r="458">
      <c r="A458" s="81" t="s">
        <v>1707</v>
      </c>
      <c r="B458" s="84" t="s">
        <v>1708</v>
      </c>
      <c r="C458" s="79"/>
      <c r="D458" s="79"/>
      <c r="E458" s="79"/>
      <c r="F458" s="79"/>
      <c r="G458" s="79"/>
      <c r="H458" s="80"/>
      <c r="I458" s="7"/>
      <c r="J458" s="7"/>
      <c r="K458" s="7"/>
      <c r="L458" s="7"/>
      <c r="M458" s="7"/>
      <c r="N458" s="7"/>
      <c r="O458" s="7"/>
      <c r="P458" s="7"/>
      <c r="Q458" s="7"/>
      <c r="R458" s="7"/>
      <c r="S458" s="7"/>
      <c r="T458" s="7"/>
      <c r="U458" s="7"/>
      <c r="V458" s="7"/>
      <c r="W458" s="7"/>
      <c r="X458" s="7"/>
      <c r="Y458" s="7"/>
      <c r="Z458" s="7"/>
    </row>
    <row r="459">
      <c r="A459" s="81" t="s">
        <v>1709</v>
      </c>
      <c r="B459" s="84" t="s">
        <v>1710</v>
      </c>
      <c r="C459" s="79"/>
      <c r="D459" s="79"/>
      <c r="E459" s="79"/>
      <c r="F459" s="79"/>
      <c r="G459" s="79"/>
      <c r="H459" s="80"/>
      <c r="I459" s="7"/>
      <c r="J459" s="7"/>
      <c r="K459" s="7"/>
      <c r="L459" s="7"/>
      <c r="M459" s="7"/>
      <c r="N459" s="7"/>
      <c r="O459" s="7"/>
      <c r="P459" s="7"/>
      <c r="Q459" s="7"/>
      <c r="R459" s="7"/>
      <c r="S459" s="7"/>
      <c r="T459" s="7"/>
      <c r="U459" s="7"/>
      <c r="V459" s="7"/>
      <c r="W459" s="7"/>
      <c r="X459" s="7"/>
      <c r="Y459" s="7"/>
      <c r="Z459" s="7"/>
    </row>
    <row r="460">
      <c r="A460" s="81" t="s">
        <v>1711</v>
      </c>
      <c r="B460" s="84" t="s">
        <v>1712</v>
      </c>
      <c r="C460" s="79"/>
      <c r="D460" s="79"/>
      <c r="E460" s="79"/>
      <c r="F460" s="79"/>
      <c r="G460" s="79"/>
      <c r="H460" s="80"/>
      <c r="I460" s="7"/>
      <c r="J460" s="7"/>
      <c r="K460" s="7"/>
      <c r="L460" s="7"/>
      <c r="M460" s="7"/>
      <c r="N460" s="7"/>
      <c r="O460" s="7"/>
      <c r="P460" s="7"/>
      <c r="Q460" s="7"/>
      <c r="R460" s="7"/>
      <c r="S460" s="7"/>
      <c r="T460" s="7"/>
      <c r="U460" s="7"/>
      <c r="V460" s="7"/>
      <c r="W460" s="7"/>
      <c r="X460" s="7"/>
      <c r="Y460" s="7"/>
      <c r="Z460" s="7"/>
    </row>
    <row r="461">
      <c r="A461" s="81" t="s">
        <v>1713</v>
      </c>
      <c r="B461" s="84" t="s">
        <v>1714</v>
      </c>
      <c r="C461" s="79"/>
      <c r="D461" s="79"/>
      <c r="E461" s="79"/>
      <c r="F461" s="79"/>
      <c r="G461" s="79"/>
      <c r="H461" s="80"/>
      <c r="I461" s="7"/>
      <c r="J461" s="7"/>
      <c r="K461" s="7"/>
      <c r="L461" s="7"/>
      <c r="M461" s="7"/>
      <c r="N461" s="7"/>
      <c r="O461" s="7"/>
      <c r="P461" s="7"/>
      <c r="Q461" s="7"/>
      <c r="R461" s="7"/>
      <c r="S461" s="7"/>
      <c r="T461" s="7"/>
      <c r="U461" s="7"/>
      <c r="V461" s="7"/>
      <c r="W461" s="7"/>
      <c r="X461" s="7"/>
      <c r="Y461" s="7"/>
      <c r="Z461" s="7"/>
    </row>
    <row r="462">
      <c r="A462" s="78" t="s">
        <v>1715</v>
      </c>
      <c r="B462" s="79"/>
      <c r="C462" s="79"/>
      <c r="D462" s="79"/>
      <c r="E462" s="79"/>
      <c r="F462" s="79"/>
      <c r="G462" s="79"/>
      <c r="H462" s="80"/>
      <c r="I462" s="7"/>
      <c r="J462" s="7"/>
      <c r="K462" s="7"/>
      <c r="L462" s="7"/>
      <c r="M462" s="7"/>
      <c r="N462" s="7"/>
      <c r="O462" s="7"/>
      <c r="P462" s="7"/>
      <c r="Q462" s="7"/>
      <c r="R462" s="7"/>
      <c r="S462" s="7"/>
      <c r="T462" s="7"/>
      <c r="U462" s="7"/>
      <c r="V462" s="7"/>
      <c r="W462" s="7"/>
      <c r="X462" s="7"/>
      <c r="Y462" s="7"/>
      <c r="Z462" s="7"/>
    </row>
    <row r="463">
      <c r="A463" s="85" t="s">
        <v>1716</v>
      </c>
      <c r="B463" s="79"/>
      <c r="C463" s="79"/>
      <c r="D463" s="79"/>
      <c r="E463" s="79"/>
      <c r="F463" s="79"/>
      <c r="G463" s="79"/>
      <c r="H463" s="80"/>
      <c r="I463" s="7"/>
      <c r="J463" s="7"/>
      <c r="K463" s="7"/>
      <c r="L463" s="7"/>
      <c r="M463" s="7"/>
      <c r="N463" s="7"/>
      <c r="O463" s="7"/>
      <c r="P463" s="7"/>
      <c r="Q463" s="7"/>
      <c r="R463" s="7"/>
      <c r="S463" s="7"/>
      <c r="T463" s="7"/>
      <c r="U463" s="7"/>
      <c r="V463" s="7"/>
      <c r="W463" s="7"/>
      <c r="X463" s="7"/>
      <c r="Y463" s="7"/>
      <c r="Z463" s="7"/>
    </row>
    <row r="464">
      <c r="A464" s="78" t="s">
        <v>1717</v>
      </c>
      <c r="B464" s="79"/>
      <c r="C464" s="79"/>
      <c r="D464" s="79"/>
      <c r="E464" s="79"/>
      <c r="F464" s="79"/>
      <c r="G464" s="79"/>
      <c r="H464" s="80"/>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I466" s="7"/>
      <c r="J466" s="7"/>
      <c r="K466" s="7"/>
      <c r="L466" s="7"/>
      <c r="M466" s="7"/>
      <c r="N466" s="7"/>
      <c r="O466" s="7"/>
    </row>
    <row r="467">
      <c r="I467" s="7"/>
      <c r="J467" s="7"/>
      <c r="K467" s="7"/>
      <c r="L467" s="7"/>
      <c r="M467" s="7"/>
      <c r="N467" s="7"/>
      <c r="O467" s="7"/>
    </row>
    <row r="468">
      <c r="I468" s="7"/>
      <c r="J468" s="7"/>
      <c r="K468" s="7"/>
      <c r="L468" s="7"/>
      <c r="M468" s="7"/>
      <c r="N468" s="7"/>
      <c r="O468" s="7"/>
    </row>
    <row r="469">
      <c r="I469" s="7"/>
      <c r="J469" s="7"/>
      <c r="K469" s="7"/>
      <c r="L469" s="7"/>
      <c r="M469" s="7"/>
      <c r="N469" s="7"/>
      <c r="O469" s="7"/>
    </row>
    <row r="470">
      <c r="I470" s="7"/>
      <c r="J470" s="7"/>
      <c r="K470" s="7"/>
      <c r="L470" s="7"/>
      <c r="M470" s="7"/>
      <c r="N470" s="7"/>
      <c r="O470" s="7"/>
    </row>
    <row r="471">
      <c r="I471" s="7"/>
      <c r="J471" s="7"/>
      <c r="K471" s="7"/>
      <c r="L471" s="7"/>
      <c r="M471" s="7"/>
      <c r="N471" s="7"/>
      <c r="O471" s="7"/>
    </row>
    <row r="472">
      <c r="I472" s="7"/>
      <c r="J472" s="7"/>
      <c r="K472" s="7"/>
      <c r="L472" s="7"/>
      <c r="M472" s="7"/>
      <c r="N472" s="7"/>
      <c r="O472" s="7"/>
    </row>
    <row r="473">
      <c r="I473" s="7"/>
      <c r="J473" s="7"/>
      <c r="K473" s="7"/>
      <c r="L473" s="7"/>
      <c r="M473" s="7"/>
      <c r="N473" s="7"/>
      <c r="O473" s="7"/>
    </row>
    <row r="474">
      <c r="I474" s="7"/>
      <c r="J474" s="7"/>
      <c r="K474" s="7"/>
      <c r="L474" s="7"/>
      <c r="M474" s="7"/>
      <c r="N474" s="7"/>
      <c r="O474" s="7"/>
    </row>
    <row r="475">
      <c r="I475" s="7"/>
      <c r="J475" s="7"/>
      <c r="K475" s="7"/>
      <c r="L475" s="7"/>
      <c r="M475" s="7"/>
      <c r="N475" s="7"/>
      <c r="O475" s="7"/>
    </row>
    <row r="476">
      <c r="I476" s="7"/>
      <c r="J476" s="7"/>
      <c r="K476" s="7"/>
      <c r="L476" s="7"/>
      <c r="M476" s="7"/>
      <c r="N476" s="7"/>
      <c r="O476" s="7"/>
    </row>
    <row r="477">
      <c r="I477" s="7"/>
      <c r="J477" s="7"/>
      <c r="K477" s="7"/>
      <c r="L477" s="7"/>
      <c r="M477" s="7"/>
      <c r="N477" s="7"/>
      <c r="O477" s="7"/>
    </row>
    <row r="478">
      <c r="I478" s="7"/>
      <c r="J478" s="7"/>
      <c r="K478" s="7"/>
      <c r="L478" s="7"/>
      <c r="M478" s="7"/>
      <c r="N478" s="7"/>
      <c r="O478" s="7"/>
    </row>
    <row r="479">
      <c r="I479" s="7"/>
      <c r="J479" s="7"/>
      <c r="K479" s="7"/>
      <c r="L479" s="7"/>
      <c r="M479" s="7"/>
      <c r="N479" s="7"/>
      <c r="O479" s="7"/>
    </row>
    <row r="480">
      <c r="I480" s="7"/>
      <c r="J480" s="7"/>
      <c r="K480" s="7"/>
      <c r="L480" s="7"/>
      <c r="M480" s="7"/>
      <c r="N480" s="7"/>
      <c r="O480" s="7"/>
    </row>
    <row r="481">
      <c r="I481" s="7"/>
      <c r="J481" s="7"/>
      <c r="K481" s="7"/>
      <c r="L481" s="7"/>
      <c r="M481" s="7"/>
      <c r="N481" s="7"/>
      <c r="O481" s="7"/>
    </row>
    <row r="482">
      <c r="I482" s="7"/>
      <c r="J482" s="7"/>
      <c r="K482" s="7"/>
      <c r="L482" s="7"/>
      <c r="M482" s="7"/>
      <c r="N482" s="7"/>
      <c r="O482" s="7"/>
    </row>
    <row r="483">
      <c r="I483" s="7"/>
      <c r="J483" s="7"/>
      <c r="K483" s="7"/>
      <c r="L483" s="7"/>
      <c r="M483" s="7"/>
      <c r="N483" s="7"/>
      <c r="O483" s="7"/>
    </row>
    <row r="484">
      <c r="I484" s="7"/>
      <c r="J484" s="7"/>
      <c r="K484" s="7"/>
      <c r="L484" s="7"/>
      <c r="M484" s="7"/>
      <c r="N484" s="7"/>
      <c r="O484" s="7"/>
    </row>
    <row r="485">
      <c r="I485" s="7"/>
      <c r="J485" s="7"/>
      <c r="K485" s="7"/>
      <c r="L485" s="7"/>
      <c r="M485" s="7"/>
      <c r="N485" s="7"/>
      <c r="O485" s="7"/>
    </row>
    <row r="486">
      <c r="I486" s="7"/>
      <c r="J486" s="7"/>
      <c r="K486" s="7"/>
      <c r="L486" s="7"/>
      <c r="M486" s="7"/>
      <c r="N486" s="7"/>
      <c r="O486" s="7"/>
    </row>
    <row r="487">
      <c r="I487" s="7"/>
      <c r="J487" s="7"/>
      <c r="K487" s="7"/>
      <c r="L487" s="7"/>
      <c r="M487" s="7"/>
      <c r="N487" s="7"/>
      <c r="O487" s="7"/>
    </row>
    <row r="488">
      <c r="I488" s="7"/>
      <c r="J488" s="7"/>
      <c r="K488" s="7"/>
      <c r="L488" s="7"/>
      <c r="M488" s="7"/>
      <c r="N488" s="7"/>
      <c r="O488" s="7"/>
    </row>
    <row r="489">
      <c r="I489" s="7"/>
      <c r="J489" s="7"/>
      <c r="K489" s="7"/>
      <c r="L489" s="7"/>
      <c r="M489" s="7"/>
      <c r="N489" s="7"/>
      <c r="O489" s="7"/>
    </row>
    <row r="490">
      <c r="I490" s="7"/>
      <c r="J490" s="7"/>
      <c r="K490" s="7"/>
      <c r="L490" s="7"/>
      <c r="M490" s="7"/>
      <c r="N490" s="7"/>
      <c r="O490" s="7"/>
    </row>
    <row r="491">
      <c r="I491" s="7"/>
      <c r="J491" s="7"/>
      <c r="K491" s="7"/>
      <c r="L491" s="7"/>
      <c r="M491" s="7"/>
      <c r="N491" s="7"/>
      <c r="O491" s="7"/>
    </row>
    <row r="492">
      <c r="I492" s="7"/>
      <c r="J492" s="7"/>
      <c r="K492" s="7"/>
      <c r="L492" s="7"/>
      <c r="M492" s="7"/>
      <c r="N492" s="7"/>
      <c r="O492" s="7"/>
    </row>
    <row r="493">
      <c r="I493" s="7"/>
      <c r="J493" s="7"/>
      <c r="K493" s="7"/>
      <c r="L493" s="7"/>
      <c r="M493" s="7"/>
      <c r="N493" s="7"/>
      <c r="O493" s="7"/>
    </row>
    <row r="494">
      <c r="I494" s="7"/>
      <c r="J494" s="7"/>
      <c r="K494" s="7"/>
      <c r="L494" s="7"/>
      <c r="M494" s="7"/>
      <c r="N494" s="7"/>
      <c r="O494" s="7"/>
    </row>
    <row r="495">
      <c r="I495" s="7"/>
      <c r="J495" s="7"/>
      <c r="K495" s="7"/>
      <c r="L495" s="7"/>
      <c r="M495" s="7"/>
      <c r="N495" s="7"/>
      <c r="O495" s="7"/>
    </row>
    <row r="496">
      <c r="I496" s="7"/>
      <c r="J496" s="7"/>
      <c r="K496" s="7"/>
      <c r="L496" s="7"/>
      <c r="M496" s="7"/>
      <c r="N496" s="7"/>
      <c r="O496" s="7"/>
    </row>
    <row r="497">
      <c r="I497" s="7"/>
      <c r="J497" s="7"/>
      <c r="K497" s="7"/>
      <c r="L497" s="7"/>
      <c r="M497" s="7"/>
      <c r="N497" s="7"/>
      <c r="O497" s="7"/>
    </row>
    <row r="498">
      <c r="I498" s="7"/>
      <c r="J498" s="7"/>
      <c r="K498" s="7"/>
      <c r="L498" s="7"/>
      <c r="M498" s="7"/>
      <c r="N498" s="7"/>
      <c r="O498" s="7"/>
    </row>
    <row r="499">
      <c r="I499" s="7"/>
      <c r="J499" s="7"/>
      <c r="K499" s="7"/>
      <c r="L499" s="7"/>
      <c r="M499" s="7"/>
      <c r="N499" s="7"/>
      <c r="O499" s="7"/>
    </row>
    <row r="500">
      <c r="I500" s="7"/>
      <c r="J500" s="7"/>
      <c r="K500" s="7"/>
      <c r="L500" s="7"/>
      <c r="M500" s="7"/>
      <c r="N500" s="7"/>
      <c r="O500" s="7"/>
    </row>
    <row r="501">
      <c r="I501" s="7"/>
      <c r="J501" s="7"/>
      <c r="K501" s="7"/>
      <c r="L501" s="7"/>
      <c r="M501" s="7"/>
      <c r="N501" s="7"/>
      <c r="O501" s="7"/>
    </row>
    <row r="502">
      <c r="I502" s="7"/>
      <c r="J502" s="7"/>
      <c r="K502" s="7"/>
      <c r="L502" s="7"/>
      <c r="M502" s="7"/>
      <c r="N502" s="7"/>
      <c r="O502" s="7"/>
    </row>
    <row r="503">
      <c r="I503" s="7"/>
      <c r="J503" s="7"/>
      <c r="K503" s="7"/>
      <c r="L503" s="7"/>
      <c r="M503" s="7"/>
      <c r="N503" s="7"/>
      <c r="O503" s="7"/>
    </row>
    <row r="504">
      <c r="I504" s="7"/>
      <c r="J504" s="7"/>
      <c r="K504" s="7"/>
      <c r="L504" s="7"/>
      <c r="M504" s="7"/>
      <c r="N504" s="7"/>
      <c r="O504" s="7"/>
    </row>
    <row r="505">
      <c r="I505" s="7"/>
      <c r="J505" s="7"/>
      <c r="K505" s="7"/>
      <c r="L505" s="7"/>
      <c r="M505" s="7"/>
      <c r="N505" s="7"/>
      <c r="O505" s="7"/>
    </row>
    <row r="506">
      <c r="I506" s="7"/>
      <c r="J506" s="7"/>
      <c r="K506" s="7"/>
      <c r="L506" s="7"/>
      <c r="M506" s="7"/>
      <c r="N506" s="7"/>
      <c r="O506" s="7"/>
    </row>
    <row r="507">
      <c r="I507" s="7"/>
      <c r="J507" s="7"/>
      <c r="K507" s="7"/>
      <c r="L507" s="7"/>
      <c r="M507" s="7"/>
      <c r="N507" s="7"/>
      <c r="O507" s="7"/>
    </row>
    <row r="508">
      <c r="I508" s="7"/>
      <c r="J508" s="7"/>
      <c r="K508" s="7"/>
      <c r="L508" s="7"/>
      <c r="M508" s="7"/>
      <c r="N508" s="7"/>
      <c r="O508" s="7"/>
    </row>
    <row r="509">
      <c r="I509" s="7"/>
      <c r="J509" s="7"/>
      <c r="K509" s="7"/>
      <c r="L509" s="7"/>
      <c r="M509" s="7"/>
      <c r="N509" s="7"/>
      <c r="O509" s="7"/>
    </row>
    <row r="510">
      <c r="I510" s="7"/>
      <c r="J510" s="7"/>
      <c r="K510" s="7"/>
      <c r="L510" s="7"/>
      <c r="M510" s="7"/>
      <c r="N510" s="7"/>
      <c r="O510" s="7"/>
    </row>
    <row r="511">
      <c r="I511" s="7"/>
      <c r="J511" s="7"/>
      <c r="K511" s="7"/>
      <c r="L511" s="7"/>
      <c r="M511" s="7"/>
      <c r="N511" s="7"/>
      <c r="O511" s="7"/>
    </row>
    <row r="512">
      <c r="I512" s="7"/>
      <c r="J512" s="7"/>
      <c r="K512" s="7"/>
      <c r="L512" s="7"/>
      <c r="M512" s="7"/>
      <c r="N512" s="7"/>
      <c r="O512" s="7"/>
    </row>
    <row r="513">
      <c r="I513" s="7"/>
      <c r="J513" s="7"/>
      <c r="K513" s="7"/>
      <c r="L513" s="7"/>
      <c r="M513" s="7"/>
      <c r="N513" s="7"/>
      <c r="O513" s="7"/>
    </row>
    <row r="514">
      <c r="I514" s="7"/>
      <c r="J514" s="7"/>
      <c r="K514" s="7"/>
      <c r="L514" s="7"/>
      <c r="M514" s="7"/>
      <c r="N514" s="7"/>
      <c r="O514" s="7"/>
    </row>
    <row r="515">
      <c r="I515" s="7"/>
      <c r="J515" s="7"/>
      <c r="K515" s="7"/>
      <c r="L515" s="7"/>
      <c r="M515" s="7"/>
      <c r="N515" s="7"/>
      <c r="O515" s="7"/>
    </row>
    <row r="516">
      <c r="I516" s="7"/>
      <c r="J516" s="7"/>
      <c r="K516" s="7"/>
      <c r="L516" s="7"/>
      <c r="M516" s="7"/>
      <c r="N516" s="7"/>
      <c r="O516" s="7"/>
    </row>
    <row r="517">
      <c r="I517" s="7"/>
      <c r="J517" s="7"/>
      <c r="K517" s="7"/>
      <c r="L517" s="7"/>
      <c r="M517" s="7"/>
      <c r="N517" s="7"/>
      <c r="O517" s="7"/>
    </row>
    <row r="518">
      <c r="I518" s="7"/>
      <c r="J518" s="7"/>
      <c r="K518" s="7"/>
      <c r="L518" s="7"/>
      <c r="M518" s="7"/>
      <c r="N518" s="7"/>
      <c r="O518" s="7"/>
    </row>
    <row r="519">
      <c r="I519" s="7"/>
      <c r="J519" s="7"/>
      <c r="K519" s="7"/>
      <c r="L519" s="7"/>
      <c r="M519" s="7"/>
      <c r="N519" s="7"/>
      <c r="O519" s="7"/>
    </row>
    <row r="520">
      <c r="I520" s="7"/>
      <c r="J520" s="7"/>
      <c r="K520" s="7"/>
      <c r="L520" s="7"/>
      <c r="M520" s="7"/>
      <c r="N520" s="7"/>
      <c r="O520" s="7"/>
    </row>
    <row r="521">
      <c r="I521" s="7"/>
      <c r="J521" s="7"/>
      <c r="K521" s="7"/>
      <c r="L521" s="7"/>
      <c r="M521" s="7"/>
      <c r="N521" s="7"/>
      <c r="O521" s="7"/>
    </row>
    <row r="522">
      <c r="I522" s="7"/>
      <c r="J522" s="7"/>
      <c r="K522" s="7"/>
      <c r="L522" s="7"/>
      <c r="M522" s="7"/>
      <c r="N522" s="7"/>
      <c r="O522" s="7"/>
    </row>
    <row r="523">
      <c r="I523" s="7"/>
      <c r="J523" s="7"/>
      <c r="K523" s="7"/>
      <c r="L523" s="7"/>
      <c r="M523" s="7"/>
      <c r="N523" s="7"/>
      <c r="O523" s="7"/>
    </row>
    <row r="524">
      <c r="I524" s="7"/>
      <c r="J524" s="7"/>
      <c r="K524" s="7"/>
      <c r="L524" s="7"/>
      <c r="M524" s="7"/>
      <c r="N524" s="7"/>
      <c r="O524" s="7"/>
    </row>
    <row r="525">
      <c r="I525" s="7"/>
      <c r="J525" s="7"/>
      <c r="K525" s="7"/>
      <c r="L525" s="7"/>
      <c r="M525" s="7"/>
      <c r="N525" s="7"/>
      <c r="O525" s="7"/>
    </row>
    <row r="526">
      <c r="I526" s="7"/>
      <c r="J526" s="7"/>
      <c r="K526" s="7"/>
      <c r="L526" s="7"/>
      <c r="M526" s="7"/>
      <c r="N526" s="7"/>
      <c r="O526" s="7"/>
    </row>
    <row r="527">
      <c r="I527" s="7"/>
      <c r="J527" s="7"/>
      <c r="K527" s="7"/>
      <c r="L527" s="7"/>
      <c r="M527" s="7"/>
      <c r="N527" s="7"/>
      <c r="O527" s="7"/>
    </row>
    <row r="528">
      <c r="I528" s="7"/>
      <c r="J528" s="7"/>
      <c r="K528" s="7"/>
      <c r="L528" s="7"/>
      <c r="M528" s="7"/>
      <c r="N528" s="7"/>
      <c r="O528" s="7"/>
    </row>
    <row r="529">
      <c r="I529" s="7"/>
      <c r="J529" s="7"/>
      <c r="K529" s="7"/>
      <c r="L529" s="7"/>
      <c r="M529" s="7"/>
      <c r="N529" s="7"/>
      <c r="O529" s="7"/>
    </row>
    <row r="530">
      <c r="I530" s="7"/>
      <c r="J530" s="7"/>
      <c r="K530" s="7"/>
      <c r="L530" s="7"/>
      <c r="M530" s="7"/>
      <c r="N530" s="7"/>
      <c r="O530" s="7"/>
    </row>
    <row r="531">
      <c r="I531" s="7"/>
      <c r="J531" s="7"/>
      <c r="K531" s="7"/>
      <c r="L531" s="7"/>
      <c r="M531" s="7"/>
      <c r="N531" s="7"/>
      <c r="O531" s="7"/>
    </row>
    <row r="532">
      <c r="I532" s="7"/>
      <c r="J532" s="7"/>
      <c r="K532" s="7"/>
      <c r="L532" s="7"/>
      <c r="M532" s="7"/>
      <c r="N532" s="7"/>
      <c r="O532" s="7"/>
    </row>
    <row r="533">
      <c r="I533" s="7"/>
      <c r="J533" s="7"/>
      <c r="K533" s="7"/>
      <c r="L533" s="7"/>
      <c r="M533" s="7"/>
      <c r="N533" s="7"/>
      <c r="O533" s="7"/>
    </row>
    <row r="534">
      <c r="I534" s="7"/>
      <c r="J534" s="7"/>
      <c r="K534" s="7"/>
      <c r="L534" s="7"/>
      <c r="M534" s="7"/>
      <c r="N534" s="7"/>
      <c r="O534" s="7"/>
    </row>
    <row r="535">
      <c r="I535" s="7"/>
      <c r="J535" s="7"/>
      <c r="K535" s="7"/>
      <c r="L535" s="7"/>
      <c r="M535" s="7"/>
      <c r="N535" s="7"/>
      <c r="O535" s="7"/>
    </row>
    <row r="536">
      <c r="I536" s="7"/>
      <c r="J536" s="7"/>
      <c r="K536" s="7"/>
      <c r="L536" s="7"/>
      <c r="M536" s="7"/>
      <c r="N536" s="7"/>
      <c r="O536" s="7"/>
    </row>
    <row r="537">
      <c r="I537" s="7"/>
      <c r="J537" s="7"/>
      <c r="K537" s="7"/>
      <c r="L537" s="7"/>
      <c r="M537" s="7"/>
      <c r="N537" s="7"/>
      <c r="O537" s="7"/>
    </row>
    <row r="538">
      <c r="I538" s="7"/>
      <c r="J538" s="7"/>
      <c r="K538" s="7"/>
      <c r="L538" s="7"/>
      <c r="M538" s="7"/>
      <c r="N538" s="7"/>
      <c r="O538" s="7"/>
    </row>
    <row r="539">
      <c r="I539" s="7"/>
      <c r="J539" s="7"/>
      <c r="K539" s="7"/>
      <c r="L539" s="7"/>
      <c r="M539" s="7"/>
      <c r="N539" s="7"/>
      <c r="O539" s="7"/>
    </row>
    <row r="540">
      <c r="I540" s="7"/>
      <c r="J540" s="7"/>
      <c r="K540" s="7"/>
      <c r="L540" s="7"/>
      <c r="M540" s="7"/>
      <c r="N540" s="7"/>
      <c r="O540" s="7"/>
    </row>
    <row r="541">
      <c r="I541" s="7"/>
      <c r="J541" s="7"/>
      <c r="K541" s="7"/>
      <c r="L541" s="7"/>
      <c r="M541" s="7"/>
      <c r="N541" s="7"/>
      <c r="O541" s="7"/>
    </row>
    <row r="542">
      <c r="I542" s="7"/>
      <c r="J542" s="7"/>
      <c r="K542" s="7"/>
      <c r="L542" s="7"/>
      <c r="M542" s="7"/>
      <c r="N542" s="7"/>
      <c r="O542" s="7"/>
    </row>
    <row r="543">
      <c r="I543" s="7"/>
      <c r="J543" s="7"/>
      <c r="K543" s="7"/>
      <c r="L543" s="7"/>
      <c r="M543" s="7"/>
      <c r="N543" s="7"/>
      <c r="O543" s="7"/>
    </row>
    <row r="544">
      <c r="I544" s="7"/>
      <c r="J544" s="7"/>
      <c r="K544" s="7"/>
      <c r="L544" s="7"/>
      <c r="M544" s="7"/>
      <c r="N544" s="7"/>
      <c r="O544" s="7"/>
    </row>
    <row r="545">
      <c r="I545" s="7"/>
      <c r="J545" s="7"/>
      <c r="K545" s="7"/>
      <c r="L545" s="7"/>
      <c r="M545" s="7"/>
      <c r="N545" s="7"/>
      <c r="O545" s="7"/>
    </row>
    <row r="546">
      <c r="I546" s="7"/>
      <c r="J546" s="7"/>
      <c r="K546" s="7"/>
      <c r="L546" s="7"/>
      <c r="M546" s="7"/>
      <c r="N546" s="7"/>
      <c r="O546" s="7"/>
    </row>
    <row r="547">
      <c r="I547" s="7"/>
      <c r="J547" s="7"/>
      <c r="K547" s="7"/>
      <c r="L547" s="7"/>
      <c r="M547" s="7"/>
      <c r="N547" s="7"/>
      <c r="O547" s="7"/>
    </row>
    <row r="548">
      <c r="I548" s="7"/>
      <c r="J548" s="7"/>
      <c r="K548" s="7"/>
      <c r="L548" s="7"/>
      <c r="M548" s="7"/>
      <c r="N548" s="7"/>
      <c r="O548" s="7"/>
    </row>
    <row r="549">
      <c r="I549" s="7"/>
      <c r="J549" s="7"/>
      <c r="K549" s="7"/>
      <c r="L549" s="7"/>
      <c r="M549" s="7"/>
      <c r="N549" s="7"/>
      <c r="O549" s="7"/>
    </row>
    <row r="550">
      <c r="I550" s="7"/>
      <c r="J550" s="7"/>
      <c r="K550" s="7"/>
      <c r="L550" s="7"/>
      <c r="M550" s="7"/>
      <c r="N550" s="7"/>
      <c r="O550" s="7"/>
    </row>
    <row r="551">
      <c r="I551" s="7"/>
      <c r="J551" s="7"/>
      <c r="K551" s="7"/>
      <c r="L551" s="7"/>
      <c r="M551" s="7"/>
      <c r="N551" s="7"/>
      <c r="O551" s="7"/>
    </row>
    <row r="552">
      <c r="I552" s="7"/>
      <c r="J552" s="7"/>
      <c r="K552" s="7"/>
      <c r="L552" s="7"/>
      <c r="M552" s="7"/>
      <c r="N552" s="7"/>
      <c r="O552" s="7"/>
    </row>
    <row r="553">
      <c r="I553" s="7"/>
      <c r="J553" s="7"/>
      <c r="K553" s="7"/>
      <c r="L553" s="7"/>
      <c r="M553" s="7"/>
      <c r="N553" s="7"/>
      <c r="O553" s="7"/>
    </row>
    <row r="554">
      <c r="I554" s="7"/>
      <c r="J554" s="7"/>
      <c r="K554" s="7"/>
      <c r="L554" s="7"/>
      <c r="M554" s="7"/>
      <c r="N554" s="7"/>
      <c r="O554" s="7"/>
    </row>
    <row r="555">
      <c r="I555" s="7"/>
      <c r="J555" s="7"/>
      <c r="K555" s="7"/>
      <c r="L555" s="7"/>
      <c r="M555" s="7"/>
      <c r="N555" s="7"/>
      <c r="O555" s="7"/>
    </row>
    <row r="556">
      <c r="I556" s="7"/>
      <c r="J556" s="7"/>
      <c r="K556" s="7"/>
      <c r="L556" s="7"/>
      <c r="M556" s="7"/>
      <c r="N556" s="7"/>
      <c r="O556" s="7"/>
    </row>
    <row r="557">
      <c r="I557" s="7"/>
      <c r="J557" s="7"/>
      <c r="K557" s="7"/>
      <c r="L557" s="7"/>
      <c r="M557" s="7"/>
      <c r="N557" s="7"/>
      <c r="O557" s="7"/>
    </row>
    <row r="558">
      <c r="I558" s="7"/>
      <c r="J558" s="7"/>
      <c r="K558" s="7"/>
      <c r="L558" s="7"/>
      <c r="M558" s="7"/>
      <c r="N558" s="7"/>
      <c r="O558" s="7"/>
    </row>
    <row r="559">
      <c r="I559" s="7"/>
      <c r="J559" s="7"/>
      <c r="K559" s="7"/>
      <c r="L559" s="7"/>
      <c r="M559" s="7"/>
      <c r="N559" s="7"/>
      <c r="O559" s="7"/>
    </row>
    <row r="560">
      <c r="I560" s="7"/>
      <c r="J560" s="7"/>
      <c r="K560" s="7"/>
      <c r="L560" s="7"/>
      <c r="M560" s="7"/>
      <c r="N560" s="7"/>
      <c r="O560" s="7"/>
    </row>
    <row r="561">
      <c r="I561" s="7"/>
      <c r="J561" s="7"/>
      <c r="K561" s="7"/>
      <c r="L561" s="7"/>
      <c r="M561" s="7"/>
      <c r="N561" s="7"/>
      <c r="O561" s="7"/>
    </row>
    <row r="562">
      <c r="I562" s="7"/>
      <c r="J562" s="7"/>
      <c r="K562" s="7"/>
      <c r="L562" s="7"/>
      <c r="M562" s="7"/>
      <c r="N562" s="7"/>
      <c r="O562" s="7"/>
    </row>
    <row r="563">
      <c r="I563" s="7"/>
      <c r="J563" s="7"/>
      <c r="K563" s="7"/>
      <c r="L563" s="7"/>
      <c r="M563" s="7"/>
      <c r="N563" s="7"/>
      <c r="O563" s="7"/>
    </row>
    <row r="564">
      <c r="I564" s="7"/>
      <c r="J564" s="7"/>
      <c r="K564" s="7"/>
      <c r="L564" s="7"/>
      <c r="M564" s="7"/>
      <c r="N564" s="7"/>
      <c r="O564" s="7"/>
    </row>
    <row r="565">
      <c r="I565" s="7"/>
      <c r="J565" s="7"/>
      <c r="K565" s="7"/>
      <c r="L565" s="7"/>
      <c r="M565" s="7"/>
      <c r="N565" s="7"/>
      <c r="O565" s="7"/>
    </row>
    <row r="566">
      <c r="I566" s="7"/>
      <c r="J566" s="7"/>
      <c r="K566" s="7"/>
      <c r="L566" s="7"/>
      <c r="M566" s="7"/>
      <c r="N566" s="7"/>
      <c r="O566" s="7"/>
    </row>
    <row r="567">
      <c r="I567" s="7"/>
      <c r="J567" s="7"/>
      <c r="K567" s="7"/>
      <c r="L567" s="7"/>
      <c r="M567" s="7"/>
      <c r="N567" s="7"/>
      <c r="O567" s="7"/>
    </row>
    <row r="568">
      <c r="I568" s="7"/>
      <c r="J568" s="7"/>
      <c r="K568" s="7"/>
      <c r="L568" s="7"/>
      <c r="M568" s="7"/>
      <c r="N568" s="7"/>
      <c r="O568" s="7"/>
    </row>
    <row r="569">
      <c r="I569" s="7"/>
      <c r="J569" s="7"/>
      <c r="K569" s="7"/>
      <c r="L569" s="7"/>
      <c r="M569" s="7"/>
      <c r="N569" s="7"/>
      <c r="O569" s="7"/>
    </row>
    <row r="570">
      <c r="I570" s="7"/>
      <c r="J570" s="7"/>
      <c r="K570" s="7"/>
      <c r="L570" s="7"/>
      <c r="M570" s="7"/>
      <c r="N570" s="7"/>
      <c r="O570" s="7"/>
    </row>
    <row r="571">
      <c r="I571" s="7"/>
      <c r="J571" s="7"/>
      <c r="K571" s="7"/>
      <c r="L571" s="7"/>
      <c r="M571" s="7"/>
      <c r="N571" s="7"/>
      <c r="O571" s="7"/>
    </row>
    <row r="572">
      <c r="I572" s="7"/>
      <c r="J572" s="7"/>
      <c r="K572" s="7"/>
      <c r="L572" s="7"/>
      <c r="M572" s="7"/>
      <c r="N572" s="7"/>
      <c r="O572" s="7"/>
    </row>
    <row r="573">
      <c r="I573" s="7"/>
      <c r="J573" s="7"/>
      <c r="K573" s="7"/>
      <c r="L573" s="7"/>
      <c r="M573" s="7"/>
      <c r="N573" s="7"/>
      <c r="O573" s="7"/>
    </row>
    <row r="574">
      <c r="I574" s="7"/>
      <c r="J574" s="7"/>
      <c r="K574" s="7"/>
      <c r="L574" s="7"/>
      <c r="M574" s="7"/>
      <c r="N574" s="7"/>
      <c r="O574" s="7"/>
    </row>
    <row r="575">
      <c r="I575" s="7"/>
      <c r="J575" s="7"/>
      <c r="K575" s="7"/>
      <c r="L575" s="7"/>
      <c r="M575" s="7"/>
      <c r="N575" s="7"/>
      <c r="O575" s="7"/>
    </row>
    <row r="576">
      <c r="I576" s="7"/>
      <c r="J576" s="7"/>
      <c r="K576" s="7"/>
      <c r="L576" s="7"/>
      <c r="M576" s="7"/>
      <c r="N576" s="7"/>
      <c r="O576" s="7"/>
    </row>
    <row r="577">
      <c r="I577" s="7"/>
      <c r="J577" s="7"/>
      <c r="K577" s="7"/>
      <c r="L577" s="7"/>
      <c r="M577" s="7"/>
      <c r="N577" s="7"/>
      <c r="O577" s="7"/>
    </row>
    <row r="578">
      <c r="I578" s="7"/>
      <c r="J578" s="7"/>
      <c r="K578" s="7"/>
      <c r="L578" s="7"/>
      <c r="M578" s="7"/>
      <c r="N578" s="7"/>
      <c r="O578" s="7"/>
    </row>
    <row r="579">
      <c r="I579" s="7"/>
      <c r="J579" s="7"/>
      <c r="K579" s="7"/>
      <c r="L579" s="7"/>
      <c r="M579" s="7"/>
      <c r="N579" s="7"/>
      <c r="O579" s="7"/>
    </row>
    <row r="580">
      <c r="I580" s="7"/>
      <c r="J580" s="7"/>
      <c r="K580" s="7"/>
      <c r="L580" s="7"/>
      <c r="M580" s="7"/>
      <c r="N580" s="7"/>
      <c r="O580" s="7"/>
    </row>
    <row r="581">
      <c r="I581" s="7"/>
      <c r="J581" s="7"/>
      <c r="K581" s="7"/>
      <c r="L581" s="7"/>
      <c r="M581" s="7"/>
      <c r="N581" s="7"/>
      <c r="O581" s="7"/>
    </row>
    <row r="582">
      <c r="I582" s="7"/>
      <c r="J582" s="7"/>
      <c r="K582" s="7"/>
      <c r="L582" s="7"/>
      <c r="M582" s="7"/>
      <c r="N582" s="7"/>
      <c r="O582" s="7"/>
    </row>
    <row r="583">
      <c r="I583" s="7"/>
      <c r="J583" s="7"/>
      <c r="K583" s="7"/>
      <c r="L583" s="7"/>
      <c r="M583" s="7"/>
      <c r="N583" s="7"/>
      <c r="O583" s="7"/>
    </row>
    <row r="584">
      <c r="I584" s="7"/>
      <c r="J584" s="7"/>
      <c r="K584" s="7"/>
      <c r="L584" s="7"/>
      <c r="M584" s="7"/>
      <c r="N584" s="7"/>
      <c r="O584" s="7"/>
    </row>
    <row r="585">
      <c r="I585" s="7"/>
      <c r="J585" s="7"/>
      <c r="K585" s="7"/>
      <c r="L585" s="7"/>
      <c r="M585" s="7"/>
      <c r="N585" s="7"/>
      <c r="O585" s="7"/>
    </row>
    <row r="586">
      <c r="I586" s="7"/>
      <c r="J586" s="7"/>
      <c r="K586" s="7"/>
      <c r="L586" s="7"/>
      <c r="M586" s="7"/>
      <c r="N586" s="7"/>
      <c r="O586" s="7"/>
    </row>
    <row r="587">
      <c r="I587" s="7"/>
      <c r="J587" s="7"/>
      <c r="K587" s="7"/>
      <c r="L587" s="7"/>
      <c r="M587" s="7"/>
      <c r="N587" s="7"/>
      <c r="O587" s="7"/>
    </row>
    <row r="588">
      <c r="I588" s="7"/>
      <c r="J588" s="7"/>
      <c r="K588" s="7"/>
      <c r="L588" s="7"/>
      <c r="M588" s="7"/>
      <c r="N588" s="7"/>
      <c r="O588" s="7"/>
    </row>
    <row r="589">
      <c r="I589" s="7"/>
      <c r="J589" s="7"/>
      <c r="K589" s="7"/>
      <c r="L589" s="7"/>
      <c r="M589" s="7"/>
      <c r="N589" s="7"/>
      <c r="O589" s="7"/>
    </row>
    <row r="590">
      <c r="I590" s="7"/>
      <c r="J590" s="7"/>
      <c r="K590" s="7"/>
      <c r="L590" s="7"/>
      <c r="M590" s="7"/>
      <c r="N590" s="7"/>
      <c r="O590" s="7"/>
    </row>
    <row r="591">
      <c r="I591" s="7"/>
      <c r="J591" s="7"/>
      <c r="K591" s="7"/>
      <c r="L591" s="7"/>
      <c r="M591" s="7"/>
      <c r="N591" s="7"/>
      <c r="O591" s="7"/>
    </row>
    <row r="592">
      <c r="I592" s="7"/>
      <c r="J592" s="7"/>
      <c r="K592" s="7"/>
      <c r="L592" s="7"/>
      <c r="M592" s="7"/>
      <c r="N592" s="7"/>
      <c r="O592" s="7"/>
    </row>
    <row r="593">
      <c r="I593" s="7"/>
      <c r="J593" s="7"/>
      <c r="K593" s="7"/>
      <c r="L593" s="7"/>
      <c r="M593" s="7"/>
      <c r="N593" s="7"/>
      <c r="O593" s="7"/>
    </row>
    <row r="594">
      <c r="I594" s="7"/>
      <c r="J594" s="7"/>
      <c r="K594" s="7"/>
      <c r="L594" s="7"/>
      <c r="M594" s="7"/>
      <c r="N594" s="7"/>
      <c r="O594" s="7"/>
    </row>
    <row r="595">
      <c r="I595" s="7"/>
      <c r="J595" s="7"/>
      <c r="K595" s="7"/>
      <c r="L595" s="7"/>
      <c r="M595" s="7"/>
      <c r="N595" s="7"/>
      <c r="O595" s="7"/>
    </row>
    <row r="596">
      <c r="I596" s="7"/>
      <c r="J596" s="7"/>
      <c r="K596" s="7"/>
      <c r="L596" s="7"/>
      <c r="M596" s="7"/>
      <c r="N596" s="7"/>
      <c r="O596" s="7"/>
    </row>
    <row r="597">
      <c r="I597" s="7"/>
      <c r="J597" s="7"/>
      <c r="K597" s="7"/>
      <c r="L597" s="7"/>
      <c r="M597" s="7"/>
      <c r="N597" s="7"/>
      <c r="O597" s="7"/>
    </row>
    <row r="598">
      <c r="I598" s="7"/>
      <c r="J598" s="7"/>
      <c r="K598" s="7"/>
      <c r="L598" s="7"/>
      <c r="M598" s="7"/>
      <c r="N598" s="7"/>
      <c r="O598" s="7"/>
    </row>
    <row r="599">
      <c r="I599" s="7"/>
      <c r="J599" s="7"/>
      <c r="K599" s="7"/>
      <c r="L599" s="7"/>
      <c r="M599" s="7"/>
      <c r="N599" s="7"/>
      <c r="O599" s="7"/>
    </row>
    <row r="600">
      <c r="I600" s="7"/>
      <c r="J600" s="7"/>
      <c r="K600" s="7"/>
      <c r="L600" s="7"/>
      <c r="M600" s="7"/>
      <c r="N600" s="7"/>
      <c r="O600" s="7"/>
    </row>
    <row r="601">
      <c r="I601" s="7"/>
      <c r="J601" s="7"/>
      <c r="K601" s="7"/>
      <c r="L601" s="7"/>
      <c r="M601" s="7"/>
      <c r="N601" s="7"/>
      <c r="O601" s="7"/>
    </row>
    <row r="602">
      <c r="I602" s="7"/>
      <c r="J602" s="7"/>
      <c r="K602" s="7"/>
      <c r="L602" s="7"/>
      <c r="M602" s="7"/>
      <c r="N602" s="7"/>
      <c r="O602" s="7"/>
    </row>
    <row r="603">
      <c r="I603" s="7"/>
      <c r="J603" s="7"/>
      <c r="K603" s="7"/>
      <c r="L603" s="7"/>
      <c r="M603" s="7"/>
      <c r="N603" s="7"/>
      <c r="O603" s="7"/>
    </row>
    <row r="604">
      <c r="I604" s="7"/>
      <c r="J604" s="7"/>
      <c r="K604" s="7"/>
      <c r="L604" s="7"/>
      <c r="M604" s="7"/>
      <c r="N604" s="7"/>
      <c r="O604" s="7"/>
    </row>
    <row r="605">
      <c r="I605" s="7"/>
      <c r="J605" s="7"/>
      <c r="K605" s="7"/>
      <c r="L605" s="7"/>
      <c r="M605" s="7"/>
      <c r="N605" s="7"/>
      <c r="O605" s="7"/>
    </row>
    <row r="606">
      <c r="I606" s="7"/>
      <c r="J606" s="7"/>
      <c r="K606" s="7"/>
      <c r="L606" s="7"/>
      <c r="M606" s="7"/>
      <c r="N606" s="7"/>
      <c r="O606" s="7"/>
    </row>
    <row r="607">
      <c r="I607" s="7"/>
      <c r="J607" s="7"/>
      <c r="K607" s="7"/>
      <c r="L607" s="7"/>
      <c r="M607" s="7"/>
      <c r="N607" s="7"/>
      <c r="O607" s="7"/>
    </row>
    <row r="608">
      <c r="I608" s="7"/>
      <c r="J608" s="7"/>
      <c r="K608" s="7"/>
      <c r="L608" s="7"/>
      <c r="M608" s="7"/>
      <c r="N608" s="7"/>
      <c r="O608" s="7"/>
    </row>
    <row r="609">
      <c r="I609" s="7"/>
      <c r="J609" s="7"/>
      <c r="K609" s="7"/>
      <c r="L609" s="7"/>
      <c r="M609" s="7"/>
      <c r="N609" s="7"/>
      <c r="O609" s="7"/>
    </row>
    <row r="610">
      <c r="I610" s="7"/>
      <c r="J610" s="7"/>
      <c r="K610" s="7"/>
      <c r="L610" s="7"/>
      <c r="M610" s="7"/>
      <c r="N610" s="7"/>
      <c r="O610" s="7"/>
    </row>
    <row r="611">
      <c r="I611" s="7"/>
      <c r="J611" s="7"/>
      <c r="K611" s="7"/>
      <c r="L611" s="7"/>
      <c r="M611" s="7"/>
      <c r="N611" s="7"/>
      <c r="O611" s="7"/>
    </row>
    <row r="612">
      <c r="I612" s="7"/>
      <c r="J612" s="7"/>
      <c r="K612" s="7"/>
      <c r="L612" s="7"/>
      <c r="M612" s="7"/>
      <c r="N612" s="7"/>
      <c r="O612" s="7"/>
    </row>
    <row r="613">
      <c r="I613" s="7"/>
      <c r="J613" s="7"/>
      <c r="K613" s="7"/>
      <c r="L613" s="7"/>
      <c r="M613" s="7"/>
      <c r="N613" s="7"/>
      <c r="O613" s="7"/>
    </row>
    <row r="614">
      <c r="I614" s="7"/>
      <c r="J614" s="7"/>
      <c r="K614" s="7"/>
      <c r="L614" s="7"/>
      <c r="M614" s="7"/>
      <c r="N614" s="7"/>
      <c r="O614" s="7"/>
    </row>
    <row r="615">
      <c r="I615" s="7"/>
      <c r="J615" s="7"/>
      <c r="K615" s="7"/>
      <c r="L615" s="7"/>
      <c r="M615" s="7"/>
      <c r="N615" s="7"/>
      <c r="O615" s="7"/>
    </row>
    <row r="616">
      <c r="I616" s="7"/>
      <c r="J616" s="7"/>
      <c r="K616" s="7"/>
      <c r="L616" s="7"/>
      <c r="M616" s="7"/>
      <c r="N616" s="7"/>
      <c r="O616" s="7"/>
    </row>
    <row r="617">
      <c r="I617" s="7"/>
      <c r="J617" s="7"/>
      <c r="K617" s="7"/>
      <c r="L617" s="7"/>
      <c r="M617" s="7"/>
      <c r="N617" s="7"/>
      <c r="O617" s="7"/>
    </row>
    <row r="618">
      <c r="I618" s="7"/>
      <c r="J618" s="7"/>
      <c r="K618" s="7"/>
      <c r="L618" s="7"/>
      <c r="M618" s="7"/>
      <c r="N618" s="7"/>
      <c r="O618" s="7"/>
    </row>
    <row r="619">
      <c r="I619" s="7"/>
      <c r="J619" s="7"/>
      <c r="K619" s="7"/>
      <c r="L619" s="7"/>
      <c r="M619" s="7"/>
      <c r="N619" s="7"/>
      <c r="O619" s="7"/>
    </row>
    <row r="620">
      <c r="I620" s="7"/>
      <c r="J620" s="7"/>
      <c r="K620" s="7"/>
      <c r="L620" s="7"/>
      <c r="M620" s="7"/>
      <c r="N620" s="7"/>
      <c r="O620" s="7"/>
    </row>
    <row r="621">
      <c r="I621" s="7"/>
      <c r="J621" s="7"/>
      <c r="K621" s="7"/>
      <c r="L621" s="7"/>
      <c r="M621" s="7"/>
      <c r="N621" s="7"/>
      <c r="O621" s="7"/>
    </row>
    <row r="622">
      <c r="I622" s="7"/>
      <c r="J622" s="7"/>
      <c r="K622" s="7"/>
      <c r="L622" s="7"/>
      <c r="M622" s="7"/>
      <c r="N622" s="7"/>
      <c r="O622" s="7"/>
    </row>
    <row r="623">
      <c r="I623" s="7"/>
      <c r="J623" s="7"/>
      <c r="K623" s="7"/>
      <c r="L623" s="7"/>
      <c r="M623" s="7"/>
      <c r="N623" s="7"/>
      <c r="O623" s="7"/>
    </row>
    <row r="624">
      <c r="I624" s="7"/>
      <c r="J624" s="7"/>
      <c r="K624" s="7"/>
      <c r="L624" s="7"/>
      <c r="M624" s="7"/>
      <c r="N624" s="7"/>
      <c r="O624" s="7"/>
    </row>
    <row r="625">
      <c r="I625" s="7"/>
      <c r="J625" s="7"/>
      <c r="K625" s="7"/>
      <c r="L625" s="7"/>
      <c r="M625" s="7"/>
      <c r="N625" s="7"/>
      <c r="O625" s="7"/>
    </row>
    <row r="626">
      <c r="I626" s="7"/>
      <c r="J626" s="7"/>
      <c r="K626" s="7"/>
      <c r="L626" s="7"/>
      <c r="M626" s="7"/>
      <c r="N626" s="7"/>
      <c r="O626" s="7"/>
    </row>
    <row r="627">
      <c r="I627" s="7"/>
      <c r="J627" s="7"/>
      <c r="K627" s="7"/>
      <c r="L627" s="7"/>
      <c r="M627" s="7"/>
      <c r="N627" s="7"/>
      <c r="O627" s="7"/>
    </row>
    <row r="628">
      <c r="I628" s="7"/>
      <c r="J628" s="7"/>
      <c r="K628" s="7"/>
      <c r="L628" s="7"/>
      <c r="M628" s="7"/>
      <c r="N628" s="7"/>
      <c r="O628" s="7"/>
    </row>
    <row r="629">
      <c r="I629" s="7"/>
      <c r="J629" s="7"/>
      <c r="K629" s="7"/>
      <c r="L629" s="7"/>
      <c r="M629" s="7"/>
      <c r="N629" s="7"/>
      <c r="O629" s="7"/>
    </row>
    <row r="630">
      <c r="I630" s="7"/>
      <c r="J630" s="7"/>
      <c r="K630" s="7"/>
      <c r="L630" s="7"/>
      <c r="M630" s="7"/>
      <c r="N630" s="7"/>
      <c r="O630" s="7"/>
    </row>
    <row r="631">
      <c r="I631" s="7"/>
      <c r="J631" s="7"/>
      <c r="K631" s="7"/>
      <c r="L631" s="7"/>
      <c r="M631" s="7"/>
      <c r="N631" s="7"/>
      <c r="O631" s="7"/>
    </row>
    <row r="632">
      <c r="I632" s="7"/>
      <c r="J632" s="7"/>
      <c r="K632" s="7"/>
      <c r="L632" s="7"/>
      <c r="M632" s="7"/>
      <c r="N632" s="7"/>
      <c r="O632" s="7"/>
    </row>
    <row r="633">
      <c r="I633" s="7"/>
      <c r="J633" s="7"/>
      <c r="K633" s="7"/>
      <c r="L633" s="7"/>
      <c r="M633" s="7"/>
      <c r="N633" s="7"/>
      <c r="O633" s="7"/>
    </row>
    <row r="634">
      <c r="I634" s="7"/>
      <c r="J634" s="7"/>
      <c r="K634" s="7"/>
      <c r="L634" s="7"/>
      <c r="M634" s="7"/>
      <c r="N634" s="7"/>
      <c r="O634" s="7"/>
    </row>
    <row r="635">
      <c r="I635" s="7"/>
      <c r="J635" s="7"/>
      <c r="K635" s="7"/>
      <c r="L635" s="7"/>
      <c r="M635" s="7"/>
      <c r="N635" s="7"/>
      <c r="O635" s="7"/>
    </row>
    <row r="636">
      <c r="I636" s="7"/>
      <c r="J636" s="7"/>
      <c r="K636" s="7"/>
      <c r="L636" s="7"/>
      <c r="M636" s="7"/>
      <c r="N636" s="7"/>
      <c r="O636" s="7"/>
    </row>
    <row r="637">
      <c r="I637" s="7"/>
      <c r="J637" s="7"/>
      <c r="K637" s="7"/>
      <c r="L637" s="7"/>
      <c r="M637" s="7"/>
      <c r="N637" s="7"/>
      <c r="O637" s="7"/>
    </row>
    <row r="638">
      <c r="I638" s="7"/>
      <c r="J638" s="7"/>
      <c r="K638" s="7"/>
      <c r="L638" s="7"/>
      <c r="M638" s="7"/>
      <c r="N638" s="7"/>
      <c r="O638" s="7"/>
    </row>
    <row r="639">
      <c r="I639" s="7"/>
      <c r="J639" s="7"/>
      <c r="K639" s="7"/>
      <c r="L639" s="7"/>
      <c r="M639" s="7"/>
      <c r="N639" s="7"/>
      <c r="O639" s="7"/>
    </row>
    <row r="640">
      <c r="I640" s="7"/>
      <c r="J640" s="7"/>
      <c r="K640" s="7"/>
      <c r="L640" s="7"/>
      <c r="M640" s="7"/>
      <c r="N640" s="7"/>
      <c r="O640" s="7"/>
    </row>
    <row r="641">
      <c r="I641" s="7"/>
      <c r="J641" s="7"/>
      <c r="K641" s="7"/>
      <c r="L641" s="7"/>
      <c r="M641" s="7"/>
      <c r="N641" s="7"/>
      <c r="O641" s="7"/>
    </row>
    <row r="642">
      <c r="I642" s="7"/>
      <c r="J642" s="7"/>
      <c r="K642" s="7"/>
      <c r="L642" s="7"/>
      <c r="M642" s="7"/>
      <c r="N642" s="7"/>
      <c r="O642" s="7"/>
    </row>
    <row r="643">
      <c r="I643" s="7"/>
      <c r="J643" s="7"/>
      <c r="K643" s="7"/>
      <c r="L643" s="7"/>
      <c r="M643" s="7"/>
      <c r="N643" s="7"/>
      <c r="O643" s="7"/>
    </row>
    <row r="644">
      <c r="I644" s="7"/>
      <c r="J644" s="7"/>
      <c r="K644" s="7"/>
      <c r="L644" s="7"/>
      <c r="M644" s="7"/>
      <c r="N644" s="7"/>
      <c r="O644" s="7"/>
    </row>
    <row r="645">
      <c r="I645" s="7"/>
      <c r="J645" s="7"/>
      <c r="K645" s="7"/>
      <c r="L645" s="7"/>
      <c r="M645" s="7"/>
      <c r="N645" s="7"/>
      <c r="O645" s="7"/>
    </row>
    <row r="646">
      <c r="I646" s="7"/>
      <c r="J646" s="7"/>
      <c r="K646" s="7"/>
      <c r="L646" s="7"/>
      <c r="M646" s="7"/>
      <c r="N646" s="7"/>
      <c r="O646" s="7"/>
    </row>
    <row r="647">
      <c r="I647" s="7"/>
      <c r="J647" s="7"/>
      <c r="K647" s="7"/>
      <c r="L647" s="7"/>
      <c r="M647" s="7"/>
      <c r="N647" s="7"/>
      <c r="O647" s="7"/>
    </row>
    <row r="648">
      <c r="I648" s="7"/>
      <c r="J648" s="7"/>
      <c r="K648" s="7"/>
      <c r="L648" s="7"/>
      <c r="M648" s="7"/>
      <c r="N648" s="7"/>
      <c r="O648" s="7"/>
    </row>
    <row r="649">
      <c r="I649" s="7"/>
      <c r="J649" s="7"/>
      <c r="K649" s="7"/>
      <c r="L649" s="7"/>
      <c r="M649" s="7"/>
      <c r="N649" s="7"/>
      <c r="O649" s="7"/>
    </row>
    <row r="650">
      <c r="I650" s="7"/>
      <c r="J650" s="7"/>
      <c r="K650" s="7"/>
      <c r="L650" s="7"/>
      <c r="M650" s="7"/>
      <c r="N650" s="7"/>
      <c r="O650" s="7"/>
    </row>
    <row r="651">
      <c r="I651" s="7"/>
      <c r="J651" s="7"/>
      <c r="K651" s="7"/>
      <c r="L651" s="7"/>
      <c r="M651" s="7"/>
      <c r="N651" s="7"/>
      <c r="O651" s="7"/>
    </row>
    <row r="652">
      <c r="I652" s="7"/>
      <c r="J652" s="7"/>
      <c r="K652" s="7"/>
      <c r="L652" s="7"/>
      <c r="M652" s="7"/>
      <c r="N652" s="7"/>
      <c r="O652" s="7"/>
    </row>
    <row r="653">
      <c r="I653" s="7"/>
      <c r="J653" s="7"/>
      <c r="K653" s="7"/>
      <c r="L653" s="7"/>
      <c r="M653" s="7"/>
      <c r="N653" s="7"/>
      <c r="O653" s="7"/>
    </row>
    <row r="654">
      <c r="I654" s="7"/>
      <c r="J654" s="7"/>
      <c r="K654" s="7"/>
      <c r="L654" s="7"/>
      <c r="M654" s="7"/>
      <c r="N654" s="7"/>
      <c r="O654" s="7"/>
    </row>
    <row r="655">
      <c r="I655" s="7"/>
      <c r="J655" s="7"/>
      <c r="K655" s="7"/>
      <c r="L655" s="7"/>
      <c r="M655" s="7"/>
      <c r="N655" s="7"/>
      <c r="O655" s="7"/>
    </row>
    <row r="656">
      <c r="I656" s="7"/>
      <c r="J656" s="7"/>
      <c r="K656" s="7"/>
      <c r="L656" s="7"/>
      <c r="M656" s="7"/>
      <c r="N656" s="7"/>
      <c r="O656" s="7"/>
    </row>
    <row r="657">
      <c r="I657" s="7"/>
      <c r="J657" s="7"/>
      <c r="K657" s="7"/>
      <c r="L657" s="7"/>
      <c r="M657" s="7"/>
      <c r="N657" s="7"/>
      <c r="O657" s="7"/>
    </row>
    <row r="658">
      <c r="I658" s="7"/>
      <c r="J658" s="7"/>
      <c r="K658" s="7"/>
      <c r="L658" s="7"/>
      <c r="M658" s="7"/>
      <c r="N658" s="7"/>
      <c r="O658" s="7"/>
    </row>
    <row r="659">
      <c r="I659" s="7"/>
      <c r="J659" s="7"/>
      <c r="K659" s="7"/>
      <c r="L659" s="7"/>
      <c r="M659" s="7"/>
      <c r="N659" s="7"/>
      <c r="O659" s="7"/>
    </row>
    <row r="660">
      <c r="I660" s="7"/>
      <c r="J660" s="7"/>
      <c r="K660" s="7"/>
      <c r="L660" s="7"/>
      <c r="M660" s="7"/>
      <c r="N660" s="7"/>
      <c r="O660" s="7"/>
    </row>
    <row r="661">
      <c r="I661" s="7"/>
      <c r="J661" s="7"/>
      <c r="K661" s="7"/>
      <c r="L661" s="7"/>
      <c r="M661" s="7"/>
      <c r="N661" s="7"/>
      <c r="O661" s="7"/>
    </row>
    <row r="662">
      <c r="I662" s="7"/>
      <c r="J662" s="7"/>
      <c r="K662" s="7"/>
      <c r="L662" s="7"/>
      <c r="M662" s="7"/>
      <c r="N662" s="7"/>
      <c r="O662" s="7"/>
    </row>
    <row r="663">
      <c r="I663" s="7"/>
      <c r="J663" s="7"/>
      <c r="K663" s="7"/>
      <c r="L663" s="7"/>
      <c r="M663" s="7"/>
      <c r="N663" s="7"/>
      <c r="O663" s="7"/>
    </row>
    <row r="664">
      <c r="I664" s="7"/>
      <c r="J664" s="7"/>
      <c r="K664" s="7"/>
      <c r="L664" s="7"/>
      <c r="M664" s="7"/>
      <c r="N664" s="7"/>
      <c r="O664" s="7"/>
    </row>
    <row r="665">
      <c r="I665" s="7"/>
      <c r="J665" s="7"/>
      <c r="K665" s="7"/>
      <c r="L665" s="7"/>
      <c r="M665" s="7"/>
      <c r="N665" s="7"/>
      <c r="O665" s="7"/>
    </row>
    <row r="666">
      <c r="I666" s="7"/>
      <c r="J666" s="7"/>
      <c r="K666" s="7"/>
      <c r="L666" s="7"/>
      <c r="M666" s="7"/>
      <c r="N666" s="7"/>
      <c r="O666" s="7"/>
    </row>
    <row r="667">
      <c r="I667" s="7"/>
      <c r="J667" s="7"/>
      <c r="K667" s="7"/>
      <c r="L667" s="7"/>
      <c r="M667" s="7"/>
      <c r="N667" s="7"/>
      <c r="O667" s="7"/>
    </row>
    <row r="668">
      <c r="I668" s="7"/>
      <c r="J668" s="7"/>
      <c r="K668" s="7"/>
      <c r="L668" s="7"/>
      <c r="M668" s="7"/>
      <c r="N668" s="7"/>
      <c r="O668" s="7"/>
    </row>
    <row r="669">
      <c r="I669" s="7"/>
      <c r="J669" s="7"/>
      <c r="K669" s="7"/>
      <c r="L669" s="7"/>
      <c r="M669" s="7"/>
      <c r="N669" s="7"/>
      <c r="O669" s="7"/>
    </row>
    <row r="670">
      <c r="I670" s="7"/>
      <c r="J670" s="7"/>
      <c r="K670" s="7"/>
      <c r="L670" s="7"/>
      <c r="M670" s="7"/>
      <c r="N670" s="7"/>
      <c r="O670" s="7"/>
    </row>
    <row r="671">
      <c r="I671" s="7"/>
      <c r="J671" s="7"/>
      <c r="K671" s="7"/>
      <c r="L671" s="7"/>
      <c r="M671" s="7"/>
      <c r="N671" s="7"/>
      <c r="O671" s="7"/>
    </row>
    <row r="672">
      <c r="I672" s="7"/>
      <c r="J672" s="7"/>
      <c r="K672" s="7"/>
      <c r="L672" s="7"/>
      <c r="M672" s="7"/>
      <c r="N672" s="7"/>
      <c r="O672" s="7"/>
    </row>
    <row r="673">
      <c r="I673" s="7"/>
      <c r="J673" s="7"/>
      <c r="K673" s="7"/>
      <c r="L673" s="7"/>
      <c r="M673" s="7"/>
      <c r="N673" s="7"/>
      <c r="O673" s="7"/>
    </row>
    <row r="674">
      <c r="I674" s="7"/>
      <c r="J674" s="7"/>
      <c r="K674" s="7"/>
      <c r="L674" s="7"/>
      <c r="M674" s="7"/>
      <c r="N674" s="7"/>
      <c r="O674" s="7"/>
    </row>
    <row r="675">
      <c r="I675" s="7"/>
      <c r="J675" s="7"/>
      <c r="K675" s="7"/>
      <c r="L675" s="7"/>
      <c r="M675" s="7"/>
      <c r="N675" s="7"/>
      <c r="O675" s="7"/>
    </row>
    <row r="676">
      <c r="I676" s="7"/>
      <c r="J676" s="7"/>
      <c r="K676" s="7"/>
      <c r="L676" s="7"/>
      <c r="M676" s="7"/>
      <c r="N676" s="7"/>
      <c r="O676" s="7"/>
    </row>
    <row r="677">
      <c r="I677" s="7"/>
      <c r="J677" s="7"/>
      <c r="K677" s="7"/>
      <c r="L677" s="7"/>
      <c r="M677" s="7"/>
      <c r="N677" s="7"/>
      <c r="O677" s="7"/>
    </row>
    <row r="678">
      <c r="I678" s="7"/>
      <c r="J678" s="7"/>
      <c r="K678" s="7"/>
      <c r="L678" s="7"/>
      <c r="M678" s="7"/>
      <c r="N678" s="7"/>
      <c r="O678" s="7"/>
    </row>
    <row r="679">
      <c r="I679" s="7"/>
      <c r="J679" s="7"/>
      <c r="K679" s="7"/>
      <c r="L679" s="7"/>
      <c r="M679" s="7"/>
      <c r="N679" s="7"/>
      <c r="O679" s="7"/>
    </row>
    <row r="680">
      <c r="I680" s="7"/>
      <c r="J680" s="7"/>
      <c r="K680" s="7"/>
      <c r="L680" s="7"/>
      <c r="M680" s="7"/>
      <c r="N680" s="7"/>
      <c r="O680" s="7"/>
    </row>
    <row r="681">
      <c r="I681" s="7"/>
      <c r="J681" s="7"/>
      <c r="K681" s="7"/>
      <c r="L681" s="7"/>
      <c r="M681" s="7"/>
      <c r="N681" s="7"/>
      <c r="O681" s="7"/>
    </row>
    <row r="682">
      <c r="I682" s="7"/>
      <c r="J682" s="7"/>
      <c r="K682" s="7"/>
      <c r="L682" s="7"/>
      <c r="M682" s="7"/>
      <c r="N682" s="7"/>
      <c r="O682" s="7"/>
    </row>
    <row r="683">
      <c r="I683" s="7"/>
      <c r="J683" s="7"/>
      <c r="K683" s="7"/>
      <c r="L683" s="7"/>
      <c r="M683" s="7"/>
      <c r="N683" s="7"/>
      <c r="O683" s="7"/>
    </row>
    <row r="684">
      <c r="I684" s="7"/>
      <c r="J684" s="7"/>
      <c r="K684" s="7"/>
      <c r="L684" s="7"/>
      <c r="M684" s="7"/>
      <c r="N684" s="7"/>
      <c r="O684" s="7"/>
    </row>
    <row r="685">
      <c r="I685" s="7"/>
      <c r="J685" s="7"/>
      <c r="K685" s="7"/>
      <c r="L685" s="7"/>
      <c r="M685" s="7"/>
      <c r="N685" s="7"/>
      <c r="O685" s="7"/>
    </row>
    <row r="686">
      <c r="I686" s="7"/>
      <c r="J686" s="7"/>
      <c r="K686" s="7"/>
      <c r="L686" s="7"/>
      <c r="M686" s="7"/>
      <c r="N686" s="7"/>
      <c r="O686" s="7"/>
    </row>
    <row r="687">
      <c r="I687" s="7"/>
      <c r="J687" s="7"/>
      <c r="K687" s="7"/>
      <c r="L687" s="7"/>
      <c r="M687" s="7"/>
      <c r="N687" s="7"/>
      <c r="O687" s="7"/>
    </row>
    <row r="688">
      <c r="I688" s="7"/>
      <c r="J688" s="7"/>
      <c r="K688" s="7"/>
      <c r="L688" s="7"/>
      <c r="M688" s="7"/>
      <c r="N688" s="7"/>
      <c r="O688" s="7"/>
    </row>
    <row r="689">
      <c r="I689" s="7"/>
      <c r="J689" s="7"/>
      <c r="K689" s="7"/>
      <c r="L689" s="7"/>
      <c r="M689" s="7"/>
      <c r="N689" s="7"/>
      <c r="O689" s="7"/>
    </row>
    <row r="690">
      <c r="I690" s="7"/>
      <c r="J690" s="7"/>
      <c r="K690" s="7"/>
      <c r="L690" s="7"/>
      <c r="M690" s="7"/>
      <c r="N690" s="7"/>
      <c r="O690" s="7"/>
    </row>
    <row r="691">
      <c r="I691" s="7"/>
      <c r="J691" s="7"/>
      <c r="K691" s="7"/>
      <c r="L691" s="7"/>
      <c r="M691" s="7"/>
      <c r="N691" s="7"/>
      <c r="O691" s="7"/>
    </row>
    <row r="692">
      <c r="I692" s="7"/>
      <c r="J692" s="7"/>
      <c r="K692" s="7"/>
      <c r="L692" s="7"/>
      <c r="M692" s="7"/>
      <c r="N692" s="7"/>
      <c r="O692" s="7"/>
    </row>
    <row r="693">
      <c r="I693" s="7"/>
      <c r="J693" s="7"/>
      <c r="K693" s="7"/>
      <c r="L693" s="7"/>
      <c r="M693" s="7"/>
      <c r="N693" s="7"/>
      <c r="O693" s="7"/>
    </row>
    <row r="694">
      <c r="I694" s="7"/>
      <c r="J694" s="7"/>
      <c r="K694" s="7"/>
      <c r="L694" s="7"/>
      <c r="M694" s="7"/>
      <c r="N694" s="7"/>
      <c r="O694" s="7"/>
    </row>
    <row r="695">
      <c r="I695" s="7"/>
      <c r="J695" s="7"/>
      <c r="K695" s="7"/>
      <c r="L695" s="7"/>
      <c r="M695" s="7"/>
      <c r="N695" s="7"/>
      <c r="O695" s="7"/>
    </row>
    <row r="696">
      <c r="I696" s="7"/>
      <c r="J696" s="7"/>
      <c r="K696" s="7"/>
      <c r="L696" s="7"/>
      <c r="M696" s="7"/>
      <c r="N696" s="7"/>
      <c r="O696" s="7"/>
    </row>
    <row r="697">
      <c r="I697" s="7"/>
      <c r="J697" s="7"/>
      <c r="K697" s="7"/>
      <c r="L697" s="7"/>
      <c r="M697" s="7"/>
      <c r="N697" s="7"/>
      <c r="O697" s="7"/>
    </row>
    <row r="698">
      <c r="I698" s="7"/>
      <c r="J698" s="7"/>
      <c r="K698" s="7"/>
      <c r="L698" s="7"/>
      <c r="M698" s="7"/>
      <c r="N698" s="7"/>
      <c r="O698" s="7"/>
    </row>
    <row r="699">
      <c r="I699" s="7"/>
      <c r="J699" s="7"/>
      <c r="K699" s="7"/>
      <c r="L699" s="7"/>
      <c r="M699" s="7"/>
      <c r="N699" s="7"/>
      <c r="O699" s="7"/>
    </row>
    <row r="700">
      <c r="I700" s="7"/>
      <c r="J700" s="7"/>
      <c r="K700" s="7"/>
      <c r="L700" s="7"/>
      <c r="M700" s="7"/>
      <c r="N700" s="7"/>
      <c r="O700" s="7"/>
    </row>
    <row r="701">
      <c r="I701" s="7"/>
      <c r="J701" s="7"/>
      <c r="K701" s="7"/>
      <c r="L701" s="7"/>
      <c r="M701" s="7"/>
      <c r="N701" s="7"/>
      <c r="O701" s="7"/>
    </row>
    <row r="702">
      <c r="I702" s="7"/>
      <c r="J702" s="7"/>
      <c r="K702" s="7"/>
      <c r="L702" s="7"/>
      <c r="M702" s="7"/>
      <c r="N702" s="7"/>
      <c r="O702" s="7"/>
    </row>
    <row r="703">
      <c r="I703" s="7"/>
      <c r="J703" s="7"/>
      <c r="K703" s="7"/>
      <c r="L703" s="7"/>
      <c r="M703" s="7"/>
      <c r="N703" s="7"/>
      <c r="O703" s="7"/>
    </row>
    <row r="704">
      <c r="I704" s="7"/>
      <c r="J704" s="7"/>
      <c r="K704" s="7"/>
      <c r="L704" s="7"/>
      <c r="M704" s="7"/>
      <c r="N704" s="7"/>
      <c r="O704" s="7"/>
    </row>
    <row r="705">
      <c r="I705" s="7"/>
      <c r="J705" s="7"/>
      <c r="K705" s="7"/>
      <c r="L705" s="7"/>
      <c r="M705" s="7"/>
      <c r="N705" s="7"/>
      <c r="O705" s="7"/>
    </row>
    <row r="706">
      <c r="I706" s="7"/>
      <c r="J706" s="7"/>
      <c r="K706" s="7"/>
      <c r="L706" s="7"/>
      <c r="M706" s="7"/>
      <c r="N706" s="7"/>
      <c r="O706" s="7"/>
    </row>
    <row r="707">
      <c r="I707" s="7"/>
      <c r="J707" s="7"/>
      <c r="K707" s="7"/>
      <c r="L707" s="7"/>
      <c r="M707" s="7"/>
      <c r="N707" s="7"/>
      <c r="O707" s="7"/>
    </row>
    <row r="708">
      <c r="I708" s="7"/>
      <c r="J708" s="7"/>
      <c r="K708" s="7"/>
      <c r="L708" s="7"/>
      <c r="M708" s="7"/>
      <c r="N708" s="7"/>
      <c r="O708" s="7"/>
    </row>
    <row r="709">
      <c r="I709" s="7"/>
      <c r="J709" s="7"/>
      <c r="K709" s="7"/>
      <c r="L709" s="7"/>
      <c r="M709" s="7"/>
      <c r="N709" s="7"/>
      <c r="O709" s="7"/>
    </row>
    <row r="710">
      <c r="I710" s="7"/>
      <c r="J710" s="7"/>
      <c r="K710" s="7"/>
      <c r="L710" s="7"/>
      <c r="M710" s="7"/>
      <c r="N710" s="7"/>
      <c r="O710" s="7"/>
    </row>
    <row r="711">
      <c r="I711" s="7"/>
      <c r="J711" s="7"/>
      <c r="K711" s="7"/>
      <c r="L711" s="7"/>
      <c r="M711" s="7"/>
      <c r="N711" s="7"/>
      <c r="O711" s="7"/>
    </row>
    <row r="712">
      <c r="I712" s="7"/>
      <c r="J712" s="7"/>
      <c r="K712" s="7"/>
      <c r="L712" s="7"/>
      <c r="M712" s="7"/>
      <c r="N712" s="7"/>
      <c r="O712" s="7"/>
    </row>
    <row r="713">
      <c r="I713" s="7"/>
      <c r="J713" s="7"/>
      <c r="K713" s="7"/>
      <c r="L713" s="7"/>
      <c r="M713" s="7"/>
      <c r="N713" s="7"/>
      <c r="O713" s="7"/>
    </row>
    <row r="714">
      <c r="I714" s="7"/>
      <c r="J714" s="7"/>
      <c r="K714" s="7"/>
      <c r="L714" s="7"/>
      <c r="M714" s="7"/>
      <c r="N714" s="7"/>
      <c r="O714" s="7"/>
    </row>
    <row r="715">
      <c r="I715" s="7"/>
      <c r="J715" s="7"/>
      <c r="K715" s="7"/>
      <c r="L715" s="7"/>
      <c r="M715" s="7"/>
      <c r="N715" s="7"/>
      <c r="O715" s="7"/>
    </row>
    <row r="716">
      <c r="I716" s="7"/>
      <c r="J716" s="7"/>
      <c r="K716" s="7"/>
      <c r="L716" s="7"/>
      <c r="M716" s="7"/>
      <c r="N716" s="7"/>
      <c r="O716" s="7"/>
    </row>
    <row r="717">
      <c r="I717" s="7"/>
      <c r="J717" s="7"/>
      <c r="K717" s="7"/>
      <c r="L717" s="7"/>
      <c r="M717" s="7"/>
      <c r="N717" s="7"/>
      <c r="O717" s="7"/>
    </row>
    <row r="718">
      <c r="I718" s="7"/>
      <c r="J718" s="7"/>
      <c r="K718" s="7"/>
      <c r="L718" s="7"/>
      <c r="M718" s="7"/>
      <c r="N718" s="7"/>
      <c r="O718" s="7"/>
    </row>
    <row r="719">
      <c r="I719" s="7"/>
      <c r="J719" s="7"/>
      <c r="K719" s="7"/>
      <c r="L719" s="7"/>
      <c r="M719" s="7"/>
      <c r="N719" s="7"/>
      <c r="O719" s="7"/>
    </row>
    <row r="720">
      <c r="I720" s="7"/>
      <c r="J720" s="7"/>
      <c r="K720" s="7"/>
      <c r="L720" s="7"/>
      <c r="M720" s="7"/>
      <c r="N720" s="7"/>
      <c r="O720" s="7"/>
    </row>
    <row r="721">
      <c r="I721" s="7"/>
      <c r="J721" s="7"/>
      <c r="K721" s="7"/>
      <c r="L721" s="7"/>
      <c r="M721" s="7"/>
      <c r="N721" s="7"/>
      <c r="O721" s="7"/>
    </row>
    <row r="722">
      <c r="I722" s="7"/>
      <c r="J722" s="7"/>
      <c r="K722" s="7"/>
      <c r="L722" s="7"/>
      <c r="M722" s="7"/>
      <c r="N722" s="7"/>
      <c r="O722" s="7"/>
    </row>
    <row r="723">
      <c r="I723" s="7"/>
      <c r="J723" s="7"/>
      <c r="K723" s="7"/>
      <c r="L723" s="7"/>
      <c r="M723" s="7"/>
      <c r="N723" s="7"/>
      <c r="O723" s="7"/>
    </row>
    <row r="724">
      <c r="I724" s="7"/>
      <c r="J724" s="7"/>
      <c r="K724" s="7"/>
      <c r="L724" s="7"/>
      <c r="M724" s="7"/>
      <c r="N724" s="7"/>
      <c r="O724" s="7"/>
    </row>
    <row r="725">
      <c r="I725" s="7"/>
      <c r="J725" s="7"/>
      <c r="K725" s="7"/>
      <c r="L725" s="7"/>
      <c r="M725" s="7"/>
      <c r="N725" s="7"/>
      <c r="O725" s="7"/>
    </row>
    <row r="726">
      <c r="I726" s="7"/>
      <c r="J726" s="7"/>
      <c r="K726" s="7"/>
      <c r="L726" s="7"/>
      <c r="M726" s="7"/>
      <c r="N726" s="7"/>
      <c r="O726" s="7"/>
    </row>
    <row r="727">
      <c r="I727" s="7"/>
      <c r="J727" s="7"/>
      <c r="K727" s="7"/>
      <c r="L727" s="7"/>
      <c r="M727" s="7"/>
      <c r="N727" s="7"/>
      <c r="O727" s="7"/>
    </row>
    <row r="728">
      <c r="I728" s="7"/>
      <c r="J728" s="7"/>
      <c r="K728" s="7"/>
      <c r="L728" s="7"/>
      <c r="M728" s="7"/>
      <c r="N728" s="7"/>
      <c r="O728" s="7"/>
    </row>
    <row r="729">
      <c r="I729" s="7"/>
      <c r="J729" s="7"/>
      <c r="K729" s="7"/>
      <c r="L729" s="7"/>
      <c r="M729" s="7"/>
      <c r="N729" s="7"/>
      <c r="O729" s="7"/>
    </row>
    <row r="730">
      <c r="I730" s="7"/>
      <c r="J730" s="7"/>
      <c r="K730" s="7"/>
      <c r="L730" s="7"/>
      <c r="M730" s="7"/>
      <c r="N730" s="7"/>
      <c r="O730" s="7"/>
    </row>
    <row r="731">
      <c r="I731" s="7"/>
      <c r="J731" s="7"/>
      <c r="K731" s="7"/>
      <c r="L731" s="7"/>
      <c r="M731" s="7"/>
      <c r="N731" s="7"/>
      <c r="O731" s="7"/>
    </row>
    <row r="732">
      <c r="I732" s="7"/>
      <c r="J732" s="7"/>
      <c r="K732" s="7"/>
      <c r="L732" s="7"/>
      <c r="M732" s="7"/>
      <c r="N732" s="7"/>
      <c r="O732" s="7"/>
    </row>
    <row r="733">
      <c r="I733" s="7"/>
      <c r="J733" s="7"/>
      <c r="K733" s="7"/>
      <c r="L733" s="7"/>
      <c r="M733" s="7"/>
      <c r="N733" s="7"/>
      <c r="O733" s="7"/>
    </row>
    <row r="734">
      <c r="I734" s="7"/>
      <c r="J734" s="7"/>
      <c r="K734" s="7"/>
      <c r="L734" s="7"/>
      <c r="M734" s="7"/>
      <c r="N734" s="7"/>
      <c r="O734" s="7"/>
    </row>
    <row r="735">
      <c r="I735" s="7"/>
      <c r="J735" s="7"/>
      <c r="K735" s="7"/>
      <c r="L735" s="7"/>
      <c r="M735" s="7"/>
      <c r="N735" s="7"/>
      <c r="O735" s="7"/>
    </row>
    <row r="736">
      <c r="I736" s="7"/>
      <c r="J736" s="7"/>
      <c r="K736" s="7"/>
      <c r="L736" s="7"/>
      <c r="M736" s="7"/>
      <c r="N736" s="7"/>
      <c r="O736" s="7"/>
    </row>
    <row r="737">
      <c r="I737" s="7"/>
      <c r="J737" s="7"/>
      <c r="K737" s="7"/>
      <c r="L737" s="7"/>
      <c r="M737" s="7"/>
      <c r="N737" s="7"/>
      <c r="O737" s="7"/>
    </row>
    <row r="738">
      <c r="I738" s="7"/>
      <c r="J738" s="7"/>
      <c r="K738" s="7"/>
      <c r="L738" s="7"/>
      <c r="M738" s="7"/>
      <c r="N738" s="7"/>
      <c r="O738" s="7"/>
    </row>
    <row r="739">
      <c r="I739" s="7"/>
      <c r="J739" s="7"/>
      <c r="K739" s="7"/>
      <c r="L739" s="7"/>
      <c r="M739" s="7"/>
      <c r="N739" s="7"/>
      <c r="O739" s="7"/>
    </row>
    <row r="740">
      <c r="I740" s="7"/>
      <c r="J740" s="7"/>
      <c r="K740" s="7"/>
      <c r="L740" s="7"/>
      <c r="M740" s="7"/>
      <c r="N740" s="7"/>
      <c r="O740" s="7"/>
    </row>
    <row r="741">
      <c r="I741" s="7"/>
      <c r="J741" s="7"/>
      <c r="K741" s="7"/>
      <c r="L741" s="7"/>
      <c r="M741" s="7"/>
      <c r="N741" s="7"/>
      <c r="O741" s="7"/>
    </row>
    <row r="742">
      <c r="I742" s="7"/>
      <c r="J742" s="7"/>
      <c r="K742" s="7"/>
      <c r="L742" s="7"/>
      <c r="M742" s="7"/>
      <c r="N742" s="7"/>
      <c r="O742" s="7"/>
    </row>
    <row r="743">
      <c r="I743" s="7"/>
      <c r="J743" s="7"/>
      <c r="K743" s="7"/>
      <c r="L743" s="7"/>
      <c r="M743" s="7"/>
      <c r="N743" s="7"/>
      <c r="O743" s="7"/>
    </row>
    <row r="744">
      <c r="I744" s="7"/>
      <c r="J744" s="7"/>
      <c r="K744" s="7"/>
      <c r="L744" s="7"/>
      <c r="M744" s="7"/>
      <c r="N744" s="7"/>
      <c r="O744" s="7"/>
    </row>
    <row r="745">
      <c r="I745" s="7"/>
      <c r="J745" s="7"/>
      <c r="K745" s="7"/>
      <c r="L745" s="7"/>
      <c r="M745" s="7"/>
      <c r="N745" s="7"/>
      <c r="O745" s="7"/>
    </row>
    <row r="746">
      <c r="I746" s="7"/>
      <c r="J746" s="7"/>
      <c r="K746" s="7"/>
      <c r="L746" s="7"/>
      <c r="M746" s="7"/>
      <c r="N746" s="7"/>
      <c r="O746" s="7"/>
    </row>
    <row r="747">
      <c r="I747" s="7"/>
      <c r="J747" s="7"/>
      <c r="K747" s="7"/>
      <c r="L747" s="7"/>
      <c r="M747" s="7"/>
      <c r="N747" s="7"/>
      <c r="O747" s="7"/>
    </row>
    <row r="748">
      <c r="I748" s="7"/>
      <c r="J748" s="7"/>
      <c r="K748" s="7"/>
      <c r="L748" s="7"/>
      <c r="M748" s="7"/>
      <c r="N748" s="7"/>
      <c r="O748" s="7"/>
    </row>
    <row r="749">
      <c r="I749" s="7"/>
      <c r="J749" s="7"/>
      <c r="K749" s="7"/>
      <c r="L749" s="7"/>
      <c r="M749" s="7"/>
      <c r="N749" s="7"/>
      <c r="O749" s="7"/>
    </row>
    <row r="750">
      <c r="I750" s="7"/>
      <c r="J750" s="7"/>
      <c r="K750" s="7"/>
      <c r="L750" s="7"/>
      <c r="M750" s="7"/>
      <c r="N750" s="7"/>
      <c r="O750" s="7"/>
    </row>
    <row r="751">
      <c r="I751" s="7"/>
      <c r="J751" s="7"/>
      <c r="K751" s="7"/>
      <c r="L751" s="7"/>
      <c r="M751" s="7"/>
      <c r="N751" s="7"/>
      <c r="O751" s="7"/>
    </row>
    <row r="752">
      <c r="I752" s="7"/>
      <c r="J752" s="7"/>
      <c r="K752" s="7"/>
      <c r="L752" s="7"/>
      <c r="M752" s="7"/>
      <c r="N752" s="7"/>
      <c r="O752" s="7"/>
    </row>
    <row r="753">
      <c r="I753" s="7"/>
      <c r="J753" s="7"/>
      <c r="K753" s="7"/>
      <c r="L753" s="7"/>
      <c r="M753" s="7"/>
      <c r="N753" s="7"/>
      <c r="O753" s="7"/>
    </row>
    <row r="754">
      <c r="I754" s="7"/>
      <c r="J754" s="7"/>
      <c r="K754" s="7"/>
      <c r="L754" s="7"/>
      <c r="M754" s="7"/>
      <c r="N754" s="7"/>
      <c r="O754" s="7"/>
    </row>
    <row r="755">
      <c r="I755" s="7"/>
      <c r="J755" s="7"/>
      <c r="K755" s="7"/>
      <c r="L755" s="7"/>
      <c r="M755" s="7"/>
      <c r="N755" s="7"/>
      <c r="O755" s="7"/>
    </row>
    <row r="756">
      <c r="I756" s="7"/>
      <c r="J756" s="7"/>
      <c r="K756" s="7"/>
      <c r="L756" s="7"/>
      <c r="M756" s="7"/>
      <c r="N756" s="7"/>
      <c r="O756" s="7"/>
    </row>
    <row r="757">
      <c r="I757" s="7"/>
      <c r="J757" s="7"/>
      <c r="K757" s="7"/>
      <c r="L757" s="7"/>
      <c r="M757" s="7"/>
      <c r="N757" s="7"/>
      <c r="O757" s="7"/>
    </row>
    <row r="758">
      <c r="I758" s="7"/>
      <c r="J758" s="7"/>
      <c r="K758" s="7"/>
      <c r="L758" s="7"/>
      <c r="M758" s="7"/>
      <c r="N758" s="7"/>
      <c r="O758" s="7"/>
    </row>
    <row r="759">
      <c r="I759" s="7"/>
      <c r="J759" s="7"/>
      <c r="K759" s="7"/>
      <c r="L759" s="7"/>
      <c r="M759" s="7"/>
      <c r="N759" s="7"/>
      <c r="O759" s="7"/>
    </row>
    <row r="760">
      <c r="I760" s="7"/>
      <c r="J760" s="7"/>
      <c r="K760" s="7"/>
      <c r="L760" s="7"/>
      <c r="M760" s="7"/>
      <c r="N760" s="7"/>
      <c r="O760" s="7"/>
    </row>
    <row r="761">
      <c r="I761" s="7"/>
      <c r="J761" s="7"/>
      <c r="K761" s="7"/>
      <c r="L761" s="7"/>
      <c r="M761" s="7"/>
      <c r="N761" s="7"/>
      <c r="O761" s="7"/>
    </row>
    <row r="762">
      <c r="I762" s="7"/>
      <c r="J762" s="7"/>
      <c r="K762" s="7"/>
      <c r="L762" s="7"/>
      <c r="M762" s="7"/>
      <c r="N762" s="7"/>
      <c r="O762" s="7"/>
    </row>
    <row r="763">
      <c r="I763" s="7"/>
      <c r="J763" s="7"/>
      <c r="K763" s="7"/>
      <c r="L763" s="7"/>
      <c r="M763" s="7"/>
      <c r="N763" s="7"/>
      <c r="O763" s="7"/>
    </row>
    <row r="764">
      <c r="I764" s="7"/>
      <c r="J764" s="7"/>
      <c r="K764" s="7"/>
      <c r="L764" s="7"/>
      <c r="M764" s="7"/>
      <c r="N764" s="7"/>
      <c r="O764" s="7"/>
    </row>
    <row r="765">
      <c r="I765" s="7"/>
      <c r="J765" s="7"/>
      <c r="K765" s="7"/>
      <c r="L765" s="7"/>
      <c r="M765" s="7"/>
      <c r="N765" s="7"/>
      <c r="O765" s="7"/>
    </row>
    <row r="766">
      <c r="I766" s="7"/>
      <c r="J766" s="7"/>
      <c r="K766" s="7"/>
      <c r="L766" s="7"/>
      <c r="M766" s="7"/>
      <c r="N766" s="7"/>
      <c r="O766" s="7"/>
    </row>
    <row r="767">
      <c r="I767" s="7"/>
      <c r="J767" s="7"/>
      <c r="K767" s="7"/>
      <c r="L767" s="7"/>
      <c r="M767" s="7"/>
      <c r="N767" s="7"/>
      <c r="O767" s="7"/>
    </row>
    <row r="768">
      <c r="I768" s="7"/>
      <c r="J768" s="7"/>
      <c r="K768" s="7"/>
      <c r="L768" s="7"/>
      <c r="M768" s="7"/>
      <c r="N768" s="7"/>
      <c r="O768" s="7"/>
    </row>
    <row r="769">
      <c r="I769" s="7"/>
      <c r="J769" s="7"/>
      <c r="K769" s="7"/>
      <c r="L769" s="7"/>
      <c r="M769" s="7"/>
      <c r="N769" s="7"/>
      <c r="O769" s="7"/>
    </row>
    <row r="770">
      <c r="I770" s="7"/>
      <c r="J770" s="7"/>
      <c r="K770" s="7"/>
      <c r="L770" s="7"/>
      <c r="M770" s="7"/>
      <c r="N770" s="7"/>
      <c r="O770" s="7"/>
    </row>
    <row r="771">
      <c r="I771" s="7"/>
      <c r="J771" s="7"/>
      <c r="K771" s="7"/>
      <c r="L771" s="7"/>
      <c r="M771" s="7"/>
      <c r="N771" s="7"/>
      <c r="O771" s="7"/>
    </row>
    <row r="772">
      <c r="I772" s="7"/>
      <c r="J772" s="7"/>
      <c r="K772" s="7"/>
      <c r="L772" s="7"/>
      <c r="M772" s="7"/>
      <c r="N772" s="7"/>
      <c r="O772" s="7"/>
    </row>
    <row r="773">
      <c r="I773" s="7"/>
      <c r="J773" s="7"/>
      <c r="K773" s="7"/>
      <c r="L773" s="7"/>
      <c r="M773" s="7"/>
      <c r="N773" s="7"/>
      <c r="O773" s="7"/>
    </row>
    <row r="774">
      <c r="I774" s="7"/>
      <c r="J774" s="7"/>
      <c r="K774" s="7"/>
      <c r="L774" s="7"/>
      <c r="M774" s="7"/>
      <c r="N774" s="7"/>
      <c r="O774" s="7"/>
    </row>
    <row r="775">
      <c r="I775" s="7"/>
      <c r="J775" s="7"/>
      <c r="K775" s="7"/>
      <c r="L775" s="7"/>
      <c r="M775" s="7"/>
      <c r="N775" s="7"/>
      <c r="O775" s="7"/>
    </row>
    <row r="776">
      <c r="I776" s="7"/>
      <c r="J776" s="7"/>
      <c r="K776" s="7"/>
      <c r="L776" s="7"/>
      <c r="M776" s="7"/>
      <c r="N776" s="7"/>
      <c r="O776" s="7"/>
    </row>
    <row r="777">
      <c r="I777" s="7"/>
      <c r="J777" s="7"/>
      <c r="K777" s="7"/>
      <c r="L777" s="7"/>
      <c r="M777" s="7"/>
      <c r="N777" s="7"/>
      <c r="O777" s="7"/>
    </row>
    <row r="778">
      <c r="I778" s="7"/>
      <c r="J778" s="7"/>
      <c r="K778" s="7"/>
      <c r="L778" s="7"/>
      <c r="M778" s="7"/>
      <c r="N778" s="7"/>
      <c r="O778" s="7"/>
    </row>
    <row r="779">
      <c r="I779" s="7"/>
      <c r="J779" s="7"/>
      <c r="K779" s="7"/>
      <c r="L779" s="7"/>
      <c r="M779" s="7"/>
      <c r="N779" s="7"/>
      <c r="O779" s="7"/>
    </row>
    <row r="780">
      <c r="I780" s="7"/>
      <c r="J780" s="7"/>
      <c r="K780" s="7"/>
      <c r="L780" s="7"/>
      <c r="M780" s="7"/>
      <c r="N780" s="7"/>
      <c r="O780" s="7"/>
    </row>
    <row r="781">
      <c r="I781" s="7"/>
      <c r="J781" s="7"/>
      <c r="K781" s="7"/>
      <c r="L781" s="7"/>
      <c r="M781" s="7"/>
      <c r="N781" s="7"/>
      <c r="O781" s="7"/>
    </row>
    <row r="782">
      <c r="I782" s="7"/>
      <c r="J782" s="7"/>
      <c r="K782" s="7"/>
      <c r="L782" s="7"/>
      <c r="M782" s="7"/>
      <c r="N782" s="7"/>
      <c r="O782" s="7"/>
    </row>
    <row r="783">
      <c r="I783" s="7"/>
      <c r="J783" s="7"/>
      <c r="K783" s="7"/>
      <c r="L783" s="7"/>
      <c r="M783" s="7"/>
      <c r="N783" s="7"/>
      <c r="O783" s="7"/>
    </row>
    <row r="784">
      <c r="I784" s="7"/>
      <c r="J784" s="7"/>
      <c r="K784" s="7"/>
      <c r="L784" s="7"/>
      <c r="M784" s="7"/>
      <c r="N784" s="7"/>
      <c r="O784" s="7"/>
    </row>
    <row r="785">
      <c r="I785" s="7"/>
      <c r="J785" s="7"/>
      <c r="K785" s="7"/>
      <c r="L785" s="7"/>
      <c r="M785" s="7"/>
      <c r="N785" s="7"/>
      <c r="O785" s="7"/>
    </row>
    <row r="786">
      <c r="I786" s="7"/>
      <c r="J786" s="7"/>
      <c r="K786" s="7"/>
      <c r="L786" s="7"/>
      <c r="M786" s="7"/>
      <c r="N786" s="7"/>
      <c r="O786" s="7"/>
    </row>
    <row r="787">
      <c r="I787" s="7"/>
      <c r="J787" s="7"/>
      <c r="K787" s="7"/>
      <c r="L787" s="7"/>
      <c r="M787" s="7"/>
      <c r="N787" s="7"/>
      <c r="O787" s="7"/>
    </row>
    <row r="788">
      <c r="I788" s="7"/>
      <c r="J788" s="7"/>
      <c r="K788" s="7"/>
      <c r="L788" s="7"/>
      <c r="M788" s="7"/>
      <c r="N788" s="7"/>
      <c r="O788" s="7"/>
    </row>
    <row r="789">
      <c r="I789" s="7"/>
      <c r="J789" s="7"/>
      <c r="K789" s="7"/>
      <c r="L789" s="7"/>
      <c r="M789" s="7"/>
      <c r="N789" s="7"/>
      <c r="O789" s="7"/>
    </row>
    <row r="790">
      <c r="I790" s="7"/>
      <c r="J790" s="7"/>
      <c r="K790" s="7"/>
      <c r="L790" s="7"/>
      <c r="M790" s="7"/>
      <c r="N790" s="7"/>
      <c r="O790" s="7"/>
    </row>
    <row r="791">
      <c r="I791" s="7"/>
      <c r="J791" s="7"/>
      <c r="K791" s="7"/>
      <c r="L791" s="7"/>
      <c r="M791" s="7"/>
      <c r="N791" s="7"/>
      <c r="O791" s="7"/>
    </row>
    <row r="792">
      <c r="I792" s="7"/>
      <c r="J792" s="7"/>
      <c r="K792" s="7"/>
      <c r="L792" s="7"/>
      <c r="M792" s="7"/>
      <c r="N792" s="7"/>
      <c r="O792" s="7"/>
    </row>
    <row r="793">
      <c r="I793" s="7"/>
      <c r="J793" s="7"/>
      <c r="K793" s="7"/>
      <c r="L793" s="7"/>
      <c r="M793" s="7"/>
      <c r="N793" s="7"/>
      <c r="O793" s="7"/>
    </row>
    <row r="794">
      <c r="I794" s="7"/>
      <c r="J794" s="7"/>
      <c r="K794" s="7"/>
      <c r="L794" s="7"/>
      <c r="M794" s="7"/>
      <c r="N794" s="7"/>
      <c r="O794" s="7"/>
    </row>
    <row r="795">
      <c r="I795" s="7"/>
      <c r="J795" s="7"/>
      <c r="K795" s="7"/>
      <c r="L795" s="7"/>
      <c r="M795" s="7"/>
      <c r="N795" s="7"/>
      <c r="O795" s="7"/>
    </row>
    <row r="796">
      <c r="I796" s="7"/>
      <c r="J796" s="7"/>
      <c r="K796" s="7"/>
      <c r="L796" s="7"/>
      <c r="M796" s="7"/>
      <c r="N796" s="7"/>
      <c r="O796" s="7"/>
    </row>
    <row r="797">
      <c r="I797" s="7"/>
      <c r="J797" s="7"/>
      <c r="K797" s="7"/>
      <c r="L797" s="7"/>
      <c r="M797" s="7"/>
      <c r="N797" s="7"/>
      <c r="O797" s="7"/>
    </row>
    <row r="798">
      <c r="I798" s="7"/>
      <c r="J798" s="7"/>
      <c r="K798" s="7"/>
      <c r="L798" s="7"/>
      <c r="M798" s="7"/>
      <c r="N798" s="7"/>
      <c r="O798" s="7"/>
    </row>
    <row r="799">
      <c r="I799" s="7"/>
      <c r="J799" s="7"/>
      <c r="K799" s="7"/>
      <c r="L799" s="7"/>
      <c r="M799" s="7"/>
      <c r="N799" s="7"/>
      <c r="O799" s="7"/>
    </row>
    <row r="800">
      <c r="I800" s="7"/>
      <c r="J800" s="7"/>
      <c r="K800" s="7"/>
      <c r="L800" s="7"/>
      <c r="M800" s="7"/>
      <c r="N800" s="7"/>
      <c r="O800" s="7"/>
    </row>
    <row r="801">
      <c r="I801" s="7"/>
      <c r="J801" s="7"/>
      <c r="K801" s="7"/>
      <c r="L801" s="7"/>
      <c r="M801" s="7"/>
      <c r="N801" s="7"/>
      <c r="O801" s="7"/>
    </row>
    <row r="802">
      <c r="I802" s="7"/>
      <c r="J802" s="7"/>
      <c r="K802" s="7"/>
      <c r="L802" s="7"/>
      <c r="M802" s="7"/>
      <c r="N802" s="7"/>
      <c r="O802" s="7"/>
    </row>
    <row r="803">
      <c r="I803" s="7"/>
      <c r="J803" s="7"/>
      <c r="K803" s="7"/>
      <c r="L803" s="7"/>
      <c r="M803" s="7"/>
      <c r="N803" s="7"/>
      <c r="O803" s="7"/>
    </row>
    <row r="804">
      <c r="I804" s="7"/>
      <c r="J804" s="7"/>
      <c r="K804" s="7"/>
      <c r="L804" s="7"/>
      <c r="M804" s="7"/>
      <c r="N804" s="7"/>
      <c r="O804" s="7"/>
    </row>
    <row r="805">
      <c r="I805" s="7"/>
      <c r="J805" s="7"/>
      <c r="K805" s="7"/>
      <c r="L805" s="7"/>
      <c r="M805" s="7"/>
      <c r="N805" s="7"/>
      <c r="O805" s="7"/>
    </row>
    <row r="806">
      <c r="I806" s="7"/>
      <c r="J806" s="7"/>
      <c r="K806" s="7"/>
      <c r="L806" s="7"/>
      <c r="M806" s="7"/>
      <c r="N806" s="7"/>
      <c r="O806" s="7"/>
    </row>
    <row r="807">
      <c r="I807" s="7"/>
      <c r="J807" s="7"/>
      <c r="K807" s="7"/>
      <c r="L807" s="7"/>
      <c r="M807" s="7"/>
      <c r="N807" s="7"/>
      <c r="O807" s="7"/>
    </row>
    <row r="808">
      <c r="I808" s="7"/>
      <c r="J808" s="7"/>
      <c r="K808" s="7"/>
      <c r="L808" s="7"/>
      <c r="M808" s="7"/>
      <c r="N808" s="7"/>
      <c r="O808" s="7"/>
    </row>
    <row r="809">
      <c r="I809" s="7"/>
      <c r="J809" s="7"/>
      <c r="K809" s="7"/>
      <c r="L809" s="7"/>
      <c r="M809" s="7"/>
      <c r="N809" s="7"/>
      <c r="O809" s="7"/>
    </row>
    <row r="810">
      <c r="I810" s="7"/>
      <c r="J810" s="7"/>
      <c r="K810" s="7"/>
      <c r="L810" s="7"/>
      <c r="M810" s="7"/>
      <c r="N810" s="7"/>
      <c r="O810" s="7"/>
    </row>
    <row r="811">
      <c r="I811" s="7"/>
      <c r="J811" s="7"/>
      <c r="K811" s="7"/>
      <c r="L811" s="7"/>
      <c r="M811" s="7"/>
      <c r="N811" s="7"/>
      <c r="O811" s="7"/>
    </row>
    <row r="812">
      <c r="I812" s="7"/>
      <c r="J812" s="7"/>
      <c r="K812" s="7"/>
      <c r="L812" s="7"/>
      <c r="M812" s="7"/>
      <c r="N812" s="7"/>
      <c r="O812" s="7"/>
    </row>
    <row r="813">
      <c r="I813" s="7"/>
      <c r="J813" s="7"/>
      <c r="K813" s="7"/>
      <c r="L813" s="7"/>
      <c r="M813" s="7"/>
      <c r="N813" s="7"/>
      <c r="O813" s="7"/>
    </row>
    <row r="814">
      <c r="I814" s="7"/>
      <c r="J814" s="7"/>
      <c r="K814" s="7"/>
      <c r="L814" s="7"/>
      <c r="M814" s="7"/>
      <c r="N814" s="7"/>
      <c r="O814" s="7"/>
    </row>
    <row r="815">
      <c r="I815" s="7"/>
      <c r="J815" s="7"/>
      <c r="K815" s="7"/>
      <c r="L815" s="7"/>
      <c r="M815" s="7"/>
      <c r="N815" s="7"/>
      <c r="O815" s="7"/>
    </row>
    <row r="816">
      <c r="I816" s="7"/>
      <c r="J816" s="7"/>
      <c r="K816" s="7"/>
      <c r="L816" s="7"/>
      <c r="M816" s="7"/>
      <c r="N816" s="7"/>
      <c r="O816" s="7"/>
    </row>
    <row r="817">
      <c r="I817" s="7"/>
      <c r="J817" s="7"/>
      <c r="K817" s="7"/>
      <c r="L817" s="7"/>
      <c r="M817" s="7"/>
      <c r="N817" s="7"/>
      <c r="O817" s="7"/>
    </row>
    <row r="818">
      <c r="I818" s="7"/>
      <c r="J818" s="7"/>
      <c r="K818" s="7"/>
      <c r="L818" s="7"/>
      <c r="M818" s="7"/>
      <c r="N818" s="7"/>
      <c r="O818" s="7"/>
    </row>
    <row r="819">
      <c r="I819" s="7"/>
      <c r="J819" s="7"/>
      <c r="K819" s="7"/>
      <c r="L819" s="7"/>
      <c r="M819" s="7"/>
      <c r="N819" s="7"/>
      <c r="O819" s="7"/>
    </row>
    <row r="820">
      <c r="I820" s="7"/>
      <c r="J820" s="7"/>
      <c r="K820" s="7"/>
      <c r="L820" s="7"/>
      <c r="M820" s="7"/>
      <c r="N820" s="7"/>
      <c r="O820" s="7"/>
    </row>
    <row r="821">
      <c r="I821" s="7"/>
      <c r="J821" s="7"/>
      <c r="K821" s="7"/>
      <c r="L821" s="7"/>
      <c r="M821" s="7"/>
      <c r="N821" s="7"/>
      <c r="O821" s="7"/>
    </row>
    <row r="822">
      <c r="I822" s="7"/>
      <c r="J822" s="7"/>
      <c r="K822" s="7"/>
      <c r="L822" s="7"/>
      <c r="M822" s="7"/>
      <c r="N822" s="7"/>
      <c r="O822" s="7"/>
    </row>
    <row r="823">
      <c r="I823" s="7"/>
      <c r="J823" s="7"/>
      <c r="K823" s="7"/>
      <c r="L823" s="7"/>
      <c r="M823" s="7"/>
      <c r="N823" s="7"/>
      <c r="O823" s="7"/>
    </row>
    <row r="824">
      <c r="I824" s="7"/>
      <c r="J824" s="7"/>
      <c r="K824" s="7"/>
      <c r="L824" s="7"/>
      <c r="M824" s="7"/>
      <c r="N824" s="7"/>
      <c r="O824" s="7"/>
    </row>
    <row r="825">
      <c r="I825" s="7"/>
      <c r="J825" s="7"/>
      <c r="K825" s="7"/>
      <c r="L825" s="7"/>
      <c r="M825" s="7"/>
      <c r="N825" s="7"/>
      <c r="O825" s="7"/>
    </row>
    <row r="826">
      <c r="I826" s="7"/>
      <c r="J826" s="7"/>
      <c r="K826" s="7"/>
      <c r="L826" s="7"/>
      <c r="M826" s="7"/>
      <c r="N826" s="7"/>
      <c r="O826" s="7"/>
    </row>
    <row r="827">
      <c r="I827" s="7"/>
      <c r="J827" s="7"/>
      <c r="K827" s="7"/>
      <c r="L827" s="7"/>
      <c r="M827" s="7"/>
      <c r="N827" s="7"/>
      <c r="O827" s="7"/>
    </row>
    <row r="828">
      <c r="I828" s="7"/>
      <c r="J828" s="7"/>
      <c r="K828" s="7"/>
      <c r="L828" s="7"/>
      <c r="M828" s="7"/>
      <c r="N828" s="7"/>
      <c r="O828" s="7"/>
    </row>
    <row r="829">
      <c r="I829" s="7"/>
      <c r="J829" s="7"/>
      <c r="K829" s="7"/>
      <c r="L829" s="7"/>
      <c r="M829" s="7"/>
      <c r="N829" s="7"/>
      <c r="O829" s="7"/>
    </row>
    <row r="830">
      <c r="I830" s="7"/>
      <c r="J830" s="7"/>
      <c r="K830" s="7"/>
      <c r="L830" s="7"/>
      <c r="M830" s="7"/>
      <c r="N830" s="7"/>
      <c r="O830" s="7"/>
    </row>
    <row r="831">
      <c r="I831" s="7"/>
      <c r="J831" s="7"/>
      <c r="K831" s="7"/>
      <c r="L831" s="7"/>
      <c r="M831" s="7"/>
      <c r="N831" s="7"/>
      <c r="O831" s="7"/>
    </row>
    <row r="832">
      <c r="I832" s="7"/>
      <c r="J832" s="7"/>
      <c r="K832" s="7"/>
      <c r="L832" s="7"/>
      <c r="M832" s="7"/>
      <c r="N832" s="7"/>
      <c r="O832" s="7"/>
    </row>
    <row r="833">
      <c r="I833" s="7"/>
      <c r="J833" s="7"/>
      <c r="K833" s="7"/>
      <c r="L833" s="7"/>
      <c r="M833" s="7"/>
      <c r="N833" s="7"/>
      <c r="O833" s="7"/>
    </row>
    <row r="834">
      <c r="I834" s="7"/>
      <c r="J834" s="7"/>
      <c r="K834" s="7"/>
      <c r="L834" s="7"/>
      <c r="M834" s="7"/>
      <c r="N834" s="7"/>
      <c r="O834" s="7"/>
    </row>
    <row r="835">
      <c r="I835" s="7"/>
      <c r="J835" s="7"/>
      <c r="K835" s="7"/>
      <c r="L835" s="7"/>
      <c r="M835" s="7"/>
      <c r="N835" s="7"/>
      <c r="O835" s="7"/>
    </row>
    <row r="836">
      <c r="I836" s="7"/>
      <c r="J836" s="7"/>
      <c r="K836" s="7"/>
      <c r="L836" s="7"/>
      <c r="M836" s="7"/>
      <c r="N836" s="7"/>
      <c r="O836" s="7"/>
    </row>
    <row r="837">
      <c r="I837" s="7"/>
      <c r="J837" s="7"/>
      <c r="K837" s="7"/>
      <c r="L837" s="7"/>
      <c r="M837" s="7"/>
      <c r="N837" s="7"/>
      <c r="O837" s="7"/>
    </row>
    <row r="838">
      <c r="I838" s="7"/>
      <c r="J838" s="7"/>
      <c r="K838" s="7"/>
      <c r="L838" s="7"/>
      <c r="M838" s="7"/>
      <c r="N838" s="7"/>
      <c r="O838" s="7"/>
    </row>
    <row r="839">
      <c r="I839" s="7"/>
      <c r="J839" s="7"/>
      <c r="K839" s="7"/>
      <c r="L839" s="7"/>
      <c r="M839" s="7"/>
      <c r="N839" s="7"/>
      <c r="O839" s="7"/>
    </row>
    <row r="840">
      <c r="I840" s="7"/>
      <c r="J840" s="7"/>
      <c r="K840" s="7"/>
      <c r="L840" s="7"/>
      <c r="M840" s="7"/>
      <c r="N840" s="7"/>
      <c r="O840" s="7"/>
    </row>
    <row r="841">
      <c r="I841" s="7"/>
      <c r="J841" s="7"/>
      <c r="K841" s="7"/>
      <c r="L841" s="7"/>
      <c r="M841" s="7"/>
      <c r="N841" s="7"/>
      <c r="O841" s="7"/>
    </row>
    <row r="842">
      <c r="I842" s="7"/>
      <c r="J842" s="7"/>
      <c r="K842" s="7"/>
      <c r="L842" s="7"/>
      <c r="M842" s="7"/>
      <c r="N842" s="7"/>
      <c r="O842" s="7"/>
    </row>
    <row r="843">
      <c r="I843" s="7"/>
      <c r="J843" s="7"/>
      <c r="K843" s="7"/>
      <c r="L843" s="7"/>
      <c r="M843" s="7"/>
      <c r="N843" s="7"/>
      <c r="O843" s="7"/>
    </row>
    <row r="844">
      <c r="I844" s="7"/>
      <c r="J844" s="7"/>
      <c r="K844" s="7"/>
      <c r="L844" s="7"/>
      <c r="M844" s="7"/>
      <c r="N844" s="7"/>
      <c r="O844" s="7"/>
    </row>
    <row r="845">
      <c r="I845" s="7"/>
      <c r="J845" s="7"/>
      <c r="K845" s="7"/>
      <c r="L845" s="7"/>
      <c r="M845" s="7"/>
      <c r="N845" s="7"/>
      <c r="O845" s="7"/>
    </row>
    <row r="846">
      <c r="I846" s="7"/>
      <c r="J846" s="7"/>
      <c r="K846" s="7"/>
      <c r="L846" s="7"/>
      <c r="M846" s="7"/>
      <c r="N846" s="7"/>
      <c r="O846" s="7"/>
    </row>
    <row r="847">
      <c r="I847" s="7"/>
      <c r="J847" s="7"/>
      <c r="K847" s="7"/>
      <c r="L847" s="7"/>
      <c r="M847" s="7"/>
      <c r="N847" s="7"/>
      <c r="O847" s="7"/>
    </row>
    <row r="848">
      <c r="I848" s="7"/>
      <c r="J848" s="7"/>
      <c r="K848" s="7"/>
      <c r="L848" s="7"/>
      <c r="M848" s="7"/>
      <c r="N848" s="7"/>
      <c r="O848" s="7"/>
    </row>
    <row r="849">
      <c r="I849" s="7"/>
      <c r="J849" s="7"/>
      <c r="K849" s="7"/>
      <c r="L849" s="7"/>
      <c r="M849" s="7"/>
      <c r="N849" s="7"/>
      <c r="O849" s="7"/>
    </row>
    <row r="850">
      <c r="I850" s="7"/>
      <c r="J850" s="7"/>
      <c r="K850" s="7"/>
      <c r="L850" s="7"/>
      <c r="M850" s="7"/>
      <c r="N850" s="7"/>
      <c r="O850" s="7"/>
    </row>
    <row r="851">
      <c r="I851" s="7"/>
      <c r="J851" s="7"/>
      <c r="K851" s="7"/>
      <c r="L851" s="7"/>
      <c r="M851" s="7"/>
      <c r="N851" s="7"/>
      <c r="O851" s="7"/>
    </row>
    <row r="852">
      <c r="I852" s="7"/>
      <c r="J852" s="7"/>
      <c r="K852" s="7"/>
      <c r="L852" s="7"/>
      <c r="M852" s="7"/>
      <c r="N852" s="7"/>
      <c r="O852" s="7"/>
    </row>
    <row r="853">
      <c r="I853" s="7"/>
      <c r="J853" s="7"/>
      <c r="K853" s="7"/>
      <c r="L853" s="7"/>
      <c r="M853" s="7"/>
      <c r="N853" s="7"/>
      <c r="O853" s="7"/>
    </row>
    <row r="854">
      <c r="I854" s="7"/>
      <c r="J854" s="7"/>
      <c r="K854" s="7"/>
      <c r="L854" s="7"/>
      <c r="M854" s="7"/>
      <c r="N854" s="7"/>
      <c r="O854" s="7"/>
    </row>
    <row r="855">
      <c r="I855" s="7"/>
      <c r="J855" s="7"/>
      <c r="K855" s="7"/>
      <c r="L855" s="7"/>
      <c r="M855" s="7"/>
      <c r="N855" s="7"/>
      <c r="O855" s="7"/>
    </row>
    <row r="856">
      <c r="I856" s="7"/>
      <c r="J856" s="7"/>
      <c r="K856" s="7"/>
      <c r="L856" s="7"/>
      <c r="M856" s="7"/>
      <c r="N856" s="7"/>
      <c r="O856" s="7"/>
    </row>
    <row r="857">
      <c r="I857" s="7"/>
      <c r="J857" s="7"/>
      <c r="K857" s="7"/>
      <c r="L857" s="7"/>
      <c r="M857" s="7"/>
      <c r="N857" s="7"/>
      <c r="O857" s="7"/>
    </row>
    <row r="858">
      <c r="I858" s="7"/>
      <c r="J858" s="7"/>
      <c r="K858" s="7"/>
      <c r="L858" s="7"/>
      <c r="M858" s="7"/>
      <c r="N858" s="7"/>
      <c r="O858" s="7"/>
    </row>
    <row r="859">
      <c r="I859" s="7"/>
      <c r="J859" s="7"/>
      <c r="K859" s="7"/>
      <c r="L859" s="7"/>
      <c r="M859" s="7"/>
      <c r="N859" s="7"/>
      <c r="O859" s="7"/>
    </row>
    <row r="860">
      <c r="I860" s="7"/>
      <c r="J860" s="7"/>
      <c r="K860" s="7"/>
      <c r="L860" s="7"/>
      <c r="M860" s="7"/>
      <c r="N860" s="7"/>
      <c r="O860" s="7"/>
    </row>
    <row r="861">
      <c r="I861" s="7"/>
      <c r="J861" s="7"/>
      <c r="K861" s="7"/>
      <c r="L861" s="7"/>
      <c r="M861" s="7"/>
      <c r="N861" s="7"/>
      <c r="O861" s="7"/>
    </row>
    <row r="862">
      <c r="I862" s="7"/>
      <c r="J862" s="7"/>
      <c r="K862" s="7"/>
      <c r="L862" s="7"/>
      <c r="M862" s="7"/>
      <c r="N862" s="7"/>
      <c r="O862" s="7"/>
    </row>
    <row r="863">
      <c r="I863" s="7"/>
      <c r="J863" s="7"/>
      <c r="K863" s="7"/>
      <c r="L863" s="7"/>
      <c r="M863" s="7"/>
      <c r="N863" s="7"/>
      <c r="O863" s="7"/>
    </row>
    <row r="864">
      <c r="I864" s="7"/>
      <c r="J864" s="7"/>
      <c r="K864" s="7"/>
      <c r="L864" s="7"/>
      <c r="M864" s="7"/>
      <c r="N864" s="7"/>
      <c r="O864" s="7"/>
    </row>
    <row r="865">
      <c r="I865" s="7"/>
      <c r="J865" s="7"/>
      <c r="K865" s="7"/>
      <c r="L865" s="7"/>
      <c r="M865" s="7"/>
      <c r="N865" s="7"/>
      <c r="O865" s="7"/>
    </row>
    <row r="866">
      <c r="I866" s="7"/>
      <c r="J866" s="7"/>
      <c r="K866" s="7"/>
      <c r="L866" s="7"/>
      <c r="M866" s="7"/>
      <c r="N866" s="7"/>
      <c r="O866" s="7"/>
    </row>
    <row r="867">
      <c r="I867" s="7"/>
      <c r="J867" s="7"/>
      <c r="K867" s="7"/>
      <c r="L867" s="7"/>
      <c r="M867" s="7"/>
      <c r="N867" s="7"/>
      <c r="O867" s="7"/>
    </row>
    <row r="868">
      <c r="I868" s="7"/>
      <c r="J868" s="7"/>
      <c r="K868" s="7"/>
      <c r="L868" s="7"/>
      <c r="M868" s="7"/>
      <c r="N868" s="7"/>
      <c r="O868" s="7"/>
    </row>
    <row r="869">
      <c r="I869" s="7"/>
      <c r="J869" s="7"/>
      <c r="K869" s="7"/>
      <c r="L869" s="7"/>
      <c r="M869" s="7"/>
      <c r="N869" s="7"/>
      <c r="O869" s="7"/>
    </row>
    <row r="870">
      <c r="I870" s="7"/>
      <c r="J870" s="7"/>
      <c r="K870" s="7"/>
      <c r="L870" s="7"/>
      <c r="M870" s="7"/>
      <c r="N870" s="7"/>
      <c r="O870" s="7"/>
    </row>
    <row r="871">
      <c r="I871" s="7"/>
      <c r="J871" s="7"/>
      <c r="K871" s="7"/>
      <c r="L871" s="7"/>
      <c r="M871" s="7"/>
      <c r="N871" s="7"/>
      <c r="O871" s="7"/>
    </row>
    <row r="872">
      <c r="I872" s="7"/>
      <c r="J872" s="7"/>
      <c r="K872" s="7"/>
      <c r="L872" s="7"/>
      <c r="M872" s="7"/>
      <c r="N872" s="7"/>
      <c r="O872" s="7"/>
    </row>
    <row r="873">
      <c r="I873" s="7"/>
      <c r="J873" s="7"/>
      <c r="K873" s="7"/>
      <c r="L873" s="7"/>
      <c r="M873" s="7"/>
      <c r="N873" s="7"/>
      <c r="O873" s="7"/>
    </row>
    <row r="874">
      <c r="I874" s="7"/>
      <c r="J874" s="7"/>
      <c r="K874" s="7"/>
      <c r="L874" s="7"/>
      <c r="M874" s="7"/>
      <c r="N874" s="7"/>
      <c r="O874" s="7"/>
    </row>
    <row r="875">
      <c r="I875" s="7"/>
      <c r="J875" s="7"/>
      <c r="K875" s="7"/>
      <c r="L875" s="7"/>
      <c r="M875" s="7"/>
      <c r="N875" s="7"/>
      <c r="O875" s="7"/>
    </row>
    <row r="876">
      <c r="I876" s="7"/>
      <c r="J876" s="7"/>
      <c r="K876" s="7"/>
      <c r="L876" s="7"/>
      <c r="M876" s="7"/>
      <c r="N876" s="7"/>
      <c r="O876" s="7"/>
    </row>
    <row r="877">
      <c r="I877" s="7"/>
      <c r="J877" s="7"/>
      <c r="K877" s="7"/>
      <c r="L877" s="7"/>
      <c r="M877" s="7"/>
      <c r="N877" s="7"/>
      <c r="O877" s="7"/>
    </row>
    <row r="878">
      <c r="I878" s="7"/>
      <c r="J878" s="7"/>
      <c r="K878" s="7"/>
      <c r="L878" s="7"/>
      <c r="M878" s="7"/>
      <c r="N878" s="7"/>
      <c r="O878" s="7"/>
    </row>
    <row r="879">
      <c r="I879" s="7"/>
      <c r="J879" s="7"/>
      <c r="K879" s="7"/>
      <c r="L879" s="7"/>
      <c r="M879" s="7"/>
      <c r="N879" s="7"/>
      <c r="O879" s="7"/>
    </row>
    <row r="880">
      <c r="I880" s="7"/>
      <c r="J880" s="7"/>
      <c r="K880" s="7"/>
      <c r="L880" s="7"/>
      <c r="M880" s="7"/>
      <c r="N880" s="7"/>
      <c r="O880" s="7"/>
    </row>
    <row r="881">
      <c r="I881" s="7"/>
      <c r="J881" s="7"/>
      <c r="K881" s="7"/>
      <c r="L881" s="7"/>
      <c r="M881" s="7"/>
      <c r="N881" s="7"/>
      <c r="O881" s="7"/>
    </row>
    <row r="882">
      <c r="I882" s="7"/>
      <c r="J882" s="7"/>
      <c r="K882" s="7"/>
      <c r="L882" s="7"/>
      <c r="M882" s="7"/>
      <c r="N882" s="7"/>
      <c r="O882" s="7"/>
    </row>
    <row r="883">
      <c r="I883" s="7"/>
      <c r="J883" s="7"/>
      <c r="K883" s="7"/>
      <c r="L883" s="7"/>
      <c r="M883" s="7"/>
      <c r="N883" s="7"/>
      <c r="O883" s="7"/>
    </row>
    <row r="884">
      <c r="I884" s="7"/>
      <c r="J884" s="7"/>
      <c r="K884" s="7"/>
      <c r="L884" s="7"/>
      <c r="M884" s="7"/>
      <c r="N884" s="7"/>
      <c r="O884" s="7"/>
    </row>
    <row r="885">
      <c r="I885" s="7"/>
      <c r="J885" s="7"/>
      <c r="K885" s="7"/>
      <c r="L885" s="7"/>
      <c r="M885" s="7"/>
      <c r="N885" s="7"/>
      <c r="O885" s="7"/>
    </row>
    <row r="886">
      <c r="I886" s="7"/>
      <c r="J886" s="7"/>
      <c r="K886" s="7"/>
      <c r="L886" s="7"/>
      <c r="M886" s="7"/>
      <c r="N886" s="7"/>
      <c r="O886" s="7"/>
    </row>
    <row r="887">
      <c r="I887" s="7"/>
      <c r="J887" s="7"/>
      <c r="K887" s="7"/>
      <c r="L887" s="7"/>
      <c r="M887" s="7"/>
      <c r="N887" s="7"/>
      <c r="O887" s="7"/>
    </row>
    <row r="888">
      <c r="I888" s="7"/>
      <c r="J888" s="7"/>
      <c r="K888" s="7"/>
      <c r="L888" s="7"/>
      <c r="M888" s="7"/>
      <c r="N888" s="7"/>
      <c r="O888" s="7"/>
    </row>
    <row r="889">
      <c r="I889" s="7"/>
      <c r="J889" s="7"/>
      <c r="K889" s="7"/>
      <c r="L889" s="7"/>
      <c r="M889" s="7"/>
      <c r="N889" s="7"/>
      <c r="O889" s="7"/>
    </row>
    <row r="890">
      <c r="I890" s="7"/>
      <c r="J890" s="7"/>
      <c r="K890" s="7"/>
      <c r="L890" s="7"/>
      <c r="M890" s="7"/>
      <c r="N890" s="7"/>
      <c r="O890" s="7"/>
    </row>
    <row r="891">
      <c r="I891" s="7"/>
      <c r="J891" s="7"/>
      <c r="K891" s="7"/>
      <c r="L891" s="7"/>
      <c r="M891" s="7"/>
      <c r="N891" s="7"/>
      <c r="O891" s="7"/>
    </row>
    <row r="892">
      <c r="I892" s="7"/>
      <c r="J892" s="7"/>
      <c r="K892" s="7"/>
      <c r="L892" s="7"/>
      <c r="M892" s="7"/>
      <c r="N892" s="7"/>
      <c r="O892" s="7"/>
    </row>
    <row r="893">
      <c r="I893" s="7"/>
      <c r="J893" s="7"/>
      <c r="K893" s="7"/>
      <c r="L893" s="7"/>
      <c r="M893" s="7"/>
      <c r="N893" s="7"/>
      <c r="O893" s="7"/>
    </row>
    <row r="894">
      <c r="I894" s="7"/>
      <c r="J894" s="7"/>
      <c r="K894" s="7"/>
      <c r="L894" s="7"/>
      <c r="M894" s="7"/>
      <c r="N894" s="7"/>
      <c r="O894" s="7"/>
    </row>
    <row r="895">
      <c r="I895" s="7"/>
      <c r="J895" s="7"/>
      <c r="K895" s="7"/>
      <c r="L895" s="7"/>
      <c r="M895" s="7"/>
      <c r="N895" s="7"/>
      <c r="O895" s="7"/>
    </row>
    <row r="896">
      <c r="I896" s="7"/>
      <c r="J896" s="7"/>
      <c r="K896" s="7"/>
      <c r="L896" s="7"/>
      <c r="M896" s="7"/>
      <c r="N896" s="7"/>
      <c r="O896" s="7"/>
    </row>
    <row r="897">
      <c r="I897" s="7"/>
      <c r="J897" s="7"/>
      <c r="K897" s="7"/>
      <c r="L897" s="7"/>
      <c r="M897" s="7"/>
      <c r="N897" s="7"/>
      <c r="O897" s="7"/>
    </row>
    <row r="898">
      <c r="I898" s="7"/>
      <c r="J898" s="7"/>
      <c r="K898" s="7"/>
      <c r="L898" s="7"/>
      <c r="M898" s="7"/>
      <c r="N898" s="7"/>
      <c r="O898" s="7"/>
    </row>
    <row r="899">
      <c r="I899" s="7"/>
      <c r="J899" s="7"/>
      <c r="K899" s="7"/>
      <c r="L899" s="7"/>
      <c r="M899" s="7"/>
      <c r="N899" s="7"/>
      <c r="O899" s="7"/>
    </row>
    <row r="900">
      <c r="I900" s="7"/>
      <c r="J900" s="7"/>
      <c r="K900" s="7"/>
      <c r="L900" s="7"/>
      <c r="M900" s="7"/>
      <c r="N900" s="7"/>
      <c r="O900" s="7"/>
    </row>
    <row r="901">
      <c r="I901" s="7"/>
      <c r="J901" s="7"/>
      <c r="K901" s="7"/>
      <c r="L901" s="7"/>
      <c r="M901" s="7"/>
      <c r="N901" s="7"/>
      <c r="O901" s="7"/>
    </row>
    <row r="902">
      <c r="I902" s="7"/>
      <c r="J902" s="7"/>
      <c r="K902" s="7"/>
      <c r="L902" s="7"/>
      <c r="M902" s="7"/>
      <c r="N902" s="7"/>
      <c r="O902" s="7"/>
    </row>
    <row r="903">
      <c r="I903" s="7"/>
      <c r="J903" s="7"/>
      <c r="K903" s="7"/>
      <c r="L903" s="7"/>
      <c r="M903" s="7"/>
      <c r="N903" s="7"/>
      <c r="O903" s="7"/>
    </row>
    <row r="904">
      <c r="I904" s="7"/>
      <c r="J904" s="7"/>
      <c r="K904" s="7"/>
      <c r="L904" s="7"/>
      <c r="M904" s="7"/>
      <c r="N904" s="7"/>
      <c r="O904" s="7"/>
    </row>
    <row r="905">
      <c r="I905" s="7"/>
      <c r="J905" s="7"/>
      <c r="K905" s="7"/>
      <c r="L905" s="7"/>
      <c r="M905" s="7"/>
      <c r="N905" s="7"/>
      <c r="O905" s="7"/>
    </row>
    <row r="906">
      <c r="I906" s="7"/>
      <c r="J906" s="7"/>
      <c r="K906" s="7"/>
      <c r="L906" s="7"/>
      <c r="M906" s="7"/>
      <c r="N906" s="7"/>
      <c r="O906" s="7"/>
    </row>
    <row r="907">
      <c r="I907" s="7"/>
      <c r="J907" s="7"/>
      <c r="K907" s="7"/>
      <c r="L907" s="7"/>
      <c r="M907" s="7"/>
      <c r="N907" s="7"/>
      <c r="O907" s="7"/>
    </row>
    <row r="908">
      <c r="I908" s="7"/>
      <c r="J908" s="7"/>
      <c r="K908" s="7"/>
      <c r="L908" s="7"/>
      <c r="M908" s="7"/>
      <c r="N908" s="7"/>
      <c r="O908" s="7"/>
    </row>
    <row r="909">
      <c r="I909" s="7"/>
      <c r="J909" s="7"/>
      <c r="K909" s="7"/>
      <c r="L909" s="7"/>
      <c r="M909" s="7"/>
      <c r="N909" s="7"/>
      <c r="O909" s="7"/>
    </row>
    <row r="910">
      <c r="I910" s="7"/>
      <c r="J910" s="7"/>
      <c r="K910" s="7"/>
      <c r="L910" s="7"/>
      <c r="M910" s="7"/>
      <c r="N910" s="7"/>
      <c r="O910" s="7"/>
    </row>
    <row r="911">
      <c r="I911" s="7"/>
      <c r="J911" s="7"/>
      <c r="K911" s="7"/>
      <c r="L911" s="7"/>
      <c r="M911" s="7"/>
      <c r="N911" s="7"/>
      <c r="O911" s="7"/>
    </row>
    <row r="912">
      <c r="I912" s="7"/>
      <c r="J912" s="7"/>
      <c r="K912" s="7"/>
      <c r="L912" s="7"/>
      <c r="M912" s="7"/>
      <c r="N912" s="7"/>
      <c r="O912" s="7"/>
    </row>
    <row r="913">
      <c r="I913" s="7"/>
      <c r="J913" s="7"/>
      <c r="K913" s="7"/>
      <c r="L913" s="7"/>
      <c r="M913" s="7"/>
      <c r="N913" s="7"/>
      <c r="O913" s="7"/>
    </row>
    <row r="914">
      <c r="I914" s="7"/>
      <c r="J914" s="7"/>
      <c r="K914" s="7"/>
      <c r="L914" s="7"/>
      <c r="M914" s="7"/>
      <c r="N914" s="7"/>
      <c r="O914" s="7"/>
    </row>
    <row r="915">
      <c r="I915" s="7"/>
      <c r="J915" s="7"/>
      <c r="K915" s="7"/>
      <c r="L915" s="7"/>
      <c r="M915" s="7"/>
      <c r="N915" s="7"/>
      <c r="O915" s="7"/>
    </row>
    <row r="916">
      <c r="I916" s="7"/>
      <c r="J916" s="7"/>
      <c r="K916" s="7"/>
      <c r="L916" s="7"/>
      <c r="M916" s="7"/>
      <c r="N916" s="7"/>
      <c r="O916" s="7"/>
    </row>
    <row r="917">
      <c r="I917" s="7"/>
      <c r="J917" s="7"/>
      <c r="K917" s="7"/>
      <c r="L917" s="7"/>
      <c r="M917" s="7"/>
      <c r="N917" s="7"/>
      <c r="O917" s="7"/>
    </row>
    <row r="918">
      <c r="I918" s="7"/>
      <c r="J918" s="7"/>
      <c r="K918" s="7"/>
      <c r="L918" s="7"/>
      <c r="M918" s="7"/>
      <c r="N918" s="7"/>
      <c r="O918" s="7"/>
    </row>
    <row r="919">
      <c r="I919" s="7"/>
      <c r="J919" s="7"/>
      <c r="K919" s="7"/>
      <c r="L919" s="7"/>
      <c r="M919" s="7"/>
      <c r="N919" s="7"/>
      <c r="O919" s="7"/>
    </row>
    <row r="920">
      <c r="I920" s="7"/>
      <c r="J920" s="7"/>
      <c r="K920" s="7"/>
      <c r="L920" s="7"/>
      <c r="M920" s="7"/>
      <c r="N920" s="7"/>
      <c r="O920" s="7"/>
    </row>
    <row r="921">
      <c r="I921" s="7"/>
      <c r="J921" s="7"/>
      <c r="K921" s="7"/>
      <c r="L921" s="7"/>
      <c r="M921" s="7"/>
      <c r="N921" s="7"/>
      <c r="O921" s="7"/>
    </row>
    <row r="922">
      <c r="I922" s="7"/>
      <c r="J922" s="7"/>
      <c r="K922" s="7"/>
      <c r="L922" s="7"/>
      <c r="M922" s="7"/>
      <c r="N922" s="7"/>
      <c r="O922" s="7"/>
    </row>
    <row r="923">
      <c r="I923" s="7"/>
      <c r="J923" s="7"/>
      <c r="K923" s="7"/>
      <c r="L923" s="7"/>
      <c r="M923" s="7"/>
      <c r="N923" s="7"/>
      <c r="O923" s="7"/>
    </row>
    <row r="924">
      <c r="I924" s="7"/>
      <c r="J924" s="7"/>
      <c r="K924" s="7"/>
      <c r="L924" s="7"/>
      <c r="M924" s="7"/>
      <c r="N924" s="7"/>
      <c r="O924" s="7"/>
    </row>
    <row r="925">
      <c r="I925" s="7"/>
      <c r="J925" s="7"/>
      <c r="K925" s="7"/>
      <c r="L925" s="7"/>
      <c r="M925" s="7"/>
      <c r="N925" s="7"/>
      <c r="O925" s="7"/>
    </row>
    <row r="926">
      <c r="I926" s="7"/>
      <c r="J926" s="7"/>
      <c r="K926" s="7"/>
      <c r="L926" s="7"/>
      <c r="M926" s="7"/>
      <c r="N926" s="7"/>
      <c r="O926" s="7"/>
    </row>
    <row r="927">
      <c r="I927" s="7"/>
      <c r="J927" s="7"/>
      <c r="K927" s="7"/>
      <c r="L927" s="7"/>
      <c r="M927" s="7"/>
      <c r="N927" s="7"/>
      <c r="O927" s="7"/>
    </row>
    <row r="928">
      <c r="I928" s="7"/>
      <c r="J928" s="7"/>
      <c r="K928" s="7"/>
      <c r="L928" s="7"/>
      <c r="M928" s="7"/>
      <c r="N928" s="7"/>
      <c r="O928" s="7"/>
    </row>
    <row r="929">
      <c r="I929" s="7"/>
      <c r="J929" s="7"/>
      <c r="K929" s="7"/>
      <c r="L929" s="7"/>
      <c r="M929" s="7"/>
      <c r="N929" s="7"/>
      <c r="O929" s="7"/>
    </row>
    <row r="930">
      <c r="I930" s="7"/>
      <c r="J930" s="7"/>
      <c r="K930" s="7"/>
      <c r="L930" s="7"/>
      <c r="M930" s="7"/>
      <c r="N930" s="7"/>
      <c r="O930" s="7"/>
    </row>
    <row r="931">
      <c r="I931" s="7"/>
      <c r="J931" s="7"/>
      <c r="K931" s="7"/>
      <c r="L931" s="7"/>
      <c r="M931" s="7"/>
      <c r="N931" s="7"/>
      <c r="O931" s="7"/>
    </row>
    <row r="932">
      <c r="I932" s="7"/>
      <c r="J932" s="7"/>
      <c r="K932" s="7"/>
      <c r="L932" s="7"/>
      <c r="M932" s="7"/>
      <c r="N932" s="7"/>
      <c r="O932" s="7"/>
    </row>
    <row r="933">
      <c r="I933" s="7"/>
      <c r="J933" s="7"/>
      <c r="K933" s="7"/>
      <c r="L933" s="7"/>
      <c r="M933" s="7"/>
      <c r="N933" s="7"/>
      <c r="O933" s="7"/>
    </row>
    <row r="934">
      <c r="I934" s="7"/>
      <c r="J934" s="7"/>
      <c r="K934" s="7"/>
      <c r="L934" s="7"/>
      <c r="M934" s="7"/>
      <c r="N934" s="7"/>
      <c r="O934" s="7"/>
    </row>
    <row r="935">
      <c r="I935" s="7"/>
      <c r="J935" s="7"/>
      <c r="K935" s="7"/>
      <c r="L935" s="7"/>
      <c r="M935" s="7"/>
      <c r="N935" s="7"/>
      <c r="O935" s="7"/>
    </row>
    <row r="936">
      <c r="I936" s="7"/>
      <c r="J936" s="7"/>
      <c r="K936" s="7"/>
      <c r="L936" s="7"/>
      <c r="M936" s="7"/>
      <c r="N936" s="7"/>
      <c r="O936" s="7"/>
    </row>
    <row r="937">
      <c r="I937" s="7"/>
      <c r="J937" s="7"/>
      <c r="K937" s="7"/>
      <c r="L937" s="7"/>
      <c r="M937" s="7"/>
      <c r="N937" s="7"/>
      <c r="O937" s="7"/>
    </row>
    <row r="938">
      <c r="I938" s="7"/>
      <c r="J938" s="7"/>
      <c r="K938" s="7"/>
      <c r="L938" s="7"/>
      <c r="M938" s="7"/>
      <c r="N938" s="7"/>
      <c r="O938" s="7"/>
    </row>
    <row r="939">
      <c r="I939" s="7"/>
      <c r="J939" s="7"/>
      <c r="K939" s="7"/>
      <c r="L939" s="7"/>
      <c r="M939" s="7"/>
      <c r="N939" s="7"/>
      <c r="O939" s="7"/>
    </row>
    <row r="940">
      <c r="I940" s="7"/>
      <c r="J940" s="7"/>
      <c r="K940" s="7"/>
      <c r="L940" s="7"/>
      <c r="M940" s="7"/>
      <c r="N940" s="7"/>
      <c r="O940" s="7"/>
    </row>
    <row r="941">
      <c r="I941" s="7"/>
      <c r="J941" s="7"/>
      <c r="K941" s="7"/>
      <c r="L941" s="7"/>
      <c r="M941" s="7"/>
      <c r="N941" s="7"/>
      <c r="O941" s="7"/>
    </row>
    <row r="942">
      <c r="I942" s="7"/>
      <c r="J942" s="7"/>
      <c r="K942" s="7"/>
      <c r="L942" s="7"/>
      <c r="M942" s="7"/>
      <c r="N942" s="7"/>
      <c r="O942" s="7"/>
    </row>
    <row r="943">
      <c r="I943" s="7"/>
      <c r="J943" s="7"/>
      <c r="K943" s="7"/>
      <c r="L943" s="7"/>
      <c r="M943" s="7"/>
      <c r="N943" s="7"/>
      <c r="O943" s="7"/>
    </row>
    <row r="944">
      <c r="I944" s="7"/>
      <c r="J944" s="7"/>
      <c r="K944" s="7"/>
      <c r="L944" s="7"/>
      <c r="M944" s="7"/>
      <c r="N944" s="7"/>
      <c r="O944" s="7"/>
    </row>
    <row r="945">
      <c r="I945" s="7"/>
      <c r="J945" s="7"/>
      <c r="K945" s="7"/>
      <c r="L945" s="7"/>
      <c r="M945" s="7"/>
      <c r="N945" s="7"/>
      <c r="O945" s="7"/>
    </row>
    <row r="946">
      <c r="I946" s="7"/>
      <c r="J946" s="7"/>
      <c r="K946" s="7"/>
      <c r="L946" s="7"/>
      <c r="M946" s="7"/>
      <c r="N946" s="7"/>
      <c r="O946" s="7"/>
    </row>
    <row r="947">
      <c r="I947" s="7"/>
      <c r="J947" s="7"/>
      <c r="K947" s="7"/>
      <c r="L947" s="7"/>
      <c r="M947" s="7"/>
      <c r="N947" s="7"/>
      <c r="O947" s="7"/>
    </row>
    <row r="948">
      <c r="I948" s="7"/>
      <c r="J948" s="7"/>
      <c r="K948" s="7"/>
      <c r="L948" s="7"/>
      <c r="M948" s="7"/>
      <c r="N948" s="7"/>
      <c r="O948" s="7"/>
    </row>
    <row r="949">
      <c r="I949" s="7"/>
      <c r="J949" s="7"/>
      <c r="K949" s="7"/>
      <c r="L949" s="7"/>
      <c r="M949" s="7"/>
      <c r="N949" s="7"/>
      <c r="O949" s="7"/>
    </row>
    <row r="950">
      <c r="I950" s="7"/>
      <c r="J950" s="7"/>
      <c r="K950" s="7"/>
      <c r="L950" s="7"/>
      <c r="M950" s="7"/>
      <c r="N950" s="7"/>
      <c r="O950" s="7"/>
    </row>
    <row r="951">
      <c r="I951" s="7"/>
      <c r="J951" s="7"/>
      <c r="K951" s="7"/>
      <c r="L951" s="7"/>
      <c r="M951" s="7"/>
      <c r="N951" s="7"/>
      <c r="O951" s="7"/>
    </row>
    <row r="952">
      <c r="I952" s="7"/>
      <c r="J952" s="7"/>
      <c r="K952" s="7"/>
      <c r="L952" s="7"/>
      <c r="M952" s="7"/>
      <c r="N952" s="7"/>
      <c r="O952" s="7"/>
    </row>
    <row r="953">
      <c r="I953" s="7"/>
      <c r="J953" s="7"/>
      <c r="K953" s="7"/>
      <c r="L953" s="7"/>
      <c r="M953" s="7"/>
      <c r="N953" s="7"/>
      <c r="O953" s="7"/>
    </row>
    <row r="954">
      <c r="I954" s="7"/>
      <c r="J954" s="7"/>
      <c r="K954" s="7"/>
      <c r="L954" s="7"/>
      <c r="M954" s="7"/>
      <c r="N954" s="7"/>
      <c r="O954" s="7"/>
    </row>
    <row r="955">
      <c r="I955" s="7"/>
      <c r="J955" s="7"/>
      <c r="K955" s="7"/>
      <c r="L955" s="7"/>
      <c r="M955" s="7"/>
      <c r="N955" s="7"/>
      <c r="O955" s="7"/>
    </row>
    <row r="956">
      <c r="I956" s="7"/>
      <c r="J956" s="7"/>
      <c r="K956" s="7"/>
      <c r="L956" s="7"/>
      <c r="M956" s="7"/>
      <c r="N956" s="7"/>
      <c r="O956" s="7"/>
    </row>
    <row r="957">
      <c r="I957" s="7"/>
      <c r="J957" s="7"/>
      <c r="K957" s="7"/>
      <c r="L957" s="7"/>
      <c r="M957" s="7"/>
      <c r="N957" s="7"/>
      <c r="O957" s="7"/>
    </row>
    <row r="958">
      <c r="I958" s="7"/>
      <c r="J958" s="7"/>
      <c r="K958" s="7"/>
      <c r="L958" s="7"/>
      <c r="M958" s="7"/>
      <c r="N958" s="7"/>
      <c r="O958" s="7"/>
    </row>
    <row r="959">
      <c r="I959" s="7"/>
      <c r="J959" s="7"/>
      <c r="K959" s="7"/>
      <c r="L959" s="7"/>
      <c r="M959" s="7"/>
      <c r="N959" s="7"/>
      <c r="O959" s="7"/>
    </row>
    <row r="960">
      <c r="I960" s="7"/>
      <c r="J960" s="7"/>
      <c r="K960" s="7"/>
      <c r="L960" s="7"/>
      <c r="M960" s="7"/>
      <c r="N960" s="7"/>
      <c r="O960" s="7"/>
    </row>
    <row r="961">
      <c r="I961" s="7"/>
      <c r="J961" s="7"/>
      <c r="K961" s="7"/>
      <c r="L961" s="7"/>
      <c r="M961" s="7"/>
      <c r="N961" s="7"/>
      <c r="O961" s="7"/>
    </row>
    <row r="962">
      <c r="I962" s="7"/>
      <c r="J962" s="7"/>
      <c r="K962" s="7"/>
      <c r="L962" s="7"/>
      <c r="M962" s="7"/>
      <c r="N962" s="7"/>
      <c r="O962" s="7"/>
    </row>
    <row r="963">
      <c r="I963" s="7"/>
      <c r="J963" s="7"/>
      <c r="K963" s="7"/>
      <c r="L963" s="7"/>
      <c r="M963" s="7"/>
      <c r="N963" s="7"/>
      <c r="O963" s="7"/>
    </row>
    <row r="964">
      <c r="I964" s="7"/>
      <c r="J964" s="7"/>
      <c r="K964" s="7"/>
      <c r="L964" s="7"/>
      <c r="M964" s="7"/>
      <c r="N964" s="7"/>
      <c r="O964" s="7"/>
    </row>
    <row r="965">
      <c r="I965" s="7"/>
      <c r="J965" s="7"/>
      <c r="K965" s="7"/>
      <c r="L965" s="7"/>
      <c r="M965" s="7"/>
      <c r="N965" s="7"/>
      <c r="O965" s="7"/>
    </row>
    <row r="966">
      <c r="I966" s="7"/>
      <c r="J966" s="7"/>
      <c r="K966" s="7"/>
      <c r="L966" s="7"/>
      <c r="M966" s="7"/>
      <c r="N966" s="7"/>
      <c r="O966" s="7"/>
    </row>
    <row r="967">
      <c r="I967" s="7"/>
      <c r="J967" s="7"/>
      <c r="K967" s="7"/>
      <c r="L967" s="7"/>
      <c r="M967" s="7"/>
      <c r="N967" s="7"/>
      <c r="O967" s="7"/>
    </row>
    <row r="968">
      <c r="I968" s="7"/>
      <c r="J968" s="7"/>
      <c r="K968" s="7"/>
      <c r="L968" s="7"/>
      <c r="M968" s="7"/>
      <c r="N968" s="7"/>
      <c r="O968" s="7"/>
    </row>
    <row r="969">
      <c r="I969" s="7"/>
      <c r="J969" s="7"/>
      <c r="K969" s="7"/>
      <c r="L969" s="7"/>
      <c r="M969" s="7"/>
      <c r="N969" s="7"/>
      <c r="O969" s="7"/>
    </row>
    <row r="970">
      <c r="I970" s="7"/>
      <c r="J970" s="7"/>
      <c r="K970" s="7"/>
      <c r="L970" s="7"/>
      <c r="M970" s="7"/>
      <c r="N970" s="7"/>
      <c r="O970" s="7"/>
    </row>
    <row r="971">
      <c r="I971" s="7"/>
      <c r="J971" s="7"/>
      <c r="K971" s="7"/>
      <c r="L971" s="7"/>
      <c r="M971" s="7"/>
      <c r="N971" s="7"/>
      <c r="O971" s="7"/>
    </row>
    <row r="972">
      <c r="I972" s="7"/>
      <c r="J972" s="7"/>
      <c r="K972" s="7"/>
      <c r="L972" s="7"/>
      <c r="M972" s="7"/>
      <c r="N972" s="7"/>
      <c r="O972" s="7"/>
    </row>
    <row r="973">
      <c r="I973" s="7"/>
      <c r="J973" s="7"/>
      <c r="K973" s="7"/>
      <c r="L973" s="7"/>
      <c r="M973" s="7"/>
      <c r="N973" s="7"/>
      <c r="O973" s="7"/>
    </row>
    <row r="974">
      <c r="I974" s="7"/>
      <c r="J974" s="7"/>
      <c r="K974" s="7"/>
      <c r="L974" s="7"/>
      <c r="M974" s="7"/>
      <c r="N974" s="7"/>
      <c r="O974" s="7"/>
    </row>
    <row r="975">
      <c r="I975" s="7"/>
      <c r="J975" s="7"/>
      <c r="K975" s="7"/>
      <c r="L975" s="7"/>
      <c r="M975" s="7"/>
      <c r="N975" s="7"/>
      <c r="O975" s="7"/>
    </row>
    <row r="976">
      <c r="I976" s="7"/>
      <c r="J976" s="7"/>
      <c r="K976" s="7"/>
      <c r="L976" s="7"/>
      <c r="M976" s="7"/>
      <c r="N976" s="7"/>
      <c r="O976" s="7"/>
    </row>
    <row r="977">
      <c r="I977" s="7"/>
      <c r="J977" s="7"/>
      <c r="K977" s="7"/>
      <c r="L977" s="7"/>
      <c r="M977" s="7"/>
      <c r="N977" s="7"/>
      <c r="O977" s="7"/>
    </row>
    <row r="978">
      <c r="I978" s="7"/>
      <c r="J978" s="7"/>
      <c r="K978" s="7"/>
      <c r="L978" s="7"/>
      <c r="M978" s="7"/>
      <c r="N978" s="7"/>
      <c r="O978" s="7"/>
    </row>
    <row r="979">
      <c r="I979" s="7"/>
      <c r="J979" s="7"/>
      <c r="K979" s="7"/>
      <c r="L979" s="7"/>
      <c r="M979" s="7"/>
      <c r="N979" s="7"/>
      <c r="O979" s="7"/>
    </row>
    <row r="980">
      <c r="I980" s="7"/>
      <c r="J980" s="7"/>
      <c r="K980" s="7"/>
      <c r="L980" s="7"/>
      <c r="M980" s="7"/>
      <c r="N980" s="7"/>
      <c r="O980" s="7"/>
    </row>
    <row r="981">
      <c r="I981" s="7"/>
      <c r="J981" s="7"/>
      <c r="K981" s="7"/>
      <c r="L981" s="7"/>
      <c r="M981" s="7"/>
      <c r="N981" s="7"/>
      <c r="O981" s="7"/>
    </row>
    <row r="982">
      <c r="I982" s="7"/>
      <c r="J982" s="7"/>
      <c r="K982" s="7"/>
      <c r="L982" s="7"/>
      <c r="M982" s="7"/>
      <c r="N982" s="7"/>
      <c r="O982" s="7"/>
    </row>
    <row r="983">
      <c r="I983" s="7"/>
      <c r="J983" s="7"/>
      <c r="K983" s="7"/>
      <c r="L983" s="7"/>
      <c r="M983" s="7"/>
      <c r="N983" s="7"/>
      <c r="O983" s="7"/>
    </row>
    <row r="984">
      <c r="I984" s="7"/>
      <c r="J984" s="7"/>
      <c r="K984" s="7"/>
      <c r="L984" s="7"/>
      <c r="M984" s="7"/>
      <c r="N984" s="7"/>
      <c r="O984" s="7"/>
    </row>
    <row r="985">
      <c r="I985" s="7"/>
      <c r="J985" s="7"/>
      <c r="K985" s="7"/>
      <c r="L985" s="7"/>
      <c r="M985" s="7"/>
      <c r="N985" s="7"/>
      <c r="O985" s="7"/>
    </row>
    <row r="986">
      <c r="I986" s="7"/>
      <c r="J986" s="7"/>
      <c r="K986" s="7"/>
      <c r="L986" s="7"/>
      <c r="M986" s="7"/>
      <c r="N986" s="7"/>
      <c r="O986" s="7"/>
    </row>
    <row r="987">
      <c r="I987" s="7"/>
      <c r="J987" s="7"/>
      <c r="K987" s="7"/>
      <c r="L987" s="7"/>
      <c r="M987" s="7"/>
      <c r="N987" s="7"/>
      <c r="O987" s="7"/>
    </row>
    <row r="988">
      <c r="I988" s="7"/>
      <c r="J988" s="7"/>
      <c r="K988" s="7"/>
      <c r="L988" s="7"/>
      <c r="M988" s="7"/>
      <c r="N988" s="7"/>
      <c r="O988" s="7"/>
    </row>
    <row r="989">
      <c r="I989" s="7"/>
      <c r="J989" s="7"/>
      <c r="K989" s="7"/>
      <c r="L989" s="7"/>
      <c r="M989" s="7"/>
      <c r="N989" s="7"/>
      <c r="O989" s="7"/>
    </row>
    <row r="990">
      <c r="I990" s="7"/>
      <c r="J990" s="7"/>
      <c r="K990" s="7"/>
      <c r="L990" s="7"/>
      <c r="M990" s="7"/>
      <c r="N990" s="7"/>
      <c r="O990" s="7"/>
    </row>
    <row r="991">
      <c r="I991" s="7"/>
      <c r="J991" s="7"/>
      <c r="K991" s="7"/>
      <c r="L991" s="7"/>
      <c r="M991" s="7"/>
      <c r="N991" s="7"/>
      <c r="O991" s="7"/>
    </row>
    <row r="992">
      <c r="I992" s="7"/>
      <c r="J992" s="7"/>
      <c r="K992" s="7"/>
      <c r="L992" s="7"/>
      <c r="M992" s="7"/>
      <c r="N992" s="7"/>
      <c r="O992" s="7"/>
    </row>
    <row r="993">
      <c r="I993" s="7"/>
      <c r="J993" s="7"/>
      <c r="K993" s="7"/>
      <c r="L993" s="7"/>
      <c r="M993" s="7"/>
      <c r="N993" s="7"/>
      <c r="O993" s="7"/>
    </row>
    <row r="994">
      <c r="I994" s="7"/>
      <c r="J994" s="7"/>
      <c r="K994" s="7"/>
      <c r="L994" s="7"/>
      <c r="M994" s="7"/>
      <c r="N994" s="7"/>
      <c r="O994" s="7"/>
    </row>
    <row r="995">
      <c r="I995" s="7"/>
      <c r="J995" s="7"/>
      <c r="K995" s="7"/>
      <c r="L995" s="7"/>
      <c r="M995" s="7"/>
      <c r="N995" s="7"/>
      <c r="O995" s="7"/>
    </row>
    <row r="996">
      <c r="I996" s="7"/>
      <c r="J996" s="7"/>
      <c r="K996" s="7"/>
      <c r="L996" s="7"/>
      <c r="M996" s="7"/>
      <c r="N996" s="7"/>
      <c r="O996" s="7"/>
    </row>
    <row r="997">
      <c r="I997" s="7"/>
      <c r="J997" s="7"/>
      <c r="K997" s="7"/>
      <c r="L997" s="7"/>
      <c r="M997" s="7"/>
      <c r="N997" s="7"/>
      <c r="O997" s="7"/>
    </row>
    <row r="998">
      <c r="I998" s="7"/>
      <c r="J998" s="7"/>
      <c r="K998" s="7"/>
      <c r="L998" s="7"/>
      <c r="M998" s="7"/>
      <c r="N998" s="7"/>
      <c r="O998" s="7"/>
    </row>
    <row r="999">
      <c r="I999" s="7"/>
      <c r="J999" s="7"/>
      <c r="K999" s="7"/>
      <c r="L999" s="7"/>
      <c r="M999" s="7"/>
      <c r="N999" s="7"/>
      <c r="O999" s="7"/>
    </row>
    <row r="1000">
      <c r="I1000" s="7"/>
      <c r="J1000" s="7"/>
      <c r="K1000" s="7"/>
      <c r="L1000" s="7"/>
      <c r="M1000" s="7"/>
      <c r="N1000" s="7"/>
      <c r="O1000" s="7"/>
    </row>
    <row r="1001">
      <c r="I1001" s="7"/>
      <c r="J1001" s="7"/>
      <c r="K1001" s="7"/>
      <c r="L1001" s="7"/>
      <c r="M1001" s="7"/>
      <c r="N1001" s="7"/>
      <c r="O1001" s="7"/>
    </row>
    <row r="1002">
      <c r="I1002" s="7"/>
      <c r="J1002" s="7"/>
      <c r="K1002" s="7"/>
      <c r="L1002" s="7"/>
      <c r="M1002" s="7"/>
      <c r="N1002" s="7"/>
      <c r="O1002" s="7"/>
    </row>
    <row r="1003">
      <c r="I1003" s="7"/>
      <c r="J1003" s="7"/>
      <c r="K1003" s="7"/>
      <c r="L1003" s="7"/>
      <c r="M1003" s="7"/>
      <c r="N1003" s="7"/>
      <c r="O1003" s="7"/>
    </row>
    <row r="1004">
      <c r="I1004" s="7"/>
      <c r="J1004" s="7"/>
      <c r="K1004" s="7"/>
      <c r="L1004" s="7"/>
      <c r="M1004" s="7"/>
      <c r="N1004" s="7"/>
      <c r="O1004" s="7"/>
    </row>
    <row r="1005">
      <c r="I1005" s="7"/>
      <c r="J1005" s="7"/>
      <c r="K1005" s="7"/>
      <c r="L1005" s="7"/>
      <c r="M1005" s="7"/>
      <c r="N1005" s="7"/>
      <c r="O1005" s="7"/>
    </row>
    <row r="1006">
      <c r="I1006" s="7"/>
      <c r="J1006" s="7"/>
      <c r="K1006" s="7"/>
      <c r="L1006" s="7"/>
      <c r="M1006" s="7"/>
      <c r="N1006" s="7"/>
      <c r="O1006" s="7"/>
    </row>
    <row r="1007">
      <c r="I1007" s="7"/>
      <c r="J1007" s="7"/>
      <c r="K1007" s="7"/>
      <c r="L1007" s="7"/>
      <c r="M1007" s="7"/>
      <c r="N1007" s="7"/>
      <c r="O1007" s="7"/>
    </row>
    <row r="1008">
      <c r="I1008" s="7"/>
      <c r="J1008" s="7"/>
      <c r="K1008" s="7"/>
      <c r="L1008" s="7"/>
      <c r="M1008" s="7"/>
      <c r="N1008" s="7"/>
      <c r="O1008" s="7"/>
    </row>
    <row r="1009">
      <c r="I1009" s="7"/>
      <c r="J1009" s="7"/>
      <c r="K1009" s="7"/>
      <c r="L1009" s="7"/>
      <c r="M1009" s="7"/>
      <c r="N1009" s="7"/>
      <c r="O1009" s="7"/>
    </row>
    <row r="1010">
      <c r="I1010" s="7"/>
      <c r="J1010" s="7"/>
      <c r="K1010" s="7"/>
      <c r="L1010" s="7"/>
      <c r="M1010" s="7"/>
      <c r="N1010" s="7"/>
      <c r="O1010" s="7"/>
    </row>
    <row r="1011">
      <c r="I1011" s="7"/>
      <c r="J1011" s="7"/>
      <c r="K1011" s="7"/>
      <c r="L1011" s="7"/>
      <c r="M1011" s="7"/>
      <c r="N1011" s="7"/>
      <c r="O1011" s="7"/>
    </row>
    <row r="1012">
      <c r="I1012" s="7"/>
      <c r="J1012" s="7"/>
      <c r="K1012" s="7"/>
      <c r="L1012" s="7"/>
      <c r="M1012" s="7"/>
      <c r="N1012" s="7"/>
      <c r="O1012" s="7"/>
    </row>
    <row r="1013">
      <c r="I1013" s="7"/>
      <c r="J1013" s="7"/>
      <c r="K1013" s="7"/>
      <c r="L1013" s="7"/>
      <c r="M1013" s="7"/>
      <c r="N1013" s="7"/>
      <c r="O1013" s="7"/>
    </row>
    <row r="1014">
      <c r="I1014" s="7"/>
      <c r="J1014" s="7"/>
      <c r="K1014" s="7"/>
      <c r="L1014" s="7"/>
      <c r="M1014" s="7"/>
      <c r="N1014" s="7"/>
      <c r="O1014" s="7"/>
    </row>
    <row r="1015">
      <c r="I1015" s="7"/>
      <c r="J1015" s="7"/>
      <c r="K1015" s="7"/>
      <c r="L1015" s="7"/>
      <c r="M1015" s="7"/>
      <c r="N1015" s="7"/>
      <c r="O1015" s="7"/>
    </row>
    <row r="1016">
      <c r="I1016" s="7"/>
      <c r="J1016" s="7"/>
      <c r="K1016" s="7"/>
      <c r="L1016" s="7"/>
      <c r="M1016" s="7"/>
      <c r="N1016" s="7"/>
      <c r="O1016" s="7"/>
    </row>
    <row r="1017">
      <c r="I1017" s="7"/>
      <c r="J1017" s="7"/>
      <c r="K1017" s="7"/>
      <c r="L1017" s="7"/>
      <c r="M1017" s="7"/>
      <c r="N1017" s="7"/>
      <c r="O1017" s="7"/>
    </row>
    <row r="1018">
      <c r="I1018" s="7"/>
      <c r="J1018" s="7"/>
      <c r="K1018" s="7"/>
      <c r="L1018" s="7"/>
      <c r="M1018" s="7"/>
      <c r="N1018" s="7"/>
      <c r="O1018" s="7"/>
    </row>
    <row r="1019">
      <c r="I1019" s="7"/>
      <c r="J1019" s="7"/>
      <c r="K1019" s="7"/>
      <c r="L1019" s="7"/>
      <c r="M1019" s="7"/>
      <c r="N1019" s="7"/>
      <c r="O1019" s="7"/>
    </row>
    <row r="1020">
      <c r="I1020" s="7"/>
      <c r="J1020" s="7"/>
      <c r="K1020" s="7"/>
      <c r="L1020" s="7"/>
      <c r="M1020" s="7"/>
      <c r="N1020" s="7"/>
      <c r="O1020" s="7"/>
    </row>
    <row r="1021">
      <c r="I1021" s="7"/>
      <c r="J1021" s="7"/>
      <c r="K1021" s="7"/>
      <c r="L1021" s="7"/>
      <c r="M1021" s="7"/>
      <c r="N1021" s="7"/>
      <c r="O1021" s="7"/>
    </row>
    <row r="1022">
      <c r="I1022" s="7"/>
      <c r="J1022" s="7"/>
      <c r="K1022" s="7"/>
      <c r="L1022" s="7"/>
      <c r="M1022" s="7"/>
      <c r="N1022" s="7"/>
      <c r="O1022" s="7"/>
    </row>
    <row r="1023">
      <c r="I1023" s="7"/>
      <c r="J1023" s="7"/>
      <c r="K1023" s="7"/>
      <c r="L1023" s="7"/>
      <c r="M1023" s="7"/>
      <c r="N1023" s="7"/>
      <c r="O1023" s="7"/>
    </row>
    <row r="1024">
      <c r="I1024" s="7"/>
      <c r="J1024" s="7"/>
      <c r="K1024" s="7"/>
      <c r="L1024" s="7"/>
      <c r="M1024" s="7"/>
      <c r="N1024" s="7"/>
      <c r="O1024" s="7"/>
    </row>
  </sheetData>
  <mergeCells count="751">
    <mergeCell ref="D12:E12"/>
    <mergeCell ref="F12:H12"/>
    <mergeCell ref="B10:C10"/>
    <mergeCell ref="D10:E10"/>
    <mergeCell ref="F10:H10"/>
    <mergeCell ref="B11:C11"/>
    <mergeCell ref="D11:E11"/>
    <mergeCell ref="F11:H11"/>
    <mergeCell ref="B12:C12"/>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19:C19"/>
    <mergeCell ref="D19:E19"/>
    <mergeCell ref="F19:H19"/>
    <mergeCell ref="B20:C20"/>
    <mergeCell ref="D20:E20"/>
    <mergeCell ref="F20:H20"/>
    <mergeCell ref="B21:C21"/>
    <mergeCell ref="D24:E24"/>
    <mergeCell ref="F24:H24"/>
    <mergeCell ref="B22:C22"/>
    <mergeCell ref="D22:E22"/>
    <mergeCell ref="F22:H22"/>
    <mergeCell ref="B23:C23"/>
    <mergeCell ref="D23:E23"/>
    <mergeCell ref="F23:H23"/>
    <mergeCell ref="B24:C24"/>
    <mergeCell ref="D27:E27"/>
    <mergeCell ref="F27:H27"/>
    <mergeCell ref="B25:C25"/>
    <mergeCell ref="D25:E25"/>
    <mergeCell ref="F25:H25"/>
    <mergeCell ref="B26:C26"/>
    <mergeCell ref="D26:E26"/>
    <mergeCell ref="F26:H26"/>
    <mergeCell ref="B27:C27"/>
    <mergeCell ref="D30:E30"/>
    <mergeCell ref="F30:H30"/>
    <mergeCell ref="B28:C28"/>
    <mergeCell ref="D28:E28"/>
    <mergeCell ref="F28:H28"/>
    <mergeCell ref="B29:C29"/>
    <mergeCell ref="D29:E29"/>
    <mergeCell ref="F29:H29"/>
    <mergeCell ref="B30:C30"/>
    <mergeCell ref="D33:E33"/>
    <mergeCell ref="F33:H33"/>
    <mergeCell ref="B31:C31"/>
    <mergeCell ref="D31:E31"/>
    <mergeCell ref="F31:H31"/>
    <mergeCell ref="B32:C32"/>
    <mergeCell ref="D32:E32"/>
    <mergeCell ref="F32:H32"/>
    <mergeCell ref="B33:C33"/>
    <mergeCell ref="D36:E36"/>
    <mergeCell ref="F36:H36"/>
    <mergeCell ref="B34:C34"/>
    <mergeCell ref="D34:E34"/>
    <mergeCell ref="F34:H34"/>
    <mergeCell ref="B35:C35"/>
    <mergeCell ref="D35:E35"/>
    <mergeCell ref="F35:H35"/>
    <mergeCell ref="B36:C36"/>
    <mergeCell ref="D39:E39"/>
    <mergeCell ref="F39:H39"/>
    <mergeCell ref="B37:C37"/>
    <mergeCell ref="D37:E37"/>
    <mergeCell ref="F37:H37"/>
    <mergeCell ref="B38:C38"/>
    <mergeCell ref="D38:E38"/>
    <mergeCell ref="F38:H38"/>
    <mergeCell ref="B39:C39"/>
    <mergeCell ref="D42:E42"/>
    <mergeCell ref="F42:H42"/>
    <mergeCell ref="B40:C40"/>
    <mergeCell ref="D40:E40"/>
    <mergeCell ref="F40:H40"/>
    <mergeCell ref="B41:C41"/>
    <mergeCell ref="D41:E41"/>
    <mergeCell ref="F41:H41"/>
    <mergeCell ref="B42:C42"/>
    <mergeCell ref="D45:E45"/>
    <mergeCell ref="F45:H45"/>
    <mergeCell ref="B43:C43"/>
    <mergeCell ref="D43:E43"/>
    <mergeCell ref="F43:H43"/>
    <mergeCell ref="B44:C44"/>
    <mergeCell ref="D44:E44"/>
    <mergeCell ref="F44:H44"/>
    <mergeCell ref="B45:C45"/>
    <mergeCell ref="D48:E48"/>
    <mergeCell ref="F48:H48"/>
    <mergeCell ref="B46:C46"/>
    <mergeCell ref="D46:E46"/>
    <mergeCell ref="F46:H46"/>
    <mergeCell ref="B47:C47"/>
    <mergeCell ref="D47:E47"/>
    <mergeCell ref="F47:H47"/>
    <mergeCell ref="B48:C48"/>
    <mergeCell ref="D51:E51"/>
    <mergeCell ref="F51:H51"/>
    <mergeCell ref="B49:C49"/>
    <mergeCell ref="D49:E49"/>
    <mergeCell ref="F49:H49"/>
    <mergeCell ref="B50:C50"/>
    <mergeCell ref="D50:E50"/>
    <mergeCell ref="F50:H50"/>
    <mergeCell ref="B51:C51"/>
    <mergeCell ref="D54:E54"/>
    <mergeCell ref="F54:H54"/>
    <mergeCell ref="B52:C52"/>
    <mergeCell ref="D52:E52"/>
    <mergeCell ref="F52:H52"/>
    <mergeCell ref="B53:C53"/>
    <mergeCell ref="D53:E53"/>
    <mergeCell ref="F53:H53"/>
    <mergeCell ref="B54:C54"/>
    <mergeCell ref="D57:E57"/>
    <mergeCell ref="F57:H57"/>
    <mergeCell ref="B55:C55"/>
    <mergeCell ref="D55:E55"/>
    <mergeCell ref="F55:H55"/>
    <mergeCell ref="B56:C56"/>
    <mergeCell ref="D56:E56"/>
    <mergeCell ref="F56:H56"/>
    <mergeCell ref="B57:C57"/>
    <mergeCell ref="D60:E60"/>
    <mergeCell ref="F60:H60"/>
    <mergeCell ref="B58:C58"/>
    <mergeCell ref="D58:E58"/>
    <mergeCell ref="F58:H58"/>
    <mergeCell ref="B59:C59"/>
    <mergeCell ref="D59:E59"/>
    <mergeCell ref="F59:H59"/>
    <mergeCell ref="B60:C60"/>
    <mergeCell ref="D63:E63"/>
    <mergeCell ref="F63:H63"/>
    <mergeCell ref="B61:C61"/>
    <mergeCell ref="D61:E61"/>
    <mergeCell ref="F61:H61"/>
    <mergeCell ref="B62:C62"/>
    <mergeCell ref="D62:E62"/>
    <mergeCell ref="F62:H62"/>
    <mergeCell ref="B63:C63"/>
    <mergeCell ref="D66:E66"/>
    <mergeCell ref="F66:H66"/>
    <mergeCell ref="B64:C64"/>
    <mergeCell ref="D64:E64"/>
    <mergeCell ref="F64:H64"/>
    <mergeCell ref="B65:C65"/>
    <mergeCell ref="D65:E65"/>
    <mergeCell ref="F65:H65"/>
    <mergeCell ref="B66:C66"/>
    <mergeCell ref="D69:E69"/>
    <mergeCell ref="F69:H69"/>
    <mergeCell ref="B67:C67"/>
    <mergeCell ref="D67:E67"/>
    <mergeCell ref="F67:H67"/>
    <mergeCell ref="B68:C68"/>
    <mergeCell ref="D68:E68"/>
    <mergeCell ref="F68:H68"/>
    <mergeCell ref="B69:C69"/>
    <mergeCell ref="D72:E72"/>
    <mergeCell ref="F72:H72"/>
    <mergeCell ref="B70:C70"/>
    <mergeCell ref="D70:E70"/>
    <mergeCell ref="F70:H70"/>
    <mergeCell ref="B71:C71"/>
    <mergeCell ref="D71:E71"/>
    <mergeCell ref="F71:H71"/>
    <mergeCell ref="B72:C72"/>
    <mergeCell ref="D75:E75"/>
    <mergeCell ref="F75:H75"/>
    <mergeCell ref="B73:C73"/>
    <mergeCell ref="D73:E73"/>
    <mergeCell ref="F73:H73"/>
    <mergeCell ref="B74:C74"/>
    <mergeCell ref="D74:E74"/>
    <mergeCell ref="F74:H74"/>
    <mergeCell ref="B75:C75"/>
    <mergeCell ref="D78:E78"/>
    <mergeCell ref="F78:H78"/>
    <mergeCell ref="B76:C76"/>
    <mergeCell ref="D76:E76"/>
    <mergeCell ref="F76:H76"/>
    <mergeCell ref="B77:C77"/>
    <mergeCell ref="D77:E77"/>
    <mergeCell ref="F77:H77"/>
    <mergeCell ref="B78:C78"/>
    <mergeCell ref="D81:E81"/>
    <mergeCell ref="F81:H81"/>
    <mergeCell ref="B79:C79"/>
    <mergeCell ref="D79:E79"/>
    <mergeCell ref="F79:H79"/>
    <mergeCell ref="B80:C80"/>
    <mergeCell ref="D80:E80"/>
    <mergeCell ref="F80:H80"/>
    <mergeCell ref="B81:C81"/>
    <mergeCell ref="D84:E84"/>
    <mergeCell ref="F84:H84"/>
    <mergeCell ref="B82:C82"/>
    <mergeCell ref="D82:E82"/>
    <mergeCell ref="F82:H82"/>
    <mergeCell ref="B83:C83"/>
    <mergeCell ref="D83:E83"/>
    <mergeCell ref="F83:H83"/>
    <mergeCell ref="B84:C84"/>
    <mergeCell ref="D87:E87"/>
    <mergeCell ref="F87:H87"/>
    <mergeCell ref="B85:C85"/>
    <mergeCell ref="D85:E85"/>
    <mergeCell ref="F85:H85"/>
    <mergeCell ref="B86:C86"/>
    <mergeCell ref="D86:E86"/>
    <mergeCell ref="F86:H86"/>
    <mergeCell ref="B87:C87"/>
    <mergeCell ref="D90:E90"/>
    <mergeCell ref="F90:H90"/>
    <mergeCell ref="B88:C88"/>
    <mergeCell ref="D88:E88"/>
    <mergeCell ref="F88:H88"/>
    <mergeCell ref="B89:C89"/>
    <mergeCell ref="D89:E89"/>
    <mergeCell ref="F89:H89"/>
    <mergeCell ref="B90:C90"/>
    <mergeCell ref="D93:E93"/>
    <mergeCell ref="F93:H93"/>
    <mergeCell ref="B91:C91"/>
    <mergeCell ref="D91:E91"/>
    <mergeCell ref="F91:H91"/>
    <mergeCell ref="B92:C92"/>
    <mergeCell ref="D92:E92"/>
    <mergeCell ref="F92:H92"/>
    <mergeCell ref="B93:C93"/>
    <mergeCell ref="D96:E96"/>
    <mergeCell ref="F96:H96"/>
    <mergeCell ref="B94:C94"/>
    <mergeCell ref="D94:E94"/>
    <mergeCell ref="F94:H94"/>
    <mergeCell ref="B95:C95"/>
    <mergeCell ref="D95:E95"/>
    <mergeCell ref="F95:H95"/>
    <mergeCell ref="B96:C96"/>
    <mergeCell ref="D99:E99"/>
    <mergeCell ref="F99:H99"/>
    <mergeCell ref="B97:C97"/>
    <mergeCell ref="D97:E97"/>
    <mergeCell ref="F97:H97"/>
    <mergeCell ref="B98:C98"/>
    <mergeCell ref="D98:E98"/>
    <mergeCell ref="F98:H98"/>
    <mergeCell ref="B99:C99"/>
    <mergeCell ref="D102:E102"/>
    <mergeCell ref="F102:H102"/>
    <mergeCell ref="B100:C100"/>
    <mergeCell ref="D100:E100"/>
    <mergeCell ref="F100:H100"/>
    <mergeCell ref="B101:C101"/>
    <mergeCell ref="D101:E101"/>
    <mergeCell ref="F101:H101"/>
    <mergeCell ref="B102:C102"/>
    <mergeCell ref="D105:E105"/>
    <mergeCell ref="F105:H105"/>
    <mergeCell ref="B103:C103"/>
    <mergeCell ref="D103:E103"/>
    <mergeCell ref="F103:H103"/>
    <mergeCell ref="B104:C104"/>
    <mergeCell ref="D104:E104"/>
    <mergeCell ref="F104:H104"/>
    <mergeCell ref="B105:C105"/>
    <mergeCell ref="D108:E108"/>
    <mergeCell ref="F108:H108"/>
    <mergeCell ref="B106:C106"/>
    <mergeCell ref="D106:E106"/>
    <mergeCell ref="F106:H106"/>
    <mergeCell ref="B107:C107"/>
    <mergeCell ref="D107:E107"/>
    <mergeCell ref="F107:H107"/>
    <mergeCell ref="B108:C108"/>
    <mergeCell ref="D111:E111"/>
    <mergeCell ref="F111:H111"/>
    <mergeCell ref="B109:C109"/>
    <mergeCell ref="D109:E109"/>
    <mergeCell ref="F109:H109"/>
    <mergeCell ref="B110:C110"/>
    <mergeCell ref="D110:E110"/>
    <mergeCell ref="F110:H110"/>
    <mergeCell ref="B111:C111"/>
    <mergeCell ref="D114:E114"/>
    <mergeCell ref="F114:H114"/>
    <mergeCell ref="B112:C112"/>
    <mergeCell ref="D112:E112"/>
    <mergeCell ref="F112:H112"/>
    <mergeCell ref="B113:C113"/>
    <mergeCell ref="D113:E113"/>
    <mergeCell ref="F113:H113"/>
    <mergeCell ref="B114:C114"/>
    <mergeCell ref="D117:E117"/>
    <mergeCell ref="F117:H117"/>
    <mergeCell ref="B115:C115"/>
    <mergeCell ref="D115:E115"/>
    <mergeCell ref="F115:H115"/>
    <mergeCell ref="B116:C116"/>
    <mergeCell ref="D116:E116"/>
    <mergeCell ref="F116:H116"/>
    <mergeCell ref="B117:C117"/>
    <mergeCell ref="D120:E120"/>
    <mergeCell ref="F120:H120"/>
    <mergeCell ref="B118:C118"/>
    <mergeCell ref="D118:E118"/>
    <mergeCell ref="F118:H118"/>
    <mergeCell ref="B119:C119"/>
    <mergeCell ref="D119:E119"/>
    <mergeCell ref="F119:H119"/>
    <mergeCell ref="B120:C120"/>
    <mergeCell ref="D3:E3"/>
    <mergeCell ref="F3:H3"/>
    <mergeCell ref="B1:C1"/>
    <mergeCell ref="D1:E1"/>
    <mergeCell ref="F1:H1"/>
    <mergeCell ref="B2:C2"/>
    <mergeCell ref="D2:E2"/>
    <mergeCell ref="F2:H2"/>
    <mergeCell ref="B3:C3"/>
    <mergeCell ref="D6:E6"/>
    <mergeCell ref="F6:H6"/>
    <mergeCell ref="B4:C4"/>
    <mergeCell ref="D4:E4"/>
    <mergeCell ref="F4:H4"/>
    <mergeCell ref="B5:C5"/>
    <mergeCell ref="D5:E5"/>
    <mergeCell ref="F5:H5"/>
    <mergeCell ref="B6:C6"/>
    <mergeCell ref="D9:E9"/>
    <mergeCell ref="F9:H9"/>
    <mergeCell ref="B7:C7"/>
    <mergeCell ref="D7:E7"/>
    <mergeCell ref="F7:H7"/>
    <mergeCell ref="B8:C8"/>
    <mergeCell ref="D8:E8"/>
    <mergeCell ref="F8:H8"/>
    <mergeCell ref="B9:C9"/>
    <mergeCell ref="B121:C121"/>
    <mergeCell ref="D121:E121"/>
    <mergeCell ref="F121:H121"/>
    <mergeCell ref="B122:C122"/>
    <mergeCell ref="D122:E122"/>
    <mergeCell ref="F122:H122"/>
    <mergeCell ref="B123:C123"/>
    <mergeCell ref="D123:E123"/>
    <mergeCell ref="F123:H123"/>
    <mergeCell ref="F126:H126"/>
    <mergeCell ref="F127:H127"/>
    <mergeCell ref="F128:H128"/>
    <mergeCell ref="F129:H129"/>
    <mergeCell ref="F130:H130"/>
    <mergeCell ref="F131:H131"/>
    <mergeCell ref="F132:H132"/>
    <mergeCell ref="F133:H133"/>
    <mergeCell ref="F134:H134"/>
    <mergeCell ref="F135:H135"/>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G337:H337"/>
    <mergeCell ref="G338:H338"/>
    <mergeCell ref="G339:H339"/>
    <mergeCell ref="G340:H340"/>
    <mergeCell ref="G330:H330"/>
    <mergeCell ref="G331:H331"/>
    <mergeCell ref="G332:H332"/>
    <mergeCell ref="G333:H333"/>
    <mergeCell ref="G334:H334"/>
    <mergeCell ref="G335:H335"/>
    <mergeCell ref="G336:H336"/>
    <mergeCell ref="G392:I392"/>
    <mergeCell ref="G393:I393"/>
    <mergeCell ref="A388:B388"/>
    <mergeCell ref="A389:B389"/>
    <mergeCell ref="A390:B390"/>
    <mergeCell ref="A391:B391"/>
    <mergeCell ref="G391:I391"/>
    <mergeCell ref="A392:B392"/>
    <mergeCell ref="A393:B393"/>
    <mergeCell ref="G398:I398"/>
    <mergeCell ref="G399:I399"/>
    <mergeCell ref="A394:B394"/>
    <mergeCell ref="G394:I394"/>
    <mergeCell ref="A395:B395"/>
    <mergeCell ref="G395:I395"/>
    <mergeCell ref="A396:B396"/>
    <mergeCell ref="G396:I396"/>
    <mergeCell ref="G397:I397"/>
    <mergeCell ref="G401:I401"/>
    <mergeCell ref="G402:I402"/>
    <mergeCell ref="A397:B397"/>
    <mergeCell ref="A398:B398"/>
    <mergeCell ref="A399:B399"/>
    <mergeCell ref="A400:B400"/>
    <mergeCell ref="G400:I400"/>
    <mergeCell ref="A401:B401"/>
    <mergeCell ref="A402:B402"/>
    <mergeCell ref="G407:I407"/>
    <mergeCell ref="G408:I408"/>
    <mergeCell ref="A403:B403"/>
    <mergeCell ref="G403:I403"/>
    <mergeCell ref="A404:B404"/>
    <mergeCell ref="G404:I404"/>
    <mergeCell ref="A405:B405"/>
    <mergeCell ref="G405:I405"/>
    <mergeCell ref="G406:I406"/>
    <mergeCell ref="G410:I410"/>
    <mergeCell ref="G411:I411"/>
    <mergeCell ref="A406:B406"/>
    <mergeCell ref="A407:B407"/>
    <mergeCell ref="A408:B408"/>
    <mergeCell ref="A409:B409"/>
    <mergeCell ref="G409:I409"/>
    <mergeCell ref="A410:B410"/>
    <mergeCell ref="A411:B411"/>
    <mergeCell ref="E422:H422"/>
    <mergeCell ref="E423:H423"/>
    <mergeCell ref="E424:H424"/>
    <mergeCell ref="E425:H425"/>
    <mergeCell ref="E426:H426"/>
    <mergeCell ref="E427:H427"/>
    <mergeCell ref="E428:H428"/>
    <mergeCell ref="E429:H429"/>
    <mergeCell ref="E430:H430"/>
    <mergeCell ref="E431:H431"/>
    <mergeCell ref="E432:H432"/>
    <mergeCell ref="E433:H433"/>
    <mergeCell ref="E434:H434"/>
    <mergeCell ref="E435:H435"/>
    <mergeCell ref="E436:H436"/>
    <mergeCell ref="E437:H437"/>
    <mergeCell ref="E438:H438"/>
    <mergeCell ref="E439:H439"/>
    <mergeCell ref="E440:H440"/>
    <mergeCell ref="A451:H451"/>
    <mergeCell ref="B453:H453"/>
    <mergeCell ref="B461:H461"/>
    <mergeCell ref="A462:H462"/>
    <mergeCell ref="A463:H463"/>
    <mergeCell ref="A464:H464"/>
    <mergeCell ref="B454:H454"/>
    <mergeCell ref="B455:H455"/>
    <mergeCell ref="B456:H456"/>
    <mergeCell ref="B457:H457"/>
    <mergeCell ref="B458:H458"/>
    <mergeCell ref="B459:H459"/>
    <mergeCell ref="B460:H460"/>
    <mergeCell ref="F313:H313"/>
    <mergeCell ref="F314:H314"/>
    <mergeCell ref="F315:H315"/>
    <mergeCell ref="F316:H316"/>
    <mergeCell ref="F317:H317"/>
    <mergeCell ref="F318:H318"/>
    <mergeCell ref="F319:H319"/>
    <mergeCell ref="F320:H320"/>
    <mergeCell ref="G324:H324"/>
    <mergeCell ref="G325:H325"/>
    <mergeCell ref="G326:H326"/>
    <mergeCell ref="G327:H327"/>
    <mergeCell ref="G328:H328"/>
    <mergeCell ref="G329:H329"/>
    <mergeCell ref="G349:I349"/>
    <mergeCell ref="G350:I350"/>
    <mergeCell ref="G346:I346"/>
    <mergeCell ref="A347:B347"/>
    <mergeCell ref="G347:I347"/>
    <mergeCell ref="A348:B348"/>
    <mergeCell ref="G348:I348"/>
    <mergeCell ref="A349:B349"/>
    <mergeCell ref="A350:B350"/>
    <mergeCell ref="A351:B351"/>
    <mergeCell ref="G351:I351"/>
    <mergeCell ref="A352:B352"/>
    <mergeCell ref="G352:I352"/>
    <mergeCell ref="A353:B353"/>
    <mergeCell ref="G353:I353"/>
    <mergeCell ref="G354:I354"/>
    <mergeCell ref="A354:B354"/>
    <mergeCell ref="A355:B355"/>
    <mergeCell ref="A356:B356"/>
    <mergeCell ref="A357:B357"/>
    <mergeCell ref="A358:B358"/>
    <mergeCell ref="A359:B359"/>
    <mergeCell ref="A360:B360"/>
    <mergeCell ref="B414:I414"/>
    <mergeCell ref="A415:I415"/>
    <mergeCell ref="E417:H417"/>
    <mergeCell ref="E418:H418"/>
    <mergeCell ref="E419:H419"/>
    <mergeCell ref="E420:H420"/>
    <mergeCell ref="E421:H421"/>
    <mergeCell ref="G362:I362"/>
    <mergeCell ref="G363:I363"/>
    <mergeCell ref="G355:I355"/>
    <mergeCell ref="G356:I356"/>
    <mergeCell ref="G357:I357"/>
    <mergeCell ref="G358:I358"/>
    <mergeCell ref="G359:I359"/>
    <mergeCell ref="G360:I360"/>
    <mergeCell ref="G361:I361"/>
    <mergeCell ref="G365:I365"/>
    <mergeCell ref="G366:I366"/>
    <mergeCell ref="A361:B361"/>
    <mergeCell ref="A362:B362"/>
    <mergeCell ref="A363:B363"/>
    <mergeCell ref="A364:B364"/>
    <mergeCell ref="G364:I364"/>
    <mergeCell ref="A365:B365"/>
    <mergeCell ref="A366:B366"/>
    <mergeCell ref="G371:I371"/>
    <mergeCell ref="G372:I372"/>
    <mergeCell ref="A367:B367"/>
    <mergeCell ref="G367:I367"/>
    <mergeCell ref="A368:B368"/>
    <mergeCell ref="G368:I368"/>
    <mergeCell ref="A369:B369"/>
    <mergeCell ref="G369:I369"/>
    <mergeCell ref="G370:I370"/>
    <mergeCell ref="G374:I374"/>
    <mergeCell ref="G375:I375"/>
    <mergeCell ref="A370:B370"/>
    <mergeCell ref="A371:B371"/>
    <mergeCell ref="A372:B372"/>
    <mergeCell ref="A373:B373"/>
    <mergeCell ref="G373:I373"/>
    <mergeCell ref="A374:B374"/>
    <mergeCell ref="A375:B375"/>
    <mergeCell ref="G380:I380"/>
    <mergeCell ref="G381:I381"/>
    <mergeCell ref="A376:B376"/>
    <mergeCell ref="G376:I376"/>
    <mergeCell ref="A377:B377"/>
    <mergeCell ref="G377:I377"/>
    <mergeCell ref="A378:B378"/>
    <mergeCell ref="G378:I378"/>
    <mergeCell ref="G379:I379"/>
    <mergeCell ref="G383:I383"/>
    <mergeCell ref="G384:I384"/>
    <mergeCell ref="A379:B379"/>
    <mergeCell ref="A380:B380"/>
    <mergeCell ref="A381:B381"/>
    <mergeCell ref="A382:B382"/>
    <mergeCell ref="G382:I382"/>
    <mergeCell ref="A383:B383"/>
    <mergeCell ref="A384:B384"/>
    <mergeCell ref="G389:I389"/>
    <mergeCell ref="G390:I390"/>
    <mergeCell ref="A385:B385"/>
    <mergeCell ref="G385:I385"/>
    <mergeCell ref="A386:B386"/>
    <mergeCell ref="G386:I386"/>
    <mergeCell ref="A387:B387"/>
    <mergeCell ref="G387:I387"/>
    <mergeCell ref="G388:I388"/>
  </mergeCells>
  <conditionalFormatting sqref="A1:Z1">
    <cfRule type="notContainsBlanks" dxfId="0" priority="1">
      <formula>LEN(TRIM(A1))&gt;0</formula>
    </cfRule>
  </conditionalFormatting>
  <conditionalFormatting sqref="J347:J411">
    <cfRule type="containsText" dxfId="0" priority="2" operator="containsText" text="Yes">
      <formula>NOT(ISERROR(SEARCH(("Yes"),(J347))))</formula>
    </cfRule>
  </conditionalFormatting>
  <conditionalFormatting sqref="J347:J411">
    <cfRule type="containsText" dxfId="1" priority="3" operator="containsText" text="No">
      <formula>NOT(ISERROR(SEARCH(("No"),(J347))))</formula>
    </cfRule>
  </conditionalFormatting>
  <conditionalFormatting sqref="J347:J411">
    <cfRule type="containsText" dxfId="2" priority="4" operator="containsText" text="Changes">
      <formula>NOT(ISERROR(SEARCH(("Changes"),(J347))))</formula>
    </cfRule>
  </conditionalFormatting>
  <hyperlinks>
    <hyperlink r:id="rId1" ref="A2"/>
    <hyperlink r:id="rId2" location="Hats" ref="D2"/>
    <hyperlink r:id="rId3" ref="A3"/>
    <hyperlink r:id="rId4" location="Hats" ref="D3"/>
    <hyperlink r:id="rId5" ref="A4"/>
    <hyperlink r:id="rId6" ref="A5"/>
    <hyperlink r:id="rId7" location="Hats" ref="D5"/>
    <hyperlink r:id="rId8" ref="A6"/>
    <hyperlink r:id="rId9" ref="D6"/>
    <hyperlink r:id="rId10" ref="A7"/>
    <hyperlink r:id="rId11" location="Hats" ref="D7"/>
    <hyperlink r:id="rId12" ref="A8"/>
    <hyperlink r:id="rId13" ref="D8"/>
    <hyperlink r:id="rId14" ref="A9"/>
    <hyperlink r:id="rId15" ref="A10"/>
    <hyperlink r:id="rId16" location="Villager_Shops" ref="D10"/>
    <hyperlink r:id="rId17" ref="A11"/>
    <hyperlink r:id="rId18" location="Hats" ref="D11"/>
    <hyperlink r:id="rId19" ref="A12"/>
    <hyperlink r:id="rId20" ref="D12"/>
    <hyperlink r:id="rId21" ref="A13"/>
    <hyperlink r:id="rId22" ref="D13"/>
    <hyperlink r:id="rId23" ref="A14"/>
    <hyperlink r:id="rId24" ref="D14"/>
    <hyperlink r:id="rId25" ref="A15"/>
    <hyperlink r:id="rId26" location="Hats" ref="D15"/>
    <hyperlink r:id="rId27" ref="A16"/>
    <hyperlink r:id="rId28" location="Hats" ref="D16"/>
    <hyperlink r:id="rId29" ref="A17"/>
    <hyperlink r:id="rId30" ref="D17"/>
    <hyperlink r:id="rId31" ref="A18"/>
    <hyperlink r:id="rId32" ref="D18"/>
    <hyperlink r:id="rId33" location="Hats" ref="D19"/>
    <hyperlink r:id="rId34" ref="A20"/>
    <hyperlink r:id="rId35" ref="D20"/>
    <hyperlink r:id="rId36" ref="A21"/>
    <hyperlink r:id="rId37" ref="D21"/>
    <hyperlink r:id="rId38" ref="A22"/>
    <hyperlink r:id="rId39" location="Hats" ref="D22"/>
    <hyperlink r:id="rId40" ref="A23"/>
    <hyperlink r:id="rId41" location="Prize_Machine" ref="D23"/>
    <hyperlink r:id="rId42" ref="A24"/>
    <hyperlink r:id="rId43" ref="D24"/>
    <hyperlink r:id="rId44" ref="A25"/>
    <hyperlink r:id="rId45" ref="D25"/>
    <hyperlink r:id="rId46" ref="A26"/>
    <hyperlink r:id="rId47" ref="A27"/>
    <hyperlink r:id="rId48" ref="D27"/>
    <hyperlink r:id="rId49" ref="A28"/>
    <hyperlink r:id="rId50" location="Monster_Eradication_Goals" ref="D28"/>
    <hyperlink r:id="rId51" ref="D29"/>
    <hyperlink r:id="rId52" ref="A30"/>
    <hyperlink r:id="rId53" ref="D30"/>
    <hyperlink r:id="rId54" ref="A31"/>
    <hyperlink r:id="rId55" ref="D31"/>
    <hyperlink r:id="rId56" ref="A32"/>
    <hyperlink r:id="rId57" ref="D32"/>
    <hyperlink r:id="rId58" ref="A33"/>
    <hyperlink r:id="rId59" location="Hats" ref="D33"/>
    <hyperlink r:id="rId60" ref="A34"/>
    <hyperlink r:id="rId61" ref="D34"/>
    <hyperlink r:id="rId62" ref="A35"/>
    <hyperlink r:id="rId63" location="Hats" ref="D35"/>
    <hyperlink r:id="rId64" ref="A36"/>
    <hyperlink r:id="rId65" location="Hats" ref="D36"/>
    <hyperlink r:id="rId66" ref="A37"/>
    <hyperlink r:id="rId67" location="Hats" ref="D37"/>
    <hyperlink r:id="rId68" ref="A38"/>
    <hyperlink r:id="rId69" location="Help_Wanted_Quests" ref="D38"/>
    <hyperlink r:id="rId70" ref="A39"/>
    <hyperlink r:id="rId71" ref="D39"/>
    <hyperlink r:id="rId72" ref="A40"/>
    <hyperlink r:id="rId73" location="Hats" ref="D40"/>
    <hyperlink r:id="rId74" ref="A41"/>
    <hyperlink r:id="rId75" ref="D41"/>
    <hyperlink r:id="rId76" ref="A42"/>
    <hyperlink r:id="rId77" location="Hats" ref="D42"/>
    <hyperlink r:id="rId78" ref="A43"/>
    <hyperlink r:id="rId79" location="Hats" ref="D43"/>
    <hyperlink r:id="rId80" ref="A44"/>
    <hyperlink r:id="rId81" location="Hats" ref="D44"/>
    <hyperlink r:id="rId82" ref="A45"/>
    <hyperlink r:id="rId83" ref="D45"/>
    <hyperlink r:id="rId84" ref="A46"/>
    <hyperlink r:id="rId85" location="cite_note-tgp-2" ref="D46"/>
    <hyperlink r:id="rId86" ref="A47"/>
    <hyperlink r:id="rId87" ref="D47"/>
    <hyperlink r:id="rId88" ref="A48"/>
    <hyperlink r:id="rId89" ref="D48"/>
    <hyperlink r:id="rId90" ref="A49"/>
    <hyperlink r:id="rId91" ref="D49"/>
    <hyperlink r:id="rId92" ref="A50"/>
    <hyperlink r:id="rId93" ref="D50"/>
    <hyperlink r:id="rId94" ref="A51"/>
    <hyperlink r:id="rId95" location="Calico_Egg_Merchant" ref="D51"/>
    <hyperlink r:id="rId96" ref="A52"/>
    <hyperlink r:id="rId97" ref="D52"/>
    <hyperlink r:id="rId98" ref="A53"/>
    <hyperlink r:id="rId99" ref="D53"/>
    <hyperlink r:id="rId100" ref="A54"/>
    <hyperlink r:id="rId101" ref="D54"/>
    <hyperlink r:id="rId102" ref="A55"/>
    <hyperlink r:id="rId103" ref="D55"/>
    <hyperlink r:id="rId104" ref="A56"/>
    <hyperlink r:id="rId105" ref="A57"/>
    <hyperlink r:id="rId106" location="Hats" ref="D57"/>
    <hyperlink r:id="rId107" ref="A58"/>
    <hyperlink r:id="rId108" ref="D58"/>
    <hyperlink r:id="rId109" ref="A59"/>
    <hyperlink r:id="rId110" ref="D59"/>
    <hyperlink r:id="rId111" ref="A60"/>
    <hyperlink r:id="rId112" location="Emily.27s_Outfit_Services" ref="D60"/>
    <hyperlink r:id="rId113" ref="A61"/>
    <hyperlink r:id="rId114" location="Monster_Eradication_Goals" ref="D61"/>
    <hyperlink r:id="rId115" ref="A62"/>
    <hyperlink r:id="rId116" ref="D62"/>
    <hyperlink r:id="rId117" ref="A63"/>
    <hyperlink r:id="rId118" location="Emily.27s_Outfit_Services" ref="D63"/>
    <hyperlink r:id="rId119" ref="A64"/>
    <hyperlink r:id="rId120" ref="D64"/>
    <hyperlink r:id="rId121" ref="A65"/>
    <hyperlink r:id="rId122" ref="D65"/>
    <hyperlink r:id="rId123" ref="A66"/>
    <hyperlink r:id="rId124" ref="D66"/>
    <hyperlink r:id="rId125" ref="A67"/>
    <hyperlink r:id="rId126" ref="A68"/>
    <hyperlink r:id="rId127" location="Monster_Eradication_Goals" ref="D68"/>
    <hyperlink r:id="rId128" ref="A69"/>
    <hyperlink r:id="rId129" location="Hats" ref="D69"/>
    <hyperlink r:id="rId130" ref="A70"/>
    <hyperlink r:id="rId131" ref="D70"/>
    <hyperlink r:id="rId132" ref="A71"/>
    <hyperlink r:id="rId133" ref="D71"/>
    <hyperlink r:id="rId134" ref="A72"/>
    <hyperlink r:id="rId135" ref="A73"/>
    <hyperlink r:id="rId136" location="Hats" ref="D73"/>
    <hyperlink r:id="rId137" ref="A74"/>
    <hyperlink r:id="rId138" ref="D74"/>
    <hyperlink r:id="rId139" ref="A75"/>
    <hyperlink r:id="rId140" ref="D75"/>
    <hyperlink r:id="rId141" ref="A76"/>
    <hyperlink r:id="rId142" location="Hats" ref="D76"/>
    <hyperlink r:id="rId143" ref="A77"/>
    <hyperlink r:id="rId144" ref="D77"/>
    <hyperlink r:id="rId145" ref="A78"/>
    <hyperlink r:id="rId146" ref="D78"/>
    <hyperlink r:id="rId147" ref="A79"/>
    <hyperlink r:id="rId148" location="Skull_Cavern" ref="D79"/>
    <hyperlink r:id="rId149" ref="A80"/>
    <hyperlink r:id="rId150" ref="D80"/>
    <hyperlink r:id="rId151" ref="A81"/>
    <hyperlink r:id="rId152" location="Presents" ref="D81"/>
    <hyperlink r:id="rId153" ref="A82"/>
    <hyperlink r:id="rId154" location="Hats" ref="D82"/>
    <hyperlink r:id="rId155" ref="A83"/>
    <hyperlink r:id="rId156" location="Hats" ref="D83"/>
    <hyperlink r:id="rId157" ref="A84"/>
    <hyperlink r:id="rId158" location="Hats" ref="D84"/>
    <hyperlink r:id="rId159" ref="A85"/>
    <hyperlink r:id="rId160" location="Hats" ref="D85"/>
    <hyperlink r:id="rId161" ref="A86"/>
    <hyperlink r:id="rId162" ref="D86"/>
    <hyperlink r:id="rId163" ref="A87"/>
    <hyperlink r:id="rId164" location="Hats" ref="D87"/>
    <hyperlink r:id="rId165" ref="A88"/>
    <hyperlink r:id="rId166" ref="D88"/>
    <hyperlink r:id="rId167" ref="A89"/>
    <hyperlink r:id="rId168" ref="D89"/>
    <hyperlink r:id="rId169" ref="A90"/>
    <hyperlink r:id="rId170" ref="D90"/>
    <hyperlink r:id="rId171" ref="A91"/>
    <hyperlink r:id="rId172" ref="D91"/>
    <hyperlink r:id="rId173" ref="A92"/>
    <hyperlink r:id="rId174" location="Hats" ref="D92"/>
    <hyperlink r:id="rId175" ref="A93"/>
    <hyperlink r:id="rId176" ref="D93"/>
    <hyperlink r:id="rId177" ref="A94"/>
    <hyperlink r:id="rId178" ref="D94"/>
    <hyperlink r:id="rId179" ref="A95"/>
    <hyperlink r:id="rId180" ref="D95"/>
    <hyperlink r:id="rId181" ref="A96"/>
    <hyperlink r:id="rId182" location="Calico_Egg_Merchant" ref="D96"/>
    <hyperlink r:id="rId183" ref="A97"/>
    <hyperlink r:id="rId184" ref="D97"/>
    <hyperlink r:id="rId185" ref="A98"/>
    <hyperlink r:id="rId186" location="Emily.27s_Outfit_Services" ref="D98"/>
    <hyperlink r:id="rId187" ref="A99"/>
    <hyperlink r:id="rId188" ref="D99"/>
    <hyperlink r:id="rId189" ref="A100"/>
    <hyperlink r:id="rId190" ref="D100"/>
    <hyperlink r:id="rId191" ref="A101"/>
    <hyperlink r:id="rId192" ref="D101"/>
    <hyperlink r:id="rId193" ref="A102"/>
    <hyperlink r:id="rId194" ref="D102"/>
    <hyperlink r:id="rId195" ref="A103"/>
    <hyperlink r:id="rId196" ref="D103"/>
    <hyperlink r:id="rId197" ref="A104"/>
    <hyperlink r:id="rId198" ref="A105"/>
    <hyperlink r:id="rId199" location="Magic_Shop_Boat" ref="D105"/>
    <hyperlink r:id="rId200" location="Help_Wanted_Quests" ref="D106"/>
    <hyperlink r:id="rId201" ref="A107"/>
    <hyperlink r:id="rId202" ref="D107"/>
    <hyperlink r:id="rId203" ref="A108"/>
    <hyperlink r:id="rId204" ref="D108"/>
    <hyperlink r:id="rId205" ref="A109"/>
    <hyperlink r:id="rId206" ref="D109"/>
    <hyperlink r:id="rId207" ref="A110"/>
    <hyperlink r:id="rId208" ref="D110"/>
    <hyperlink r:id="rId209" ref="A111"/>
    <hyperlink r:id="rId210" location="Hats" ref="D111"/>
    <hyperlink r:id="rId211" ref="A112"/>
    <hyperlink r:id="rId212" ref="A113"/>
    <hyperlink r:id="rId213" ref="D113"/>
    <hyperlink r:id="rId214" ref="A114"/>
    <hyperlink r:id="rId215" ref="D114"/>
    <hyperlink r:id="rId216" ref="A115"/>
    <hyperlink r:id="rId217" ref="D115"/>
    <hyperlink r:id="rId218" ref="A116"/>
    <hyperlink r:id="rId219" location="Calico_Egg_Merchant" ref="D116"/>
    <hyperlink r:id="rId220" ref="A117"/>
    <hyperlink r:id="rId221" ref="D117"/>
    <hyperlink r:id="rId222" ref="A118"/>
    <hyperlink r:id="rId223" location="Hats" ref="D118"/>
    <hyperlink r:id="rId224" ref="A119"/>
    <hyperlink r:id="rId225" location="Hats" ref="D119"/>
    <hyperlink r:id="rId226" ref="A120"/>
    <hyperlink r:id="rId227" ref="D120"/>
    <hyperlink r:id="rId228" ref="A121"/>
    <hyperlink r:id="rId229" location="Monster_Eradication_Goals" ref="D121"/>
    <hyperlink r:id="rId230" ref="A122"/>
    <hyperlink r:id="rId231" location="Villager_Shops" ref="D122"/>
    <hyperlink r:id="rId232" ref="A123"/>
    <hyperlink r:id="rId233" ref="D123"/>
    <hyperlink r:id="rId234" ref="E126"/>
    <hyperlink r:id="rId235" ref="E127"/>
    <hyperlink r:id="rId236" ref="E128"/>
    <hyperlink r:id="rId237" ref="E131"/>
    <hyperlink r:id="rId238" ref="E132"/>
    <hyperlink r:id="rId239" ref="E133"/>
    <hyperlink r:id="rId240" ref="E134"/>
    <hyperlink r:id="rId241" location="cite_note-softedgepullover-3" ref="D135"/>
    <hyperlink r:id="rId242" ref="E135"/>
    <hyperlink r:id="rId243" ref="E136"/>
    <hyperlink r:id="rId244" ref="E137"/>
    <hyperlink r:id="rId245" ref="E138"/>
    <hyperlink r:id="rId246" ref="E139"/>
    <hyperlink r:id="rId247" ref="E140"/>
    <hyperlink r:id="rId248" ref="E141"/>
    <hyperlink r:id="rId249" ref="E142"/>
    <hyperlink r:id="rId250" ref="E143"/>
    <hyperlink r:id="rId251" ref="E144"/>
    <hyperlink r:id="rId252" ref="E145"/>
    <hyperlink r:id="rId253" ref="E146"/>
    <hyperlink r:id="rId254" ref="E147"/>
    <hyperlink r:id="rId255" ref="E148"/>
    <hyperlink r:id="rId256" ref="E149"/>
    <hyperlink r:id="rId257" ref="E151"/>
    <hyperlink r:id="rId258" ref="E152"/>
    <hyperlink r:id="rId259" ref="E153"/>
    <hyperlink r:id="rId260" ref="E154"/>
    <hyperlink r:id="rId261" ref="E155"/>
    <hyperlink r:id="rId262" ref="E156"/>
    <hyperlink r:id="rId263" ref="E157"/>
    <hyperlink r:id="rId264" ref="E158"/>
    <hyperlink r:id="rId265" ref="E159"/>
    <hyperlink r:id="rId266" ref="E160"/>
    <hyperlink r:id="rId267" ref="E161"/>
    <hyperlink r:id="rId268" ref="E162"/>
    <hyperlink r:id="rId269" ref="E164"/>
    <hyperlink r:id="rId270" ref="E165"/>
    <hyperlink r:id="rId271" ref="E166"/>
    <hyperlink r:id="rId272" ref="D167"/>
    <hyperlink r:id="rId273" ref="E167"/>
    <hyperlink r:id="rId274" ref="D168"/>
    <hyperlink r:id="rId275" ref="E168"/>
    <hyperlink r:id="rId276" ref="E169"/>
    <hyperlink r:id="rId277" ref="E170"/>
    <hyperlink r:id="rId278" ref="E171"/>
    <hyperlink r:id="rId279" ref="E172"/>
    <hyperlink r:id="rId280" ref="E173"/>
    <hyperlink r:id="rId281" ref="E174"/>
    <hyperlink r:id="rId282" ref="E175"/>
    <hyperlink r:id="rId283" ref="E177"/>
    <hyperlink r:id="rId284" location="Medical_Supplies" ref="E178"/>
    <hyperlink r:id="rId285" ref="E179"/>
    <hyperlink r:id="rId286" ref="E180"/>
    <hyperlink r:id="rId287" ref="E182"/>
    <hyperlink r:id="rId288" ref="E183"/>
    <hyperlink r:id="rId289" ref="E184"/>
    <hyperlink r:id="rId290" ref="E185"/>
    <hyperlink r:id="rId291" ref="E186"/>
    <hyperlink r:id="rId292" ref="E188"/>
    <hyperlink r:id="rId293" ref="E189"/>
    <hyperlink r:id="rId294" ref="E190"/>
    <hyperlink r:id="rId295" ref="E192"/>
    <hyperlink r:id="rId296" ref="D193"/>
    <hyperlink r:id="rId297" ref="E193"/>
    <hyperlink r:id="rId298" ref="E194"/>
    <hyperlink r:id="rId299" ref="E195"/>
    <hyperlink r:id="rId300" ref="E196"/>
    <hyperlink r:id="rId301" ref="E197"/>
    <hyperlink r:id="rId302" ref="E198"/>
    <hyperlink r:id="rId303" ref="E199"/>
    <hyperlink r:id="rId304" ref="E200"/>
    <hyperlink r:id="rId305" ref="E202"/>
    <hyperlink r:id="rId306" ref="E203"/>
    <hyperlink r:id="rId307" ref="E204"/>
    <hyperlink r:id="rId308" ref="E205"/>
    <hyperlink r:id="rId309" ref="E206"/>
    <hyperlink r:id="rId310" ref="D207"/>
    <hyperlink r:id="rId311" ref="E208"/>
    <hyperlink r:id="rId312" ref="E209"/>
    <hyperlink r:id="rId313" ref="E210"/>
    <hyperlink r:id="rId314" ref="E211"/>
    <hyperlink r:id="rId315" ref="E212"/>
    <hyperlink r:id="rId316" ref="E213"/>
    <hyperlink r:id="rId317" ref="E214"/>
    <hyperlink r:id="rId318" ref="E215"/>
    <hyperlink r:id="rId319" ref="E216"/>
    <hyperlink r:id="rId320" ref="E217"/>
    <hyperlink r:id="rId321" ref="E218"/>
    <hyperlink r:id="rId322" ref="E219"/>
    <hyperlink r:id="rId323" ref="E220"/>
    <hyperlink r:id="rId324" location="Medical_Supplies" ref="E221"/>
    <hyperlink r:id="rId325" ref="E222"/>
    <hyperlink r:id="rId326" ref="E223"/>
    <hyperlink r:id="rId327" ref="E224"/>
    <hyperlink r:id="rId328" ref="E225"/>
    <hyperlink r:id="rId329" ref="E226"/>
    <hyperlink r:id="rId330" ref="E227"/>
    <hyperlink r:id="rId331" ref="E228"/>
    <hyperlink r:id="rId332" ref="E229"/>
    <hyperlink r:id="rId333" ref="E230"/>
    <hyperlink r:id="rId334" ref="E231"/>
    <hyperlink r:id="rId335" ref="E232"/>
    <hyperlink r:id="rId336" ref="E237"/>
    <hyperlink r:id="rId337" ref="E238"/>
    <hyperlink r:id="rId338" ref="E239"/>
    <hyperlink r:id="rId339" ref="E240"/>
    <hyperlink r:id="rId340" ref="E241"/>
    <hyperlink r:id="rId341" ref="E242"/>
    <hyperlink r:id="rId342" ref="E243"/>
    <hyperlink r:id="rId343" ref="E244"/>
    <hyperlink r:id="rId344" ref="E245"/>
    <hyperlink r:id="rId345" ref="E247"/>
    <hyperlink r:id="rId346" ref="E248"/>
    <hyperlink r:id="rId347" ref="E249"/>
    <hyperlink r:id="rId348" ref="E250"/>
    <hyperlink r:id="rId349" ref="E251"/>
    <hyperlink r:id="rId350" ref="E252"/>
    <hyperlink r:id="rId351" ref="E253"/>
    <hyperlink r:id="rId352" ref="E254"/>
    <hyperlink r:id="rId353" ref="E256"/>
    <hyperlink r:id="rId354" ref="E257"/>
    <hyperlink r:id="rId355" ref="E259"/>
    <hyperlink r:id="rId356" ref="E260"/>
    <hyperlink r:id="rId357" ref="E261"/>
    <hyperlink r:id="rId358" ref="E262"/>
    <hyperlink r:id="rId359" ref="E263"/>
    <hyperlink r:id="rId360" ref="E264"/>
    <hyperlink r:id="rId361" ref="E265"/>
    <hyperlink r:id="rId362" ref="E266"/>
    <hyperlink r:id="rId363" ref="E268"/>
    <hyperlink r:id="rId364" ref="E269"/>
    <hyperlink r:id="rId365" ref="E270"/>
    <hyperlink r:id="rId366" ref="E271"/>
    <hyperlink r:id="rId367" ref="E272"/>
    <hyperlink r:id="rId368" ref="E273"/>
    <hyperlink r:id="rId369" ref="E274"/>
    <hyperlink r:id="rId370" ref="E275"/>
    <hyperlink r:id="rId371" ref="D276"/>
    <hyperlink r:id="rId372" ref="E276"/>
    <hyperlink r:id="rId373" ref="D277"/>
    <hyperlink r:id="rId374" ref="E277"/>
    <hyperlink r:id="rId375" ref="E278"/>
    <hyperlink r:id="rId376" ref="E279"/>
    <hyperlink r:id="rId377" ref="E280"/>
    <hyperlink r:id="rId378" ref="E281"/>
    <hyperlink r:id="rId379" ref="E282"/>
    <hyperlink r:id="rId380" ref="E284"/>
    <hyperlink r:id="rId381" ref="E285"/>
    <hyperlink r:id="rId382" ref="E286"/>
    <hyperlink r:id="rId383" ref="E287"/>
    <hyperlink r:id="rId384" ref="E288"/>
    <hyperlink r:id="rId385" ref="E289"/>
    <hyperlink r:id="rId386" ref="E290"/>
    <hyperlink r:id="rId387" ref="E291"/>
    <hyperlink r:id="rId388" ref="E292"/>
    <hyperlink r:id="rId389" ref="E294"/>
    <hyperlink r:id="rId390" ref="E295"/>
    <hyperlink r:id="rId391" ref="E296"/>
    <hyperlink r:id="rId392" ref="E297"/>
    <hyperlink r:id="rId393" ref="E298"/>
    <hyperlink r:id="rId394" ref="E299"/>
    <hyperlink r:id="rId395" ref="E300"/>
    <hyperlink r:id="rId396" ref="E301"/>
    <hyperlink r:id="rId397" ref="E302"/>
    <hyperlink r:id="rId398" ref="E303"/>
    <hyperlink r:id="rId399" ref="E304"/>
    <hyperlink r:id="rId400" ref="E305"/>
    <hyperlink r:id="rId401" ref="E306"/>
    <hyperlink r:id="rId402" ref="E307"/>
    <hyperlink r:id="rId403" ref="E309"/>
    <hyperlink r:id="rId404" ref="E310"/>
    <hyperlink r:id="rId405" ref="E311"/>
    <hyperlink r:id="rId406" ref="E312"/>
    <hyperlink r:id="rId407" ref="E313"/>
    <hyperlink r:id="rId408" ref="E314"/>
    <hyperlink r:id="rId409" ref="E315"/>
    <hyperlink r:id="rId410" ref="E316"/>
    <hyperlink r:id="rId411" ref="E317"/>
    <hyperlink r:id="rId412" ref="E318"/>
    <hyperlink r:id="rId413" ref="E319"/>
    <hyperlink r:id="rId414" ref="D324"/>
    <hyperlink r:id="rId415" ref="D325"/>
    <hyperlink r:id="rId416" ref="D326"/>
    <hyperlink r:id="rId417" ref="D327"/>
    <hyperlink r:id="rId418" ref="D328"/>
    <hyperlink r:id="rId419" ref="D329"/>
    <hyperlink r:id="rId420" ref="D331"/>
    <hyperlink r:id="rId421" ref="D332"/>
    <hyperlink r:id="rId422" ref="D333"/>
    <hyperlink r:id="rId423" ref="D334"/>
    <hyperlink r:id="rId424" ref="D335"/>
    <hyperlink r:id="rId425" ref="D336"/>
    <hyperlink r:id="rId426" ref="D337"/>
    <hyperlink r:id="rId427" ref="D338"/>
  </hyperlinks>
  <drawing r:id="rId4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4.75"/>
    <col customWidth="1" min="3" max="3" width="17.5"/>
    <col customWidth="1" min="4" max="4" width="20.5"/>
    <col customWidth="1" min="5" max="5" width="22.0"/>
    <col customWidth="1" min="8" max="8" width="46.13"/>
  </cols>
  <sheetData>
    <row r="1">
      <c r="A1" s="1" t="s">
        <v>0</v>
      </c>
      <c r="B1" s="2" t="s">
        <v>1</v>
      </c>
      <c r="C1" s="3"/>
      <c r="D1" s="4" t="s">
        <v>2</v>
      </c>
      <c r="E1" s="3"/>
      <c r="F1" s="4" t="s">
        <v>3</v>
      </c>
      <c r="G1" s="5"/>
      <c r="H1" s="3"/>
      <c r="I1" s="7"/>
      <c r="J1" s="7"/>
      <c r="K1" s="7"/>
      <c r="L1" s="7"/>
      <c r="M1" s="7"/>
      <c r="N1" s="7"/>
      <c r="O1" s="7"/>
    </row>
    <row r="2">
      <c r="A2" s="8" t="s">
        <v>5</v>
      </c>
      <c r="B2" s="9" t="s">
        <v>6</v>
      </c>
      <c r="C2" s="10"/>
      <c r="D2" s="11" t="s">
        <v>7</v>
      </c>
      <c r="E2" s="10"/>
      <c r="F2" s="12" t="s">
        <v>1768</v>
      </c>
      <c r="G2" s="13"/>
      <c r="H2" s="10"/>
      <c r="I2" s="7"/>
      <c r="J2" s="7"/>
      <c r="K2" s="7"/>
      <c r="L2" s="7"/>
      <c r="M2" s="7"/>
      <c r="N2" s="7">
        <f t="shared" ref="N2:N123" si="1"> IF(ISBLANK(F2), 0, 1)</f>
        <v>1</v>
      </c>
      <c r="O2" s="7"/>
    </row>
    <row r="3" ht="16.5" customHeight="1">
      <c r="A3" s="8" t="s">
        <v>9</v>
      </c>
      <c r="B3" s="9" t="s">
        <v>10</v>
      </c>
      <c r="C3" s="10"/>
      <c r="D3" s="11" t="s">
        <v>11</v>
      </c>
      <c r="E3" s="10"/>
      <c r="F3" s="12" t="s">
        <v>13</v>
      </c>
      <c r="G3" s="13"/>
      <c r="H3" s="10"/>
      <c r="I3" s="7"/>
      <c r="J3" s="7"/>
      <c r="K3" s="7"/>
      <c r="L3" s="7"/>
      <c r="M3" s="7"/>
      <c r="N3" s="7">
        <f t="shared" si="1"/>
        <v>1</v>
      </c>
      <c r="O3" s="7"/>
    </row>
    <row r="4">
      <c r="A4" s="8" t="s">
        <v>14</v>
      </c>
      <c r="B4" s="9" t="s">
        <v>15</v>
      </c>
      <c r="C4" s="10"/>
      <c r="D4" s="15" t="s">
        <v>16</v>
      </c>
      <c r="E4" s="10"/>
      <c r="F4" s="16"/>
      <c r="G4" s="13"/>
      <c r="H4" s="10"/>
      <c r="I4" s="7"/>
      <c r="J4" s="7"/>
      <c r="K4" s="7"/>
      <c r="L4" s="7"/>
      <c r="M4" s="7"/>
      <c r="N4" s="7">
        <f t="shared" si="1"/>
        <v>0</v>
      </c>
      <c r="O4" s="7"/>
    </row>
    <row r="5">
      <c r="A5" s="8" t="s">
        <v>17</v>
      </c>
      <c r="B5" s="9" t="s">
        <v>18</v>
      </c>
      <c r="C5" s="10"/>
      <c r="D5" s="11" t="s">
        <v>7</v>
      </c>
      <c r="E5" s="10"/>
      <c r="F5" s="12" t="s">
        <v>1806</v>
      </c>
      <c r="G5" s="13"/>
      <c r="H5" s="10"/>
      <c r="I5" s="7"/>
      <c r="J5" s="7"/>
      <c r="K5" s="7"/>
      <c r="L5" s="7"/>
      <c r="M5" s="7"/>
      <c r="N5" s="7">
        <f t="shared" si="1"/>
        <v>1</v>
      </c>
      <c r="O5" s="7"/>
    </row>
    <row r="6">
      <c r="A6" s="8" t="s">
        <v>21</v>
      </c>
      <c r="B6" s="9" t="s">
        <v>22</v>
      </c>
      <c r="C6" s="10"/>
      <c r="D6" s="18" t="s">
        <v>23</v>
      </c>
      <c r="E6" s="10"/>
      <c r="F6" s="12" t="s">
        <v>24</v>
      </c>
      <c r="G6" s="13"/>
      <c r="H6" s="10"/>
      <c r="I6" s="7"/>
      <c r="J6" s="7"/>
      <c r="K6" s="7"/>
      <c r="L6" s="7"/>
      <c r="M6" s="7"/>
      <c r="N6" s="7">
        <f t="shared" si="1"/>
        <v>1</v>
      </c>
      <c r="O6" s="7"/>
    </row>
    <row r="7">
      <c r="A7" s="8" t="s">
        <v>25</v>
      </c>
      <c r="B7" s="9" t="s">
        <v>26</v>
      </c>
      <c r="C7" s="10"/>
      <c r="D7" s="11" t="s">
        <v>7</v>
      </c>
      <c r="E7" s="10"/>
      <c r="F7" s="12" t="s">
        <v>1809</v>
      </c>
      <c r="G7" s="13"/>
      <c r="H7" s="10"/>
      <c r="I7" s="7"/>
      <c r="J7" s="7"/>
      <c r="K7" s="7"/>
      <c r="L7" s="7"/>
      <c r="M7" s="7"/>
      <c r="N7" s="7">
        <f t="shared" si="1"/>
        <v>1</v>
      </c>
      <c r="O7" s="7"/>
    </row>
    <row r="8">
      <c r="A8" s="8" t="s">
        <v>28</v>
      </c>
      <c r="B8" s="9" t="s">
        <v>29</v>
      </c>
      <c r="C8" s="10"/>
      <c r="D8" s="11" t="s">
        <v>30</v>
      </c>
      <c r="E8" s="10"/>
      <c r="F8" s="12" t="s">
        <v>31</v>
      </c>
      <c r="G8" s="13"/>
      <c r="H8" s="10"/>
      <c r="I8" s="7"/>
      <c r="J8" s="7"/>
      <c r="K8" s="7"/>
      <c r="L8" s="7"/>
      <c r="M8" s="7"/>
      <c r="N8" s="7">
        <f t="shared" si="1"/>
        <v>1</v>
      </c>
      <c r="O8" s="7"/>
    </row>
    <row r="9">
      <c r="A9" s="8" t="s">
        <v>32</v>
      </c>
      <c r="B9" s="9" t="s">
        <v>33</v>
      </c>
      <c r="C9" s="10"/>
      <c r="D9" s="9" t="s">
        <v>34</v>
      </c>
      <c r="E9" s="10"/>
      <c r="F9" s="16"/>
      <c r="G9" s="13"/>
      <c r="H9" s="10"/>
      <c r="I9" s="7"/>
      <c r="J9" s="7"/>
      <c r="K9" s="7"/>
      <c r="L9" s="7"/>
      <c r="M9" s="7"/>
      <c r="N9" s="7">
        <f t="shared" si="1"/>
        <v>0</v>
      </c>
      <c r="O9" s="7"/>
    </row>
    <row r="10">
      <c r="A10" s="8" t="s">
        <v>35</v>
      </c>
      <c r="B10" s="15" t="s">
        <v>36</v>
      </c>
      <c r="C10" s="10"/>
      <c r="D10" s="19" t="s">
        <v>1814</v>
      </c>
      <c r="E10" s="10"/>
      <c r="F10" s="12" t="s">
        <v>38</v>
      </c>
      <c r="G10" s="13"/>
      <c r="H10" s="10"/>
      <c r="I10" s="7"/>
      <c r="J10" s="7"/>
      <c r="K10" s="7"/>
      <c r="L10" s="7"/>
      <c r="M10" s="7"/>
      <c r="N10" s="7">
        <f t="shared" si="1"/>
        <v>1</v>
      </c>
      <c r="O10" s="7"/>
    </row>
    <row r="11">
      <c r="A11" s="8" t="s">
        <v>40</v>
      </c>
      <c r="B11" s="9" t="s">
        <v>42</v>
      </c>
      <c r="C11" s="10"/>
      <c r="D11" s="11" t="s">
        <v>7</v>
      </c>
      <c r="E11" s="10"/>
      <c r="F11" s="12" t="s">
        <v>1775</v>
      </c>
      <c r="G11" s="13"/>
      <c r="H11" s="10"/>
      <c r="I11" s="7"/>
      <c r="J11" s="7"/>
      <c r="K11" s="7"/>
      <c r="L11" s="7"/>
      <c r="M11" s="7"/>
      <c r="N11" s="7">
        <f t="shared" si="1"/>
        <v>1</v>
      </c>
      <c r="O11" s="7"/>
    </row>
    <row r="12">
      <c r="A12" s="8" t="s">
        <v>44</v>
      </c>
      <c r="B12" s="9" t="s">
        <v>45</v>
      </c>
      <c r="C12" s="10"/>
      <c r="D12" s="19" t="s">
        <v>1816</v>
      </c>
      <c r="E12" s="10"/>
      <c r="F12" s="12" t="s">
        <v>47</v>
      </c>
      <c r="G12" s="13"/>
      <c r="H12" s="10"/>
      <c r="I12" s="7"/>
      <c r="J12" s="7"/>
      <c r="K12" s="7"/>
      <c r="L12" s="7"/>
      <c r="M12" s="7"/>
      <c r="N12" s="7">
        <f t="shared" si="1"/>
        <v>1</v>
      </c>
      <c r="O12" s="7"/>
    </row>
    <row r="13">
      <c r="A13" s="8" t="s">
        <v>48</v>
      </c>
      <c r="B13" s="9" t="s">
        <v>49</v>
      </c>
      <c r="C13" s="10"/>
      <c r="D13" s="18" t="s">
        <v>50</v>
      </c>
      <c r="E13" s="10"/>
      <c r="F13" s="12" t="s">
        <v>1777</v>
      </c>
      <c r="G13" s="13"/>
      <c r="H13" s="10"/>
      <c r="I13" s="7"/>
      <c r="J13" s="7"/>
      <c r="K13" s="7"/>
      <c r="L13" s="7"/>
      <c r="M13" s="7"/>
      <c r="N13" s="7">
        <f t="shared" si="1"/>
        <v>1</v>
      </c>
      <c r="O13" s="7"/>
    </row>
    <row r="14">
      <c r="A14" s="8" t="s">
        <v>53</v>
      </c>
      <c r="B14" s="15" t="s">
        <v>54</v>
      </c>
      <c r="C14" s="10"/>
      <c r="D14" s="19" t="s">
        <v>1818</v>
      </c>
      <c r="E14" s="10"/>
      <c r="F14" s="12" t="s">
        <v>57</v>
      </c>
      <c r="G14" s="13"/>
      <c r="H14" s="10"/>
      <c r="I14" s="7"/>
      <c r="J14" s="7"/>
      <c r="K14" s="7"/>
      <c r="L14" s="7"/>
      <c r="M14" s="7"/>
      <c r="N14" s="7">
        <f t="shared" si="1"/>
        <v>1</v>
      </c>
      <c r="O14" s="7"/>
    </row>
    <row r="15">
      <c r="A15" s="8" t="s">
        <v>59</v>
      </c>
      <c r="B15" s="9" t="s">
        <v>60</v>
      </c>
      <c r="C15" s="10"/>
      <c r="D15" s="11" t="s">
        <v>7</v>
      </c>
      <c r="E15" s="10"/>
      <c r="F15" s="12" t="s">
        <v>1820</v>
      </c>
      <c r="G15" s="13"/>
      <c r="H15" s="10"/>
      <c r="I15" s="7"/>
      <c r="J15" s="7"/>
      <c r="K15" s="7"/>
      <c r="L15" s="7"/>
      <c r="M15" s="7"/>
      <c r="N15" s="7">
        <f t="shared" si="1"/>
        <v>1</v>
      </c>
      <c r="O15" s="7"/>
    </row>
    <row r="16">
      <c r="A16" s="8" t="s">
        <v>63</v>
      </c>
      <c r="B16" s="9" t="s">
        <v>64</v>
      </c>
      <c r="C16" s="10"/>
      <c r="D16" s="11" t="s">
        <v>7</v>
      </c>
      <c r="E16" s="10"/>
      <c r="F16" s="12" t="s">
        <v>1780</v>
      </c>
      <c r="G16" s="13"/>
      <c r="H16" s="10"/>
      <c r="I16" s="7"/>
      <c r="J16" s="7"/>
      <c r="K16" s="7"/>
      <c r="L16" s="7"/>
      <c r="M16" s="7"/>
      <c r="N16" s="7">
        <f t="shared" si="1"/>
        <v>1</v>
      </c>
      <c r="O16" s="7"/>
    </row>
    <row r="17">
      <c r="A17" s="8" t="s">
        <v>67</v>
      </c>
      <c r="B17" s="9" t="s">
        <v>68</v>
      </c>
      <c r="C17" s="10"/>
      <c r="D17" s="18" t="s">
        <v>70</v>
      </c>
      <c r="E17" s="10"/>
      <c r="F17" s="12" t="s">
        <v>1822</v>
      </c>
      <c r="G17" s="13"/>
      <c r="H17" s="10"/>
      <c r="I17" s="7"/>
      <c r="J17" s="7"/>
      <c r="K17" s="7"/>
      <c r="L17" s="7"/>
      <c r="M17" s="7"/>
      <c r="N17" s="7">
        <f t="shared" si="1"/>
        <v>1</v>
      </c>
      <c r="O17" s="7"/>
    </row>
    <row r="18">
      <c r="A18" s="8" t="s">
        <v>73</v>
      </c>
      <c r="B18" s="9" t="s">
        <v>75</v>
      </c>
      <c r="C18" s="10"/>
      <c r="D18" s="18" t="s">
        <v>76</v>
      </c>
      <c r="E18" s="10"/>
      <c r="F18" s="12" t="s">
        <v>77</v>
      </c>
      <c r="G18" s="13"/>
      <c r="H18" s="10"/>
      <c r="I18" s="7"/>
      <c r="J18" s="7"/>
      <c r="K18" s="7"/>
      <c r="L18" s="7"/>
      <c r="M18" s="7"/>
      <c r="N18" s="7">
        <f t="shared" si="1"/>
        <v>1</v>
      </c>
      <c r="O18" s="7"/>
    </row>
    <row r="19">
      <c r="A19" s="20" t="s">
        <v>78</v>
      </c>
      <c r="B19" s="9" t="s">
        <v>79</v>
      </c>
      <c r="C19" s="10"/>
      <c r="D19" s="11" t="s">
        <v>7</v>
      </c>
      <c r="E19" s="10"/>
      <c r="F19" s="12" t="s">
        <v>80</v>
      </c>
      <c r="G19" s="13"/>
      <c r="H19" s="10"/>
      <c r="I19" s="7"/>
      <c r="J19" s="7"/>
      <c r="K19" s="7"/>
      <c r="L19" s="7"/>
      <c r="M19" s="7"/>
      <c r="N19" s="7">
        <f t="shared" si="1"/>
        <v>1</v>
      </c>
      <c r="O19" s="7"/>
    </row>
    <row r="20">
      <c r="A20" s="8" t="s">
        <v>83</v>
      </c>
      <c r="B20" s="15" t="s">
        <v>86</v>
      </c>
      <c r="C20" s="10"/>
      <c r="D20" s="19" t="s">
        <v>1825</v>
      </c>
      <c r="E20" s="10"/>
      <c r="F20" s="12" t="s">
        <v>88</v>
      </c>
      <c r="G20" s="13"/>
      <c r="H20" s="10"/>
      <c r="I20" s="7"/>
      <c r="J20" s="7"/>
      <c r="K20" s="7"/>
      <c r="L20" s="7"/>
      <c r="M20" s="7"/>
      <c r="N20" s="7">
        <f t="shared" si="1"/>
        <v>1</v>
      </c>
      <c r="O20" s="7"/>
    </row>
    <row r="21">
      <c r="A21" s="8" t="s">
        <v>89</v>
      </c>
      <c r="B21" s="15" t="s">
        <v>90</v>
      </c>
      <c r="C21" s="10"/>
      <c r="D21" s="18" t="s">
        <v>91</v>
      </c>
      <c r="E21" s="10"/>
      <c r="F21" s="12" t="s">
        <v>92</v>
      </c>
      <c r="G21" s="13"/>
      <c r="H21" s="10"/>
      <c r="I21" s="7"/>
      <c r="J21" s="7"/>
      <c r="K21" s="7"/>
      <c r="L21" s="7"/>
      <c r="M21" s="7"/>
      <c r="N21" s="7">
        <f t="shared" si="1"/>
        <v>1</v>
      </c>
      <c r="O21" s="7"/>
    </row>
    <row r="22">
      <c r="A22" s="8" t="s">
        <v>93</v>
      </c>
      <c r="B22" s="9" t="s">
        <v>94</v>
      </c>
      <c r="C22" s="10"/>
      <c r="D22" s="11" t="s">
        <v>7</v>
      </c>
      <c r="E22" s="10"/>
      <c r="F22" s="16"/>
      <c r="G22" s="13"/>
      <c r="H22" s="10"/>
      <c r="I22" s="7"/>
      <c r="J22" s="7"/>
      <c r="K22" s="7"/>
      <c r="L22" s="7"/>
      <c r="M22" s="7"/>
      <c r="N22" s="7">
        <f t="shared" si="1"/>
        <v>0</v>
      </c>
      <c r="O22" s="7"/>
    </row>
    <row r="23">
      <c r="A23" s="8" t="s">
        <v>95</v>
      </c>
      <c r="B23" s="9" t="s">
        <v>96</v>
      </c>
      <c r="C23" s="10"/>
      <c r="D23" s="19" t="s">
        <v>1827</v>
      </c>
      <c r="E23" s="10"/>
      <c r="F23" s="12" t="s">
        <v>1828</v>
      </c>
      <c r="G23" s="13"/>
      <c r="H23" s="10"/>
      <c r="I23" s="7"/>
      <c r="J23" s="7"/>
      <c r="K23" s="7"/>
      <c r="L23" s="7"/>
      <c r="M23" s="7"/>
      <c r="N23" s="7">
        <f t="shared" si="1"/>
        <v>1</v>
      </c>
      <c r="O23" s="7"/>
    </row>
    <row r="24">
      <c r="A24" s="8" t="s">
        <v>100</v>
      </c>
      <c r="B24" s="15" t="s">
        <v>101</v>
      </c>
      <c r="C24" s="10"/>
      <c r="D24" s="19" t="s">
        <v>1829</v>
      </c>
      <c r="E24" s="10"/>
      <c r="F24" s="12" t="s">
        <v>103</v>
      </c>
      <c r="G24" s="13"/>
      <c r="H24" s="10"/>
      <c r="I24" s="7"/>
      <c r="J24" s="7"/>
      <c r="K24" s="7"/>
      <c r="L24" s="7"/>
      <c r="M24" s="7"/>
      <c r="N24" s="7">
        <f t="shared" si="1"/>
        <v>1</v>
      </c>
      <c r="O24" s="7"/>
    </row>
    <row r="25">
      <c r="A25" s="8" t="s">
        <v>104</v>
      </c>
      <c r="B25" s="9" t="s">
        <v>105</v>
      </c>
      <c r="C25" s="10"/>
      <c r="D25" s="19" t="s">
        <v>1831</v>
      </c>
      <c r="E25" s="10"/>
      <c r="F25" s="16"/>
      <c r="G25" s="13"/>
      <c r="H25" s="10"/>
      <c r="I25" s="7"/>
      <c r="J25" s="7"/>
      <c r="K25" s="7"/>
      <c r="L25" s="7"/>
      <c r="M25" s="7"/>
      <c r="N25" s="7">
        <f t="shared" si="1"/>
        <v>0</v>
      </c>
      <c r="O25" s="7"/>
    </row>
    <row r="26">
      <c r="A26" s="8" t="s">
        <v>107</v>
      </c>
      <c r="B26" s="15" t="s">
        <v>109</v>
      </c>
      <c r="C26" s="10"/>
      <c r="D26" s="9" t="s">
        <v>110</v>
      </c>
      <c r="E26" s="10"/>
      <c r="F26" s="12" t="s">
        <v>111</v>
      </c>
      <c r="G26" s="13"/>
      <c r="H26" s="10"/>
      <c r="I26" s="7"/>
      <c r="J26" s="7"/>
      <c r="K26" s="7"/>
      <c r="L26" s="7"/>
      <c r="M26" s="7"/>
      <c r="N26" s="7">
        <f t="shared" si="1"/>
        <v>1</v>
      </c>
      <c r="O26" s="7"/>
    </row>
    <row r="27">
      <c r="A27" s="8" t="s">
        <v>112</v>
      </c>
      <c r="B27" s="9" t="s">
        <v>113</v>
      </c>
      <c r="C27" s="10"/>
      <c r="D27" s="11" t="s">
        <v>114</v>
      </c>
      <c r="E27" s="10"/>
      <c r="F27" s="16"/>
      <c r="G27" s="13"/>
      <c r="H27" s="10"/>
      <c r="I27" s="7"/>
      <c r="J27" s="7"/>
      <c r="K27" s="7"/>
      <c r="L27" s="7"/>
      <c r="M27" s="7"/>
      <c r="N27" s="7">
        <f t="shared" si="1"/>
        <v>0</v>
      </c>
      <c r="O27" s="7"/>
    </row>
    <row r="28">
      <c r="A28" s="8" t="s">
        <v>115</v>
      </c>
      <c r="B28" s="9" t="s">
        <v>117</v>
      </c>
      <c r="C28" s="10"/>
      <c r="D28" s="21" t="s">
        <v>1834</v>
      </c>
      <c r="E28" s="10"/>
      <c r="F28" s="12" t="s">
        <v>121</v>
      </c>
      <c r="G28" s="13"/>
      <c r="H28" s="10"/>
      <c r="I28" s="7"/>
      <c r="J28" s="7"/>
      <c r="K28" s="7"/>
      <c r="L28" s="7"/>
      <c r="M28" s="7"/>
      <c r="N28" s="7">
        <f t="shared" si="1"/>
        <v>1</v>
      </c>
      <c r="O28" s="7"/>
    </row>
    <row r="29">
      <c r="A29" s="8" t="s">
        <v>123</v>
      </c>
      <c r="B29" s="9" t="s">
        <v>124</v>
      </c>
      <c r="C29" s="10"/>
      <c r="D29" s="19" t="s">
        <v>1835</v>
      </c>
      <c r="E29" s="10"/>
      <c r="F29" s="12" t="s">
        <v>1837</v>
      </c>
      <c r="G29" s="13"/>
      <c r="H29" s="10"/>
      <c r="I29" s="7"/>
      <c r="J29" s="7"/>
      <c r="K29" s="7"/>
      <c r="L29" s="7"/>
      <c r="M29" s="7"/>
      <c r="N29" s="7">
        <f t="shared" si="1"/>
        <v>1</v>
      </c>
      <c r="O29" s="7"/>
    </row>
    <row r="30">
      <c r="A30" s="8" t="s">
        <v>128</v>
      </c>
      <c r="B30" s="9" t="s">
        <v>130</v>
      </c>
      <c r="C30" s="10"/>
      <c r="D30" s="18" t="s">
        <v>131</v>
      </c>
      <c r="E30" s="10"/>
      <c r="F30" s="12" t="s">
        <v>132</v>
      </c>
      <c r="G30" s="13"/>
      <c r="H30" s="10"/>
      <c r="I30" s="7"/>
      <c r="J30" s="7"/>
      <c r="K30" s="7"/>
      <c r="L30" s="7"/>
      <c r="M30" s="7"/>
      <c r="N30" s="7">
        <f t="shared" si="1"/>
        <v>1</v>
      </c>
      <c r="O30" s="7"/>
    </row>
    <row r="31">
      <c r="A31" s="8" t="s">
        <v>133</v>
      </c>
      <c r="B31" s="15" t="s">
        <v>134</v>
      </c>
      <c r="C31" s="10"/>
      <c r="D31" s="19" t="s">
        <v>1838</v>
      </c>
      <c r="E31" s="10"/>
      <c r="F31" s="12" t="s">
        <v>1799</v>
      </c>
      <c r="G31" s="13"/>
      <c r="H31" s="10"/>
      <c r="I31" s="7"/>
      <c r="J31" s="7"/>
      <c r="K31" s="7"/>
      <c r="L31" s="7"/>
      <c r="M31" s="7"/>
      <c r="N31" s="7">
        <f t="shared" si="1"/>
        <v>1</v>
      </c>
      <c r="O31" s="7"/>
    </row>
    <row r="32">
      <c r="A32" s="8" t="s">
        <v>139</v>
      </c>
      <c r="B32" s="9" t="s">
        <v>140</v>
      </c>
      <c r="C32" s="10"/>
      <c r="D32" s="11" t="s">
        <v>141</v>
      </c>
      <c r="E32" s="10"/>
      <c r="F32" s="12" t="s">
        <v>144</v>
      </c>
      <c r="G32" s="13"/>
      <c r="H32" s="10"/>
      <c r="I32" s="7"/>
      <c r="J32" s="7"/>
      <c r="K32" s="7"/>
      <c r="L32" s="7"/>
      <c r="M32" s="7"/>
      <c r="N32" s="7">
        <f t="shared" si="1"/>
        <v>1</v>
      </c>
      <c r="O32" s="7"/>
    </row>
    <row r="33">
      <c r="A33" s="8" t="s">
        <v>145</v>
      </c>
      <c r="B33" s="15" t="s">
        <v>147</v>
      </c>
      <c r="C33" s="10"/>
      <c r="D33" s="11" t="s">
        <v>7</v>
      </c>
      <c r="E33" s="10"/>
      <c r="F33" s="12" t="s">
        <v>148</v>
      </c>
      <c r="G33" s="13"/>
      <c r="H33" s="10"/>
      <c r="I33" s="7"/>
      <c r="J33" s="7"/>
      <c r="K33" s="7"/>
      <c r="L33" s="7"/>
      <c r="M33" s="7"/>
      <c r="N33" s="7">
        <f t="shared" si="1"/>
        <v>1</v>
      </c>
      <c r="O33" s="7"/>
    </row>
    <row r="34">
      <c r="A34" s="8" t="s">
        <v>150</v>
      </c>
      <c r="B34" s="9" t="s">
        <v>151</v>
      </c>
      <c r="C34" s="10"/>
      <c r="D34" s="18" t="s">
        <v>152</v>
      </c>
      <c r="E34" s="10"/>
      <c r="F34" s="12" t="s">
        <v>154</v>
      </c>
      <c r="G34" s="13"/>
      <c r="H34" s="10"/>
      <c r="I34" s="7"/>
      <c r="J34" s="7"/>
      <c r="K34" s="7"/>
      <c r="L34" s="7"/>
      <c r="M34" s="7"/>
      <c r="N34" s="7">
        <f t="shared" si="1"/>
        <v>1</v>
      </c>
      <c r="O34" s="7"/>
    </row>
    <row r="35">
      <c r="A35" s="8" t="s">
        <v>155</v>
      </c>
      <c r="B35" s="9" t="s">
        <v>156</v>
      </c>
      <c r="C35" s="10"/>
      <c r="D35" s="11" t="s">
        <v>7</v>
      </c>
      <c r="E35" s="10"/>
      <c r="F35" s="16"/>
      <c r="G35" s="13"/>
      <c r="H35" s="10"/>
      <c r="I35" s="7"/>
      <c r="J35" s="7"/>
      <c r="K35" s="7"/>
      <c r="L35" s="7"/>
      <c r="M35" s="7"/>
      <c r="N35" s="7">
        <f t="shared" si="1"/>
        <v>0</v>
      </c>
      <c r="O35" s="7"/>
    </row>
    <row r="36">
      <c r="A36" s="8" t="s">
        <v>157</v>
      </c>
      <c r="B36" s="15" t="s">
        <v>159</v>
      </c>
      <c r="C36" s="10"/>
      <c r="D36" s="11" t="s">
        <v>7</v>
      </c>
      <c r="E36" s="10"/>
      <c r="F36" s="12" t="s">
        <v>1840</v>
      </c>
      <c r="G36" s="13"/>
      <c r="H36" s="10"/>
      <c r="I36" s="7"/>
      <c r="J36" s="7"/>
      <c r="K36" s="7"/>
      <c r="L36" s="7"/>
      <c r="M36" s="7"/>
      <c r="N36" s="7">
        <f t="shared" si="1"/>
        <v>1</v>
      </c>
      <c r="O36" s="7"/>
    </row>
    <row r="37">
      <c r="A37" s="8" t="s">
        <v>162</v>
      </c>
      <c r="B37" s="9" t="s">
        <v>163</v>
      </c>
      <c r="C37" s="10"/>
      <c r="D37" s="11" t="s">
        <v>7</v>
      </c>
      <c r="E37" s="10"/>
      <c r="F37" s="16"/>
      <c r="G37" s="13"/>
      <c r="H37" s="10"/>
      <c r="I37" s="7"/>
      <c r="J37" s="7"/>
      <c r="K37" s="7"/>
      <c r="L37" s="7"/>
      <c r="M37" s="22" t="s">
        <v>166</v>
      </c>
      <c r="N37" s="7">
        <f t="shared" si="1"/>
        <v>0</v>
      </c>
      <c r="O37" s="7"/>
    </row>
    <row r="38">
      <c r="A38" s="8" t="s">
        <v>169</v>
      </c>
      <c r="B38" s="9" t="s">
        <v>170</v>
      </c>
      <c r="C38" s="10"/>
      <c r="D38" s="18" t="s">
        <v>171</v>
      </c>
      <c r="E38" s="10"/>
      <c r="F38" s="12" t="s">
        <v>173</v>
      </c>
      <c r="G38" s="13"/>
      <c r="H38" s="10"/>
      <c r="I38" s="7"/>
      <c r="J38" s="7"/>
      <c r="K38" s="7"/>
      <c r="L38" s="7"/>
      <c r="M38" s="7"/>
      <c r="N38" s="7">
        <f t="shared" si="1"/>
        <v>1</v>
      </c>
      <c r="O38" s="7"/>
    </row>
    <row r="39">
      <c r="A39" s="8" t="s">
        <v>174</v>
      </c>
      <c r="B39" s="9" t="s">
        <v>175</v>
      </c>
      <c r="C39" s="10"/>
      <c r="D39" s="18" t="s">
        <v>176</v>
      </c>
      <c r="E39" s="10"/>
      <c r="F39" s="16"/>
      <c r="G39" s="13"/>
      <c r="H39" s="10"/>
      <c r="I39" s="7"/>
      <c r="J39" s="7"/>
      <c r="K39" s="7"/>
      <c r="L39" s="7"/>
      <c r="M39" s="7"/>
      <c r="N39" s="7">
        <f t="shared" si="1"/>
        <v>0</v>
      </c>
      <c r="O39" s="7"/>
    </row>
    <row r="40">
      <c r="A40" s="8" t="s">
        <v>178</v>
      </c>
      <c r="B40" s="9" t="s">
        <v>181</v>
      </c>
      <c r="C40" s="10"/>
      <c r="D40" s="11" t="s">
        <v>7</v>
      </c>
      <c r="E40" s="10"/>
      <c r="F40" s="12" t="s">
        <v>182</v>
      </c>
      <c r="G40" s="13"/>
      <c r="H40" s="10"/>
      <c r="I40" s="7"/>
      <c r="J40" s="7"/>
      <c r="K40" s="7"/>
      <c r="L40" s="7"/>
      <c r="M40" s="7"/>
      <c r="N40" s="7">
        <f t="shared" si="1"/>
        <v>1</v>
      </c>
      <c r="O40" s="7"/>
    </row>
    <row r="41">
      <c r="A41" s="8" t="s">
        <v>183</v>
      </c>
      <c r="B41" s="9" t="s">
        <v>184</v>
      </c>
      <c r="C41" s="10"/>
      <c r="D41" s="18" t="s">
        <v>185</v>
      </c>
      <c r="E41" s="10"/>
      <c r="F41" s="16"/>
      <c r="G41" s="13"/>
      <c r="H41" s="10"/>
      <c r="I41" s="7"/>
      <c r="J41" s="7"/>
      <c r="K41" s="7"/>
      <c r="L41" s="7"/>
      <c r="M41" s="7"/>
      <c r="N41" s="7">
        <f t="shared" si="1"/>
        <v>0</v>
      </c>
      <c r="O41" s="7"/>
    </row>
    <row r="42">
      <c r="A42" s="8" t="s">
        <v>186</v>
      </c>
      <c r="B42" s="9" t="s">
        <v>187</v>
      </c>
      <c r="C42" s="10"/>
      <c r="D42" s="11" t="s">
        <v>7</v>
      </c>
      <c r="E42" s="10"/>
      <c r="F42" s="12" t="s">
        <v>188</v>
      </c>
      <c r="G42" s="13"/>
      <c r="H42" s="10"/>
      <c r="I42" s="7"/>
      <c r="J42" s="7"/>
      <c r="K42" s="7"/>
      <c r="L42" s="7"/>
      <c r="M42" s="7"/>
      <c r="N42" s="7">
        <f t="shared" si="1"/>
        <v>1</v>
      </c>
      <c r="O42" s="7"/>
    </row>
    <row r="43">
      <c r="A43" s="8" t="s">
        <v>186</v>
      </c>
      <c r="B43" s="9" t="s">
        <v>189</v>
      </c>
      <c r="C43" s="10"/>
      <c r="D43" s="11" t="s">
        <v>7</v>
      </c>
      <c r="E43" s="10"/>
      <c r="F43" s="12" t="s">
        <v>188</v>
      </c>
      <c r="G43" s="13"/>
      <c r="H43" s="10"/>
      <c r="I43" s="7"/>
      <c r="J43" s="7"/>
      <c r="K43" s="7"/>
      <c r="L43" s="7"/>
      <c r="M43" s="7"/>
      <c r="N43" s="7">
        <f t="shared" si="1"/>
        <v>1</v>
      </c>
      <c r="O43" s="7"/>
    </row>
    <row r="44">
      <c r="A44" s="8" t="s">
        <v>186</v>
      </c>
      <c r="B44" s="9" t="s">
        <v>190</v>
      </c>
      <c r="C44" s="10"/>
      <c r="D44" s="11" t="s">
        <v>7</v>
      </c>
      <c r="E44" s="10"/>
      <c r="F44" s="12" t="s">
        <v>188</v>
      </c>
      <c r="G44" s="13"/>
      <c r="H44" s="10"/>
      <c r="I44" s="7"/>
      <c r="J44" s="7"/>
      <c r="K44" s="7"/>
      <c r="L44" s="7"/>
      <c r="M44" s="7"/>
      <c r="N44" s="7">
        <f t="shared" si="1"/>
        <v>1</v>
      </c>
      <c r="O44" s="7"/>
    </row>
    <row r="45">
      <c r="A45" s="8" t="s">
        <v>192</v>
      </c>
      <c r="B45" s="9" t="s">
        <v>193</v>
      </c>
      <c r="C45" s="10"/>
      <c r="D45" s="18" t="s">
        <v>194</v>
      </c>
      <c r="E45" s="10"/>
      <c r="F45" s="16"/>
      <c r="G45" s="13"/>
      <c r="H45" s="10"/>
      <c r="I45" s="7"/>
      <c r="J45" s="7"/>
      <c r="K45" s="7"/>
      <c r="L45" s="7"/>
      <c r="M45" s="7"/>
      <c r="N45" s="7">
        <f t="shared" si="1"/>
        <v>0</v>
      </c>
      <c r="O45" s="7"/>
    </row>
    <row r="46">
      <c r="A46" s="8" t="s">
        <v>195</v>
      </c>
      <c r="B46" s="9" t="s">
        <v>196</v>
      </c>
      <c r="C46" s="10"/>
      <c r="D46" s="23" t="s">
        <v>197</v>
      </c>
      <c r="E46" s="10"/>
      <c r="F46" s="16"/>
      <c r="G46" s="13"/>
      <c r="H46" s="10"/>
      <c r="I46" s="7"/>
      <c r="J46" s="7"/>
      <c r="K46" s="7"/>
      <c r="L46" s="7"/>
      <c r="M46" s="7"/>
      <c r="N46" s="7">
        <f t="shared" si="1"/>
        <v>0</v>
      </c>
      <c r="O46" s="7"/>
    </row>
    <row r="47">
      <c r="A47" s="8" t="s">
        <v>198</v>
      </c>
      <c r="B47" s="15" t="s">
        <v>199</v>
      </c>
      <c r="C47" s="10"/>
      <c r="D47" s="18" t="s">
        <v>200</v>
      </c>
      <c r="E47" s="10"/>
      <c r="F47" s="12" t="s">
        <v>201</v>
      </c>
      <c r="G47" s="13"/>
      <c r="H47" s="10"/>
      <c r="I47" s="7"/>
      <c r="J47" s="7"/>
      <c r="K47" s="7"/>
      <c r="L47" s="7"/>
      <c r="M47" s="7"/>
      <c r="N47" s="7">
        <f t="shared" si="1"/>
        <v>1</v>
      </c>
      <c r="O47" s="7"/>
    </row>
    <row r="48">
      <c r="A48" s="8" t="s">
        <v>203</v>
      </c>
      <c r="B48" s="15" t="s">
        <v>204</v>
      </c>
      <c r="C48" s="10"/>
      <c r="D48" s="18" t="s">
        <v>205</v>
      </c>
      <c r="E48" s="10"/>
      <c r="F48" s="12" t="s">
        <v>206</v>
      </c>
      <c r="G48" s="13"/>
      <c r="H48" s="10"/>
      <c r="I48" s="7"/>
      <c r="J48" s="7"/>
      <c r="K48" s="7"/>
      <c r="L48" s="7"/>
      <c r="M48" s="7"/>
      <c r="N48" s="7">
        <f t="shared" si="1"/>
        <v>1</v>
      </c>
      <c r="O48" s="7"/>
    </row>
    <row r="49">
      <c r="A49" s="8" t="s">
        <v>207</v>
      </c>
      <c r="B49" s="9" t="s">
        <v>208</v>
      </c>
      <c r="C49" s="10"/>
      <c r="D49" s="11" t="s">
        <v>209</v>
      </c>
      <c r="E49" s="10"/>
      <c r="F49" s="16"/>
      <c r="G49" s="13"/>
      <c r="H49" s="10"/>
      <c r="I49" s="7"/>
      <c r="J49" s="7"/>
      <c r="K49" s="7"/>
      <c r="L49" s="7"/>
      <c r="M49" s="7"/>
      <c r="N49" s="7">
        <f t="shared" si="1"/>
        <v>0</v>
      </c>
      <c r="O49" s="7"/>
    </row>
    <row r="50">
      <c r="A50" s="8" t="s">
        <v>211</v>
      </c>
      <c r="B50" s="9" t="s">
        <v>212</v>
      </c>
      <c r="C50" s="10"/>
      <c r="D50" s="19" t="s">
        <v>1844</v>
      </c>
      <c r="E50" s="10"/>
      <c r="F50" s="12" t="s">
        <v>1845</v>
      </c>
      <c r="G50" s="13"/>
      <c r="H50" s="10"/>
      <c r="I50" s="7"/>
      <c r="J50" s="7"/>
      <c r="K50" s="7"/>
      <c r="L50" s="7"/>
      <c r="M50" s="7"/>
      <c r="N50" s="7">
        <f t="shared" si="1"/>
        <v>1</v>
      </c>
      <c r="O50" s="7"/>
    </row>
    <row r="51">
      <c r="A51" s="8" t="s">
        <v>216</v>
      </c>
      <c r="B51" s="9" t="s">
        <v>217</v>
      </c>
      <c r="C51" s="10"/>
      <c r="D51" s="19" t="s">
        <v>1846</v>
      </c>
      <c r="E51" s="10"/>
      <c r="F51" s="12" t="s">
        <v>1847</v>
      </c>
      <c r="G51" s="13"/>
      <c r="H51" s="10"/>
      <c r="I51" s="7"/>
      <c r="J51" s="7"/>
      <c r="K51" s="7"/>
      <c r="L51" s="7"/>
      <c r="M51" s="7"/>
      <c r="N51" s="7">
        <f t="shared" si="1"/>
        <v>1</v>
      </c>
      <c r="O51" s="7"/>
    </row>
    <row r="52">
      <c r="A52" s="8" t="s">
        <v>220</v>
      </c>
      <c r="B52" s="9" t="s">
        <v>221</v>
      </c>
      <c r="C52" s="10"/>
      <c r="D52" s="18" t="s">
        <v>222</v>
      </c>
      <c r="E52" s="10"/>
      <c r="F52" s="16"/>
      <c r="G52" s="13"/>
      <c r="H52" s="10"/>
      <c r="I52" s="7"/>
      <c r="J52" s="7"/>
      <c r="K52" s="7"/>
      <c r="L52" s="7"/>
      <c r="M52" s="7"/>
      <c r="N52" s="7">
        <f t="shared" si="1"/>
        <v>0</v>
      </c>
      <c r="O52" s="7"/>
    </row>
    <row r="53">
      <c r="A53" s="8" t="s">
        <v>224</v>
      </c>
      <c r="B53" s="9" t="s">
        <v>225</v>
      </c>
      <c r="C53" s="10"/>
      <c r="D53" s="18" t="s">
        <v>226</v>
      </c>
      <c r="E53" s="10"/>
      <c r="F53" s="12" t="s">
        <v>1812</v>
      </c>
      <c r="G53" s="13"/>
      <c r="H53" s="10"/>
      <c r="I53" s="7"/>
      <c r="J53" s="7"/>
      <c r="K53" s="7"/>
      <c r="L53" s="7"/>
      <c r="M53" s="7"/>
      <c r="N53" s="7">
        <f t="shared" si="1"/>
        <v>1</v>
      </c>
      <c r="O53" s="7"/>
    </row>
    <row r="54">
      <c r="A54" s="8" t="s">
        <v>228</v>
      </c>
      <c r="B54" s="9" t="s">
        <v>229</v>
      </c>
      <c r="C54" s="10"/>
      <c r="D54" s="11" t="s">
        <v>230</v>
      </c>
      <c r="E54" s="10"/>
      <c r="F54" s="12" t="s">
        <v>231</v>
      </c>
      <c r="G54" s="13"/>
      <c r="H54" s="10"/>
      <c r="I54" s="7"/>
      <c r="J54" s="7"/>
      <c r="K54" s="7"/>
      <c r="L54" s="7"/>
      <c r="M54" s="7"/>
      <c r="N54" s="7">
        <f t="shared" si="1"/>
        <v>1</v>
      </c>
      <c r="O54" s="7"/>
    </row>
    <row r="55">
      <c r="A55" s="8" t="s">
        <v>232</v>
      </c>
      <c r="B55" s="9" t="s">
        <v>229</v>
      </c>
      <c r="C55" s="10"/>
      <c r="D55" s="11" t="s">
        <v>233</v>
      </c>
      <c r="E55" s="10"/>
      <c r="F55" s="12" t="s">
        <v>234</v>
      </c>
      <c r="G55" s="13"/>
      <c r="H55" s="10"/>
      <c r="I55" s="7"/>
      <c r="J55" s="7"/>
      <c r="K55" s="7"/>
      <c r="L55" s="7"/>
      <c r="M55" s="7"/>
      <c r="N55" s="7">
        <f t="shared" si="1"/>
        <v>1</v>
      </c>
      <c r="O55" s="7"/>
    </row>
    <row r="56">
      <c r="A56" s="8" t="s">
        <v>236</v>
      </c>
      <c r="B56" s="9" t="s">
        <v>237</v>
      </c>
      <c r="C56" s="10"/>
      <c r="D56" s="9" t="s">
        <v>238</v>
      </c>
      <c r="E56" s="10"/>
      <c r="F56" s="12" t="s">
        <v>239</v>
      </c>
      <c r="G56" s="13"/>
      <c r="H56" s="10"/>
      <c r="I56" s="7"/>
      <c r="J56" s="7"/>
      <c r="K56" s="7"/>
      <c r="L56" s="7"/>
      <c r="M56" s="7"/>
      <c r="N56" s="7">
        <f t="shared" si="1"/>
        <v>1</v>
      </c>
      <c r="O56" s="7"/>
    </row>
    <row r="57">
      <c r="A57" s="8" t="s">
        <v>240</v>
      </c>
      <c r="B57" s="9" t="s">
        <v>241</v>
      </c>
      <c r="C57" s="10"/>
      <c r="D57" s="11" t="s">
        <v>7</v>
      </c>
      <c r="E57" s="10"/>
      <c r="F57" s="16"/>
      <c r="G57" s="13"/>
      <c r="H57" s="10"/>
      <c r="I57" s="7"/>
      <c r="J57" s="7"/>
      <c r="K57" s="7"/>
      <c r="L57" s="7"/>
      <c r="M57" s="7"/>
      <c r="N57" s="7">
        <f t="shared" si="1"/>
        <v>0</v>
      </c>
      <c r="O57" s="7"/>
    </row>
    <row r="58" ht="15.75" customHeight="1">
      <c r="A58" s="8" t="s">
        <v>242</v>
      </c>
      <c r="B58" s="9" t="s">
        <v>244</v>
      </c>
      <c r="C58" s="10"/>
      <c r="D58" s="19" t="s">
        <v>1852</v>
      </c>
      <c r="E58" s="10"/>
      <c r="F58" s="12" t="s">
        <v>1854</v>
      </c>
      <c r="G58" s="13"/>
      <c r="H58" s="10"/>
      <c r="I58" s="7"/>
      <c r="J58" s="7"/>
      <c r="K58" s="7"/>
      <c r="L58" s="7"/>
      <c r="M58" s="7"/>
      <c r="N58" s="7">
        <f t="shared" si="1"/>
        <v>1</v>
      </c>
      <c r="O58" s="7"/>
    </row>
    <row r="59">
      <c r="A59" s="8" t="s">
        <v>248</v>
      </c>
      <c r="B59" s="9" t="s">
        <v>250</v>
      </c>
      <c r="C59" s="10"/>
      <c r="D59" s="19" t="s">
        <v>1856</v>
      </c>
      <c r="E59" s="10"/>
      <c r="F59" s="12" t="s">
        <v>253</v>
      </c>
      <c r="G59" s="13"/>
      <c r="H59" s="10"/>
      <c r="I59" s="7"/>
      <c r="J59" s="7"/>
      <c r="K59" s="7"/>
      <c r="L59" s="7"/>
      <c r="M59" s="7"/>
      <c r="N59" s="7">
        <f t="shared" si="1"/>
        <v>1</v>
      </c>
      <c r="O59" s="7"/>
    </row>
    <row r="60">
      <c r="A60" s="8" t="s">
        <v>255</v>
      </c>
      <c r="B60" s="9" t="s">
        <v>256</v>
      </c>
      <c r="C60" s="10"/>
      <c r="D60" s="18" t="s">
        <v>257</v>
      </c>
      <c r="E60" s="10"/>
      <c r="F60" s="12" t="s">
        <v>258</v>
      </c>
      <c r="G60" s="13"/>
      <c r="H60" s="10"/>
      <c r="I60" s="7"/>
      <c r="J60" s="7"/>
      <c r="K60" s="7"/>
      <c r="L60" s="7"/>
      <c r="M60" s="7"/>
      <c r="N60" s="7">
        <f t="shared" si="1"/>
        <v>1</v>
      </c>
      <c r="O60" s="7"/>
    </row>
    <row r="61">
      <c r="A61" s="8" t="s">
        <v>261</v>
      </c>
      <c r="B61" s="9" t="s">
        <v>262</v>
      </c>
      <c r="C61" s="10"/>
      <c r="D61" s="21" t="s">
        <v>1858</v>
      </c>
      <c r="E61" s="10"/>
      <c r="F61" s="12" t="s">
        <v>1859</v>
      </c>
      <c r="G61" s="13"/>
      <c r="H61" s="10"/>
      <c r="I61" s="7"/>
      <c r="J61" s="7"/>
      <c r="K61" s="7"/>
      <c r="L61" s="7"/>
      <c r="M61" s="7"/>
      <c r="N61" s="7">
        <f t="shared" si="1"/>
        <v>1</v>
      </c>
      <c r="O61" s="7"/>
    </row>
    <row r="62">
      <c r="A62" s="8" t="s">
        <v>266</v>
      </c>
      <c r="B62" s="9" t="s">
        <v>269</v>
      </c>
      <c r="C62" s="10"/>
      <c r="D62" s="18" t="s">
        <v>270</v>
      </c>
      <c r="E62" s="10"/>
      <c r="F62" s="12" t="s">
        <v>271</v>
      </c>
      <c r="G62" s="13"/>
      <c r="H62" s="10"/>
      <c r="I62" s="7"/>
      <c r="J62" s="7"/>
      <c r="K62" s="7"/>
      <c r="L62" s="7"/>
      <c r="M62" s="7"/>
      <c r="N62" s="7">
        <f t="shared" si="1"/>
        <v>1</v>
      </c>
      <c r="O62" s="7"/>
    </row>
    <row r="63">
      <c r="A63" s="8" t="s">
        <v>272</v>
      </c>
      <c r="B63" s="9" t="s">
        <v>274</v>
      </c>
      <c r="C63" s="10"/>
      <c r="D63" s="18" t="s">
        <v>257</v>
      </c>
      <c r="E63" s="10"/>
      <c r="F63" s="12" t="s">
        <v>275</v>
      </c>
      <c r="G63" s="13"/>
      <c r="H63" s="10"/>
      <c r="I63" s="7"/>
      <c r="J63" s="7"/>
      <c r="K63" s="7"/>
      <c r="L63" s="7"/>
      <c r="M63" s="7"/>
      <c r="N63" s="7">
        <f t="shared" si="1"/>
        <v>1</v>
      </c>
      <c r="O63" s="7"/>
    </row>
    <row r="64">
      <c r="A64" s="8" t="s">
        <v>276</v>
      </c>
      <c r="B64" s="9" t="s">
        <v>277</v>
      </c>
      <c r="C64" s="10"/>
      <c r="D64" s="18" t="s">
        <v>278</v>
      </c>
      <c r="E64" s="10"/>
      <c r="F64" s="12" t="s">
        <v>279</v>
      </c>
      <c r="G64" s="13"/>
      <c r="H64" s="10"/>
      <c r="I64" s="7"/>
      <c r="J64" s="7"/>
      <c r="K64" s="7"/>
      <c r="L64" s="7"/>
      <c r="M64" s="7"/>
      <c r="N64" s="7">
        <f t="shared" si="1"/>
        <v>1</v>
      </c>
      <c r="O64" s="7"/>
    </row>
    <row r="65">
      <c r="A65" s="8" t="s">
        <v>281</v>
      </c>
      <c r="B65" s="9" t="s">
        <v>282</v>
      </c>
      <c r="C65" s="10"/>
      <c r="D65" s="18" t="s">
        <v>283</v>
      </c>
      <c r="E65" s="10"/>
      <c r="F65" s="12" t="s">
        <v>284</v>
      </c>
      <c r="G65" s="13"/>
      <c r="H65" s="10"/>
      <c r="I65" s="7"/>
      <c r="J65" s="7"/>
      <c r="K65" s="7"/>
      <c r="L65" s="7"/>
      <c r="M65" s="7"/>
      <c r="N65" s="7">
        <f t="shared" si="1"/>
        <v>1</v>
      </c>
      <c r="O65" s="7"/>
    </row>
    <row r="66">
      <c r="A66" s="8" t="s">
        <v>285</v>
      </c>
      <c r="B66" s="9" t="s">
        <v>287</v>
      </c>
      <c r="C66" s="10"/>
      <c r="D66" s="18" t="s">
        <v>288</v>
      </c>
      <c r="E66" s="10"/>
      <c r="F66" s="12" t="s">
        <v>1862</v>
      </c>
      <c r="G66" s="13"/>
      <c r="H66" s="10"/>
      <c r="I66" s="7"/>
      <c r="J66" s="7"/>
      <c r="K66" s="7"/>
      <c r="L66" s="7"/>
      <c r="M66" s="7"/>
      <c r="N66" s="7">
        <f t="shared" si="1"/>
        <v>1</v>
      </c>
      <c r="O66" s="7"/>
    </row>
    <row r="67">
      <c r="A67" s="8" t="s">
        <v>291</v>
      </c>
      <c r="B67" s="9" t="s">
        <v>293</v>
      </c>
      <c r="C67" s="10"/>
      <c r="D67" s="9" t="s">
        <v>294</v>
      </c>
      <c r="E67" s="10"/>
      <c r="F67" s="12" t="s">
        <v>295</v>
      </c>
      <c r="G67" s="13"/>
      <c r="H67" s="10"/>
      <c r="I67" s="7"/>
      <c r="J67" s="7"/>
      <c r="K67" s="7"/>
      <c r="L67" s="7"/>
      <c r="M67" s="7"/>
      <c r="N67" s="7">
        <f t="shared" si="1"/>
        <v>1</v>
      </c>
      <c r="O67" s="7"/>
    </row>
    <row r="68">
      <c r="A68" s="8" t="s">
        <v>296</v>
      </c>
      <c r="B68" s="9" t="s">
        <v>298</v>
      </c>
      <c r="C68" s="10"/>
      <c r="D68" s="11" t="s">
        <v>299</v>
      </c>
      <c r="E68" s="10"/>
      <c r="F68" s="12" t="s">
        <v>300</v>
      </c>
      <c r="G68" s="13"/>
      <c r="H68" s="10"/>
      <c r="I68" s="7"/>
      <c r="J68" s="7"/>
      <c r="K68" s="7"/>
      <c r="L68" s="7"/>
      <c r="M68" s="7"/>
      <c r="N68" s="7">
        <f t="shared" si="1"/>
        <v>1</v>
      </c>
      <c r="O68" s="7"/>
    </row>
    <row r="69">
      <c r="A69" s="8" t="s">
        <v>301</v>
      </c>
      <c r="B69" s="15" t="s">
        <v>302</v>
      </c>
      <c r="C69" s="10"/>
      <c r="D69" s="11" t="s">
        <v>7</v>
      </c>
      <c r="E69" s="10"/>
      <c r="F69" s="12" t="s">
        <v>305</v>
      </c>
      <c r="G69" s="13"/>
      <c r="H69" s="10"/>
      <c r="I69" s="7"/>
      <c r="J69" s="7"/>
      <c r="K69" s="7"/>
      <c r="L69" s="7"/>
      <c r="M69" s="7"/>
      <c r="N69" s="7">
        <f t="shared" si="1"/>
        <v>1</v>
      </c>
      <c r="O69" s="7"/>
    </row>
    <row r="70">
      <c r="A70" s="8" t="s">
        <v>306</v>
      </c>
      <c r="B70" s="9" t="s">
        <v>307</v>
      </c>
      <c r="C70" s="10"/>
      <c r="D70" s="21" t="s">
        <v>1866</v>
      </c>
      <c r="E70" s="10"/>
      <c r="F70" s="12" t="s">
        <v>309</v>
      </c>
      <c r="G70" s="13"/>
      <c r="H70" s="10"/>
      <c r="I70" s="7"/>
      <c r="J70" s="7"/>
      <c r="K70" s="7"/>
      <c r="L70" s="7"/>
      <c r="M70" s="7"/>
      <c r="N70" s="7">
        <f t="shared" si="1"/>
        <v>1</v>
      </c>
      <c r="O70" s="7"/>
    </row>
    <row r="71">
      <c r="A71" s="8" t="s">
        <v>310</v>
      </c>
      <c r="B71" s="9" t="s">
        <v>312</v>
      </c>
      <c r="C71" s="10"/>
      <c r="D71" s="11" t="s">
        <v>313</v>
      </c>
      <c r="E71" s="10"/>
      <c r="F71" s="12" t="s">
        <v>1867</v>
      </c>
      <c r="G71" s="13"/>
      <c r="H71" s="10"/>
      <c r="I71" s="7"/>
      <c r="J71" s="7"/>
      <c r="K71" s="7"/>
      <c r="L71" s="7"/>
      <c r="M71" s="7"/>
      <c r="N71" s="7">
        <f t="shared" si="1"/>
        <v>1</v>
      </c>
      <c r="O71" s="7"/>
    </row>
    <row r="72">
      <c r="A72" s="8" t="s">
        <v>316</v>
      </c>
      <c r="B72" s="9" t="s">
        <v>317</v>
      </c>
      <c r="C72" s="10"/>
      <c r="D72" s="9" t="s">
        <v>318</v>
      </c>
      <c r="E72" s="10"/>
      <c r="F72" s="16"/>
      <c r="G72" s="13"/>
      <c r="H72" s="10"/>
      <c r="I72" s="7"/>
      <c r="J72" s="7"/>
      <c r="K72" s="7"/>
      <c r="L72" s="7"/>
      <c r="M72" s="7"/>
      <c r="N72" s="7">
        <f t="shared" si="1"/>
        <v>0</v>
      </c>
      <c r="O72" s="7"/>
    </row>
    <row r="73">
      <c r="A73" s="24" t="s">
        <v>319</v>
      </c>
      <c r="B73" s="15" t="s">
        <v>322</v>
      </c>
      <c r="C73" s="10"/>
      <c r="D73" s="11" t="s">
        <v>7</v>
      </c>
      <c r="E73" s="10"/>
      <c r="F73" s="12" t="s">
        <v>1833</v>
      </c>
      <c r="G73" s="13"/>
      <c r="H73" s="10"/>
      <c r="I73" s="7"/>
      <c r="J73" s="7"/>
      <c r="K73" s="7"/>
      <c r="L73" s="7"/>
      <c r="M73" s="7"/>
      <c r="N73" s="7">
        <f t="shared" si="1"/>
        <v>1</v>
      </c>
      <c r="O73" s="7"/>
    </row>
    <row r="74">
      <c r="A74" s="8" t="s">
        <v>325</v>
      </c>
      <c r="B74" s="15" t="s">
        <v>326</v>
      </c>
      <c r="C74" s="10"/>
      <c r="D74" s="11" t="s">
        <v>327</v>
      </c>
      <c r="E74" s="10"/>
      <c r="F74" s="12" t="s">
        <v>328</v>
      </c>
      <c r="G74" s="13"/>
      <c r="H74" s="10"/>
      <c r="I74" s="7"/>
      <c r="J74" s="7"/>
      <c r="K74" s="7"/>
      <c r="L74" s="7"/>
      <c r="M74" s="7"/>
      <c r="N74" s="7">
        <f t="shared" si="1"/>
        <v>1</v>
      </c>
      <c r="O74" s="7"/>
    </row>
    <row r="75">
      <c r="A75" s="8" t="s">
        <v>329</v>
      </c>
      <c r="B75" s="9" t="s">
        <v>331</v>
      </c>
      <c r="C75" s="10"/>
      <c r="D75" s="18" t="s">
        <v>332</v>
      </c>
      <c r="E75" s="10"/>
      <c r="F75" s="12" t="s">
        <v>333</v>
      </c>
      <c r="G75" s="13"/>
      <c r="H75" s="10"/>
      <c r="I75" s="7"/>
      <c r="J75" s="7"/>
      <c r="K75" s="7"/>
      <c r="L75" s="7"/>
      <c r="M75" s="7"/>
      <c r="N75" s="7">
        <f t="shared" si="1"/>
        <v>1</v>
      </c>
      <c r="O75" s="7"/>
    </row>
    <row r="76">
      <c r="A76" s="8" t="s">
        <v>334</v>
      </c>
      <c r="B76" s="9" t="s">
        <v>335</v>
      </c>
      <c r="C76" s="10"/>
      <c r="D76" s="11" t="s">
        <v>7</v>
      </c>
      <c r="E76" s="10"/>
      <c r="F76" s="12"/>
      <c r="G76" s="13"/>
      <c r="H76" s="10"/>
      <c r="I76" s="7"/>
      <c r="J76" s="7"/>
      <c r="K76" s="7"/>
      <c r="L76" s="7"/>
      <c r="M76" s="7"/>
      <c r="N76" s="7">
        <f t="shared" si="1"/>
        <v>0</v>
      </c>
      <c r="O76" s="7"/>
    </row>
    <row r="77">
      <c r="A77" s="8" t="s">
        <v>336</v>
      </c>
      <c r="B77" s="9" t="s">
        <v>337</v>
      </c>
      <c r="C77" s="10"/>
      <c r="D77" s="11" t="s">
        <v>338</v>
      </c>
      <c r="E77" s="10"/>
      <c r="F77" s="12" t="s">
        <v>339</v>
      </c>
      <c r="G77" s="13"/>
      <c r="H77" s="10"/>
      <c r="I77" s="7"/>
      <c r="J77" s="7"/>
      <c r="K77" s="7"/>
      <c r="L77" s="7"/>
      <c r="M77" s="7"/>
      <c r="N77" s="7">
        <f t="shared" si="1"/>
        <v>1</v>
      </c>
      <c r="O77" s="7"/>
    </row>
    <row r="78">
      <c r="A78" s="8" t="s">
        <v>340</v>
      </c>
      <c r="B78" s="9" t="s">
        <v>341</v>
      </c>
      <c r="C78" s="10"/>
      <c r="D78" s="11" t="s">
        <v>342</v>
      </c>
      <c r="E78" s="10"/>
      <c r="F78" s="12" t="s">
        <v>343</v>
      </c>
      <c r="G78" s="13"/>
      <c r="H78" s="10"/>
      <c r="I78" s="7"/>
      <c r="J78" s="7"/>
      <c r="K78" s="7"/>
      <c r="L78" s="7"/>
      <c r="M78" s="7"/>
      <c r="N78" s="7">
        <f t="shared" si="1"/>
        <v>1</v>
      </c>
      <c r="O78" s="7"/>
    </row>
    <row r="79">
      <c r="A79" s="8" t="s">
        <v>345</v>
      </c>
      <c r="B79" s="9" t="s">
        <v>347</v>
      </c>
      <c r="C79" s="10"/>
      <c r="D79" s="19" t="s">
        <v>1872</v>
      </c>
      <c r="E79" s="10"/>
      <c r="F79" s="12" t="s">
        <v>349</v>
      </c>
      <c r="G79" s="13"/>
      <c r="H79" s="10"/>
      <c r="I79" s="7"/>
      <c r="J79" s="7"/>
      <c r="K79" s="7"/>
      <c r="L79" s="7"/>
      <c r="M79" s="7"/>
      <c r="N79" s="7">
        <f t="shared" si="1"/>
        <v>1</v>
      </c>
      <c r="O79" s="7"/>
    </row>
    <row r="80">
      <c r="A80" s="8" t="s">
        <v>352</v>
      </c>
      <c r="B80" s="9" t="s">
        <v>353</v>
      </c>
      <c r="C80" s="10"/>
      <c r="D80" s="18" t="s">
        <v>354</v>
      </c>
      <c r="E80" s="10"/>
      <c r="F80" s="12" t="s">
        <v>355</v>
      </c>
      <c r="G80" s="13"/>
      <c r="H80" s="10"/>
      <c r="I80" s="7"/>
      <c r="J80" s="7"/>
      <c r="K80" s="7"/>
      <c r="L80" s="7"/>
      <c r="M80" s="7"/>
      <c r="N80" s="7">
        <f t="shared" si="1"/>
        <v>1</v>
      </c>
      <c r="O80" s="7"/>
    </row>
    <row r="81">
      <c r="A81" s="8" t="s">
        <v>357</v>
      </c>
      <c r="B81" s="9" t="s">
        <v>358</v>
      </c>
      <c r="C81" s="10"/>
      <c r="D81" s="11" t="s">
        <v>359</v>
      </c>
      <c r="E81" s="10"/>
      <c r="F81" s="12" t="s">
        <v>360</v>
      </c>
      <c r="G81" s="13"/>
      <c r="H81" s="10"/>
      <c r="I81" s="7"/>
      <c r="J81" s="7"/>
      <c r="K81" s="7"/>
      <c r="L81" s="7"/>
      <c r="M81" s="7"/>
      <c r="N81" s="7">
        <f t="shared" si="1"/>
        <v>1</v>
      </c>
      <c r="O81" s="7"/>
    </row>
    <row r="82">
      <c r="A82" s="8" t="s">
        <v>361</v>
      </c>
      <c r="B82" s="9" t="s">
        <v>362</v>
      </c>
      <c r="C82" s="10"/>
      <c r="D82" s="11" t="s">
        <v>7</v>
      </c>
      <c r="E82" s="10"/>
      <c r="F82" s="12" t="s">
        <v>363</v>
      </c>
      <c r="G82" s="13"/>
      <c r="H82" s="10"/>
      <c r="I82" s="7"/>
      <c r="J82" s="7"/>
      <c r="K82" s="7"/>
      <c r="L82" s="7"/>
      <c r="M82" s="7"/>
      <c r="N82" s="7">
        <f t="shared" si="1"/>
        <v>1</v>
      </c>
      <c r="O82" s="7"/>
    </row>
    <row r="83">
      <c r="A83" s="8" t="s">
        <v>364</v>
      </c>
      <c r="B83" s="9" t="s">
        <v>366</v>
      </c>
      <c r="C83" s="10"/>
      <c r="D83" s="11" t="s">
        <v>7</v>
      </c>
      <c r="E83" s="10"/>
      <c r="F83" s="12" t="s">
        <v>1877</v>
      </c>
      <c r="G83" s="13"/>
      <c r="H83" s="10"/>
      <c r="I83" s="7"/>
      <c r="J83" s="7"/>
      <c r="K83" s="7"/>
      <c r="L83" s="7"/>
      <c r="M83" s="7"/>
      <c r="N83" s="7">
        <f t="shared" si="1"/>
        <v>1</v>
      </c>
      <c r="O83" s="7"/>
    </row>
    <row r="84">
      <c r="A84" s="8" t="s">
        <v>368</v>
      </c>
      <c r="B84" s="9" t="s">
        <v>370</v>
      </c>
      <c r="C84" s="10"/>
      <c r="D84" s="11" t="s">
        <v>7</v>
      </c>
      <c r="E84" s="10"/>
      <c r="F84" s="16"/>
      <c r="G84" s="13"/>
      <c r="H84" s="10"/>
      <c r="I84" s="7"/>
      <c r="J84" s="7"/>
      <c r="K84" s="7"/>
      <c r="L84" s="7"/>
      <c r="M84" s="7"/>
      <c r="N84" s="7">
        <f t="shared" si="1"/>
        <v>0</v>
      </c>
      <c r="O84" s="7"/>
    </row>
    <row r="85">
      <c r="A85" s="8" t="s">
        <v>371</v>
      </c>
      <c r="B85" s="9" t="s">
        <v>372</v>
      </c>
      <c r="C85" s="10"/>
      <c r="D85" s="11" t="s">
        <v>7</v>
      </c>
      <c r="E85" s="10"/>
      <c r="F85" s="12" t="s">
        <v>373</v>
      </c>
      <c r="G85" s="13"/>
      <c r="H85" s="10"/>
      <c r="I85" s="7"/>
      <c r="J85" s="7"/>
      <c r="K85" s="7"/>
      <c r="L85" s="7"/>
      <c r="M85" s="7"/>
      <c r="N85" s="7">
        <f t="shared" si="1"/>
        <v>1</v>
      </c>
      <c r="O85" s="7"/>
    </row>
    <row r="86">
      <c r="A86" s="8" t="s">
        <v>375</v>
      </c>
      <c r="B86" s="9" t="s">
        <v>376</v>
      </c>
      <c r="C86" s="10"/>
      <c r="D86" s="18" t="s">
        <v>377</v>
      </c>
      <c r="E86" s="10"/>
      <c r="F86" s="16"/>
      <c r="G86" s="13"/>
      <c r="H86" s="10"/>
      <c r="I86" s="7"/>
      <c r="J86" s="7"/>
      <c r="K86" s="7"/>
      <c r="L86" s="7"/>
      <c r="M86" s="7"/>
      <c r="N86" s="7">
        <f t="shared" si="1"/>
        <v>0</v>
      </c>
      <c r="O86" s="7"/>
    </row>
    <row r="87">
      <c r="A87" s="8" t="s">
        <v>379</v>
      </c>
      <c r="B87" s="9" t="s">
        <v>381</v>
      </c>
      <c r="C87" s="10"/>
      <c r="D87" s="11" t="s">
        <v>7</v>
      </c>
      <c r="E87" s="10"/>
      <c r="F87" s="16"/>
      <c r="G87" s="13"/>
      <c r="H87" s="10"/>
      <c r="I87" s="7"/>
      <c r="J87" s="7"/>
      <c r="K87" s="7"/>
      <c r="L87" s="7"/>
      <c r="M87" s="7"/>
      <c r="N87" s="7">
        <f t="shared" si="1"/>
        <v>0</v>
      </c>
      <c r="O87" s="7"/>
    </row>
    <row r="88">
      <c r="A88" s="8" t="s">
        <v>382</v>
      </c>
      <c r="B88" s="9" t="s">
        <v>383</v>
      </c>
      <c r="C88" s="10"/>
      <c r="D88" s="18" t="s">
        <v>385</v>
      </c>
      <c r="E88" s="10"/>
      <c r="F88" s="12" t="s">
        <v>1881</v>
      </c>
      <c r="G88" s="13"/>
      <c r="H88" s="10"/>
      <c r="I88" s="7"/>
      <c r="J88" s="7"/>
      <c r="K88" s="7"/>
      <c r="L88" s="7"/>
      <c r="M88" s="7"/>
      <c r="N88" s="7">
        <f t="shared" si="1"/>
        <v>1</v>
      </c>
      <c r="O88" s="7"/>
    </row>
    <row r="89">
      <c r="A89" s="24" t="s">
        <v>387</v>
      </c>
      <c r="B89" s="9" t="s">
        <v>388</v>
      </c>
      <c r="C89" s="10"/>
      <c r="D89" s="18" t="s">
        <v>389</v>
      </c>
      <c r="E89" s="10"/>
      <c r="F89" s="12" t="s">
        <v>390</v>
      </c>
      <c r="G89" s="13"/>
      <c r="H89" s="10"/>
      <c r="I89" s="7"/>
      <c r="J89" s="7"/>
      <c r="K89" s="7"/>
      <c r="L89" s="7"/>
      <c r="M89" s="7"/>
      <c r="N89" s="7">
        <f t="shared" si="1"/>
        <v>1</v>
      </c>
      <c r="O89" s="7"/>
    </row>
    <row r="90">
      <c r="A90" s="8" t="s">
        <v>392</v>
      </c>
      <c r="B90" s="9" t="s">
        <v>393</v>
      </c>
      <c r="C90" s="10"/>
      <c r="D90" s="18" t="s">
        <v>394</v>
      </c>
      <c r="E90" s="10"/>
      <c r="F90" s="12" t="s">
        <v>395</v>
      </c>
      <c r="G90" s="13"/>
      <c r="H90" s="10"/>
      <c r="I90" s="7"/>
      <c r="J90" s="7"/>
      <c r="K90" s="7"/>
      <c r="L90" s="7"/>
      <c r="M90" s="7"/>
      <c r="N90" s="7">
        <f t="shared" si="1"/>
        <v>1</v>
      </c>
      <c r="O90" s="7"/>
    </row>
    <row r="91">
      <c r="A91" s="8" t="s">
        <v>396</v>
      </c>
      <c r="B91" s="9" t="s">
        <v>397</v>
      </c>
      <c r="C91" s="10"/>
      <c r="D91" s="19" t="s">
        <v>1884</v>
      </c>
      <c r="E91" s="10"/>
      <c r="F91" s="12" t="s">
        <v>1885</v>
      </c>
      <c r="G91" s="13"/>
      <c r="H91" s="10"/>
      <c r="I91" s="7"/>
      <c r="J91" s="7"/>
      <c r="K91" s="7"/>
      <c r="L91" s="7"/>
      <c r="M91" s="7"/>
      <c r="N91" s="7">
        <f t="shared" si="1"/>
        <v>1</v>
      </c>
      <c r="O91" s="7"/>
    </row>
    <row r="92">
      <c r="A92" s="8" t="s">
        <v>400</v>
      </c>
      <c r="B92" s="9" t="s">
        <v>401</v>
      </c>
      <c r="C92" s="10"/>
      <c r="D92" s="11" t="s">
        <v>7</v>
      </c>
      <c r="E92" s="10"/>
      <c r="F92" s="12" t="s">
        <v>1886</v>
      </c>
      <c r="G92" s="13"/>
      <c r="H92" s="10"/>
      <c r="I92" s="7"/>
      <c r="J92" s="7"/>
      <c r="K92" s="7"/>
      <c r="L92" s="7"/>
      <c r="M92" s="7"/>
      <c r="N92" s="7">
        <f t="shared" si="1"/>
        <v>1</v>
      </c>
      <c r="O92" s="7"/>
    </row>
    <row r="93">
      <c r="A93" s="8" t="s">
        <v>404</v>
      </c>
      <c r="B93" s="9" t="s">
        <v>405</v>
      </c>
      <c r="C93" s="10"/>
      <c r="D93" s="11" t="s">
        <v>406</v>
      </c>
      <c r="E93" s="10"/>
      <c r="F93" s="12" t="s">
        <v>407</v>
      </c>
      <c r="G93" s="13"/>
      <c r="H93" s="10"/>
      <c r="I93" s="7"/>
      <c r="J93" s="7"/>
      <c r="K93" s="7"/>
      <c r="L93" s="7"/>
      <c r="M93" s="7"/>
      <c r="N93" s="7">
        <f t="shared" si="1"/>
        <v>1</v>
      </c>
      <c r="O93" s="7"/>
    </row>
    <row r="94">
      <c r="A94" s="8" t="s">
        <v>408</v>
      </c>
      <c r="B94" s="9" t="s">
        <v>410</v>
      </c>
      <c r="C94" s="10"/>
      <c r="D94" s="11" t="s">
        <v>411</v>
      </c>
      <c r="E94" s="10"/>
      <c r="F94" s="12" t="s">
        <v>144</v>
      </c>
      <c r="G94" s="13"/>
      <c r="H94" s="10"/>
      <c r="I94" s="7"/>
      <c r="J94" s="7"/>
      <c r="K94" s="7"/>
      <c r="L94" s="7"/>
      <c r="M94" s="7"/>
      <c r="N94" s="7">
        <f t="shared" si="1"/>
        <v>1</v>
      </c>
      <c r="O94" s="7"/>
    </row>
    <row r="95">
      <c r="A95" s="8" t="s">
        <v>412</v>
      </c>
      <c r="B95" s="9" t="s">
        <v>413</v>
      </c>
      <c r="C95" s="10"/>
      <c r="D95" s="18" t="s">
        <v>414</v>
      </c>
      <c r="E95" s="10"/>
      <c r="F95" s="16"/>
      <c r="G95" s="13"/>
      <c r="H95" s="10"/>
      <c r="I95" s="7"/>
      <c r="J95" s="7"/>
      <c r="K95" s="7"/>
      <c r="L95" s="7"/>
      <c r="M95" s="7"/>
      <c r="N95" s="7">
        <f t="shared" si="1"/>
        <v>0</v>
      </c>
      <c r="O95" s="7"/>
    </row>
    <row r="96">
      <c r="A96" s="8" t="s">
        <v>415</v>
      </c>
      <c r="B96" s="9" t="s">
        <v>417</v>
      </c>
      <c r="C96" s="10"/>
      <c r="D96" s="18" t="s">
        <v>418</v>
      </c>
      <c r="E96" s="10"/>
      <c r="F96" s="12" t="s">
        <v>419</v>
      </c>
      <c r="G96" s="13"/>
      <c r="H96" s="10"/>
      <c r="I96" s="7"/>
      <c r="J96" s="7"/>
      <c r="K96" s="7"/>
      <c r="L96" s="7"/>
      <c r="M96" s="7"/>
      <c r="N96" s="7">
        <f t="shared" si="1"/>
        <v>1</v>
      </c>
      <c r="O96" s="7"/>
    </row>
    <row r="97">
      <c r="A97" s="8" t="s">
        <v>421</v>
      </c>
      <c r="B97" s="9" t="s">
        <v>422</v>
      </c>
      <c r="C97" s="10"/>
      <c r="D97" s="11" t="s">
        <v>141</v>
      </c>
      <c r="E97" s="10"/>
      <c r="F97" s="12" t="s">
        <v>144</v>
      </c>
      <c r="G97" s="13"/>
      <c r="H97" s="10"/>
      <c r="I97" s="7"/>
      <c r="J97" s="7"/>
      <c r="K97" s="7"/>
      <c r="L97" s="7"/>
      <c r="M97" s="7"/>
      <c r="N97" s="7">
        <f t="shared" si="1"/>
        <v>1</v>
      </c>
      <c r="O97" s="7"/>
    </row>
    <row r="98">
      <c r="A98" s="8" t="s">
        <v>423</v>
      </c>
      <c r="B98" s="9" t="s">
        <v>424</v>
      </c>
      <c r="C98" s="10"/>
      <c r="D98" s="18" t="s">
        <v>257</v>
      </c>
      <c r="E98" s="10"/>
      <c r="F98" s="12" t="s">
        <v>425</v>
      </c>
      <c r="G98" s="13"/>
      <c r="H98" s="10"/>
      <c r="I98" s="7"/>
      <c r="J98" s="7"/>
      <c r="K98" s="7"/>
      <c r="L98" s="7"/>
      <c r="M98" s="7"/>
      <c r="N98" s="7">
        <f t="shared" si="1"/>
        <v>1</v>
      </c>
      <c r="O98" s="7"/>
    </row>
    <row r="99">
      <c r="A99" s="8" t="s">
        <v>429</v>
      </c>
      <c r="B99" s="9" t="s">
        <v>430</v>
      </c>
      <c r="C99" s="10"/>
      <c r="D99" s="11" t="s">
        <v>431</v>
      </c>
      <c r="E99" s="10"/>
      <c r="F99" s="16"/>
      <c r="G99" s="13"/>
      <c r="H99" s="10"/>
      <c r="I99" s="7"/>
      <c r="J99" s="7"/>
      <c r="K99" s="7"/>
      <c r="L99" s="7"/>
      <c r="M99" s="7"/>
      <c r="N99" s="7">
        <f t="shared" si="1"/>
        <v>0</v>
      </c>
      <c r="O99" s="7"/>
    </row>
    <row r="100">
      <c r="A100" s="8" t="s">
        <v>432</v>
      </c>
      <c r="B100" s="9" t="s">
        <v>433</v>
      </c>
      <c r="C100" s="10"/>
      <c r="D100" s="11" t="s">
        <v>434</v>
      </c>
      <c r="E100" s="10"/>
      <c r="F100" s="12" t="s">
        <v>435</v>
      </c>
      <c r="G100" s="13"/>
      <c r="H100" s="10"/>
      <c r="I100" s="7"/>
      <c r="J100" s="7"/>
      <c r="K100" s="7"/>
      <c r="L100" s="7"/>
      <c r="M100" s="7"/>
      <c r="N100" s="7">
        <f t="shared" si="1"/>
        <v>1</v>
      </c>
      <c r="O100" s="7"/>
    </row>
    <row r="101">
      <c r="A101" s="8" t="s">
        <v>436</v>
      </c>
      <c r="B101" s="9" t="s">
        <v>437</v>
      </c>
      <c r="C101" s="10"/>
      <c r="D101" s="11" t="s">
        <v>438</v>
      </c>
      <c r="E101" s="10"/>
      <c r="F101" s="12" t="s">
        <v>144</v>
      </c>
      <c r="G101" s="13"/>
      <c r="H101" s="10"/>
      <c r="I101" s="7"/>
      <c r="J101" s="7"/>
      <c r="K101" s="7"/>
      <c r="L101" s="7"/>
      <c r="M101" s="7"/>
      <c r="N101" s="7">
        <f t="shared" si="1"/>
        <v>1</v>
      </c>
      <c r="O101" s="7"/>
    </row>
    <row r="102">
      <c r="A102" s="8" t="s">
        <v>440</v>
      </c>
      <c r="B102" s="9" t="s">
        <v>442</v>
      </c>
      <c r="C102" s="10"/>
      <c r="D102" s="18" t="s">
        <v>443</v>
      </c>
      <c r="E102" s="10"/>
      <c r="F102" s="12" t="s">
        <v>444</v>
      </c>
      <c r="G102" s="13"/>
      <c r="H102" s="10"/>
      <c r="I102" s="7"/>
      <c r="J102" s="7"/>
      <c r="K102" s="7"/>
      <c r="L102" s="7"/>
      <c r="M102" s="7"/>
      <c r="N102" s="7">
        <f t="shared" si="1"/>
        <v>1</v>
      </c>
      <c r="O102" s="7"/>
    </row>
    <row r="103">
      <c r="A103" s="8" t="s">
        <v>446</v>
      </c>
      <c r="B103" s="9" t="s">
        <v>447</v>
      </c>
      <c r="C103" s="10"/>
      <c r="D103" s="18" t="s">
        <v>448</v>
      </c>
      <c r="E103" s="10"/>
      <c r="F103" s="12" t="s">
        <v>77</v>
      </c>
      <c r="G103" s="13"/>
      <c r="H103" s="10"/>
      <c r="I103" s="7"/>
      <c r="J103" s="7"/>
      <c r="K103" s="7"/>
      <c r="L103" s="7"/>
      <c r="M103" s="7"/>
      <c r="N103" s="7">
        <f t="shared" si="1"/>
        <v>1</v>
      </c>
      <c r="O103" s="7"/>
    </row>
    <row r="104">
      <c r="A104" s="8" t="s">
        <v>449</v>
      </c>
      <c r="B104" s="9" t="s">
        <v>451</v>
      </c>
      <c r="C104" s="10"/>
      <c r="D104" s="9" t="s">
        <v>452</v>
      </c>
      <c r="E104" s="10"/>
      <c r="F104" s="16"/>
      <c r="G104" s="13"/>
      <c r="H104" s="10"/>
      <c r="I104" s="7"/>
      <c r="J104" s="7"/>
      <c r="K104" s="7"/>
      <c r="L104" s="7"/>
      <c r="M104" s="7"/>
      <c r="N104" s="7">
        <f t="shared" si="1"/>
        <v>0</v>
      </c>
      <c r="O104" s="7"/>
    </row>
    <row r="105">
      <c r="A105" s="8" t="s">
        <v>453</v>
      </c>
      <c r="B105" s="9" t="s">
        <v>454</v>
      </c>
      <c r="C105" s="10"/>
      <c r="D105" s="19" t="s">
        <v>1898</v>
      </c>
      <c r="E105" s="10"/>
      <c r="F105" s="12" t="s">
        <v>1899</v>
      </c>
      <c r="G105" s="13"/>
      <c r="H105" s="10"/>
      <c r="I105" s="7"/>
      <c r="J105" s="7"/>
      <c r="K105" s="7"/>
      <c r="L105" s="7"/>
      <c r="M105" s="7"/>
      <c r="N105" s="7">
        <f t="shared" si="1"/>
        <v>1</v>
      </c>
      <c r="O105" s="7"/>
    </row>
    <row r="106">
      <c r="A106" s="8" t="s">
        <v>457</v>
      </c>
      <c r="B106" s="9" t="s">
        <v>458</v>
      </c>
      <c r="C106" s="10"/>
      <c r="D106" s="18" t="s">
        <v>459</v>
      </c>
      <c r="E106" s="10"/>
      <c r="F106" s="12" t="s">
        <v>460</v>
      </c>
      <c r="G106" s="13"/>
      <c r="H106" s="10"/>
      <c r="I106" s="7"/>
      <c r="J106" s="7"/>
      <c r="K106" s="7"/>
      <c r="L106" s="7"/>
      <c r="M106" s="7"/>
      <c r="N106" s="7">
        <f t="shared" si="1"/>
        <v>1</v>
      </c>
      <c r="O106" s="7"/>
    </row>
    <row r="107">
      <c r="A107" s="8" t="s">
        <v>462</v>
      </c>
      <c r="B107" s="9" t="s">
        <v>463</v>
      </c>
      <c r="C107" s="10"/>
      <c r="D107" s="18" t="s">
        <v>464</v>
      </c>
      <c r="E107" s="10"/>
      <c r="F107" s="12" t="s">
        <v>465</v>
      </c>
      <c r="G107" s="13"/>
      <c r="H107" s="10"/>
      <c r="I107" s="7"/>
      <c r="J107" s="7"/>
      <c r="K107" s="7"/>
      <c r="L107" s="7"/>
      <c r="M107" s="7"/>
      <c r="N107" s="7">
        <f t="shared" si="1"/>
        <v>1</v>
      </c>
      <c r="O107" s="7"/>
    </row>
    <row r="108">
      <c r="A108" s="8" t="s">
        <v>467</v>
      </c>
      <c r="B108" s="9" t="s">
        <v>468</v>
      </c>
      <c r="C108" s="10"/>
      <c r="D108" s="19" t="s">
        <v>1901</v>
      </c>
      <c r="E108" s="10"/>
      <c r="F108" s="12" t="s">
        <v>1855</v>
      </c>
      <c r="G108" s="13"/>
      <c r="H108" s="10"/>
      <c r="I108" s="7"/>
      <c r="J108" s="7"/>
      <c r="K108" s="7"/>
      <c r="L108" s="7"/>
      <c r="M108" s="7"/>
      <c r="N108" s="7">
        <f t="shared" si="1"/>
        <v>1</v>
      </c>
      <c r="O108" s="7"/>
    </row>
    <row r="109">
      <c r="A109" s="8" t="s">
        <v>471</v>
      </c>
      <c r="B109" s="9" t="s">
        <v>472</v>
      </c>
      <c r="C109" s="10"/>
      <c r="D109" s="18" t="s">
        <v>473</v>
      </c>
      <c r="E109" s="10"/>
      <c r="F109" s="16"/>
      <c r="G109" s="13"/>
      <c r="H109" s="10"/>
      <c r="I109" s="7"/>
      <c r="J109" s="7"/>
      <c r="K109" s="7"/>
      <c r="L109" s="7"/>
      <c r="M109" s="7"/>
      <c r="N109" s="7">
        <f t="shared" si="1"/>
        <v>0</v>
      </c>
      <c r="O109" s="7"/>
    </row>
    <row r="110">
      <c r="A110" s="8" t="s">
        <v>476</v>
      </c>
      <c r="B110" s="9" t="s">
        <v>478</v>
      </c>
      <c r="C110" s="10"/>
      <c r="D110" s="19" t="s">
        <v>1902</v>
      </c>
      <c r="E110" s="10"/>
      <c r="F110" s="12" t="s">
        <v>480</v>
      </c>
      <c r="G110" s="13"/>
      <c r="H110" s="10"/>
      <c r="I110" s="7"/>
      <c r="J110" s="7"/>
      <c r="K110" s="7"/>
      <c r="L110" s="7"/>
      <c r="M110" s="7"/>
      <c r="N110" s="7">
        <f t="shared" si="1"/>
        <v>1</v>
      </c>
      <c r="O110" s="7"/>
    </row>
    <row r="111">
      <c r="A111" s="8" t="s">
        <v>482</v>
      </c>
      <c r="B111" s="9" t="s">
        <v>483</v>
      </c>
      <c r="C111" s="10"/>
      <c r="D111" s="11" t="s">
        <v>7</v>
      </c>
      <c r="E111" s="10"/>
      <c r="F111" s="12" t="s">
        <v>484</v>
      </c>
      <c r="G111" s="13"/>
      <c r="H111" s="10"/>
      <c r="I111" s="7"/>
      <c r="J111" s="7"/>
      <c r="K111" s="7"/>
      <c r="L111" s="7"/>
      <c r="M111" s="7"/>
      <c r="N111" s="7">
        <f t="shared" si="1"/>
        <v>1</v>
      </c>
      <c r="O111" s="7"/>
    </row>
    <row r="112">
      <c r="A112" s="8" t="s">
        <v>485</v>
      </c>
      <c r="B112" s="9" t="s">
        <v>487</v>
      </c>
      <c r="C112" s="10"/>
      <c r="D112" s="9" t="s">
        <v>488</v>
      </c>
      <c r="E112" s="10"/>
      <c r="F112" s="16"/>
      <c r="G112" s="13"/>
      <c r="H112" s="10"/>
      <c r="I112" s="7"/>
      <c r="J112" s="7"/>
      <c r="K112" s="7"/>
      <c r="L112" s="7"/>
      <c r="M112" s="7"/>
      <c r="N112" s="7">
        <f t="shared" si="1"/>
        <v>0</v>
      </c>
      <c r="O112" s="7"/>
    </row>
    <row r="113">
      <c r="A113" s="8" t="s">
        <v>489</v>
      </c>
      <c r="B113" s="15" t="s">
        <v>490</v>
      </c>
      <c r="C113" s="10"/>
      <c r="D113" s="11" t="s">
        <v>491</v>
      </c>
      <c r="E113" s="10"/>
      <c r="F113" s="12" t="s">
        <v>493</v>
      </c>
      <c r="G113" s="13"/>
      <c r="H113" s="10"/>
      <c r="I113" s="7"/>
      <c r="J113" s="7"/>
      <c r="K113" s="7"/>
      <c r="L113" s="7"/>
      <c r="M113" s="7"/>
      <c r="N113" s="7">
        <f t="shared" si="1"/>
        <v>1</v>
      </c>
      <c r="O113" s="7"/>
    </row>
    <row r="114">
      <c r="A114" s="8" t="s">
        <v>494</v>
      </c>
      <c r="B114" s="9" t="s">
        <v>495</v>
      </c>
      <c r="C114" s="10"/>
      <c r="D114" s="18" t="s">
        <v>496</v>
      </c>
      <c r="E114" s="10"/>
      <c r="F114" s="16"/>
      <c r="G114" s="13"/>
      <c r="H114" s="10"/>
      <c r="I114" s="7"/>
      <c r="J114" s="7"/>
      <c r="K114" s="7"/>
      <c r="L114" s="7"/>
      <c r="M114" s="7"/>
      <c r="N114" s="7">
        <f t="shared" si="1"/>
        <v>0</v>
      </c>
      <c r="O114" s="7"/>
    </row>
    <row r="115">
      <c r="A115" s="8" t="s">
        <v>497</v>
      </c>
      <c r="B115" s="9" t="s">
        <v>498</v>
      </c>
      <c r="C115" s="10"/>
      <c r="D115" s="11" t="s">
        <v>141</v>
      </c>
      <c r="E115" s="10"/>
      <c r="F115" s="12" t="s">
        <v>144</v>
      </c>
      <c r="G115" s="13"/>
      <c r="H115" s="10"/>
      <c r="I115" s="7"/>
      <c r="J115" s="7"/>
      <c r="K115" s="7"/>
      <c r="L115" s="7"/>
      <c r="M115" s="7"/>
      <c r="N115" s="7">
        <f t="shared" si="1"/>
        <v>1</v>
      </c>
      <c r="O115" s="7"/>
    </row>
    <row r="116">
      <c r="A116" s="8" t="s">
        <v>499</v>
      </c>
      <c r="B116" s="9" t="s">
        <v>184</v>
      </c>
      <c r="C116" s="10"/>
      <c r="D116" s="18" t="s">
        <v>500</v>
      </c>
      <c r="E116" s="10"/>
      <c r="F116" s="16"/>
      <c r="G116" s="13"/>
      <c r="H116" s="10"/>
      <c r="I116" s="7"/>
      <c r="J116" s="7"/>
      <c r="K116" s="7"/>
      <c r="L116" s="7"/>
      <c r="M116" s="7"/>
      <c r="N116" s="7">
        <f t="shared" si="1"/>
        <v>0</v>
      </c>
      <c r="O116" s="7"/>
    </row>
    <row r="117">
      <c r="A117" s="8" t="s">
        <v>501</v>
      </c>
      <c r="B117" s="9" t="s">
        <v>502</v>
      </c>
      <c r="C117" s="10"/>
      <c r="D117" s="19" t="s">
        <v>1905</v>
      </c>
      <c r="E117" s="10"/>
      <c r="F117" s="12" t="s">
        <v>504</v>
      </c>
      <c r="G117" s="13"/>
      <c r="H117" s="10"/>
      <c r="I117" s="7"/>
      <c r="J117" s="7"/>
      <c r="K117" s="7"/>
      <c r="L117" s="7"/>
      <c r="M117" s="7"/>
      <c r="N117" s="7">
        <f t="shared" si="1"/>
        <v>1</v>
      </c>
      <c r="O117" s="7"/>
    </row>
    <row r="118">
      <c r="A118" s="8" t="s">
        <v>505</v>
      </c>
      <c r="B118" s="9" t="s">
        <v>506</v>
      </c>
      <c r="C118" s="10"/>
      <c r="D118" s="11" t="s">
        <v>7</v>
      </c>
      <c r="E118" s="10"/>
      <c r="F118" s="12" t="s">
        <v>507</v>
      </c>
      <c r="G118" s="13"/>
      <c r="H118" s="10"/>
      <c r="I118" s="7"/>
      <c r="J118" s="7"/>
      <c r="K118" s="7"/>
      <c r="L118" s="7"/>
      <c r="M118" s="7"/>
      <c r="N118" s="7">
        <f t="shared" si="1"/>
        <v>1</v>
      </c>
      <c r="O118" s="7"/>
    </row>
    <row r="119">
      <c r="A119" s="8" t="s">
        <v>508</v>
      </c>
      <c r="B119" s="9" t="s">
        <v>510</v>
      </c>
      <c r="C119" s="10"/>
      <c r="D119" s="11" t="s">
        <v>7</v>
      </c>
      <c r="E119" s="10"/>
      <c r="F119" s="12" t="s">
        <v>512</v>
      </c>
      <c r="G119" s="13"/>
      <c r="H119" s="10"/>
      <c r="I119" s="7"/>
      <c r="J119" s="7"/>
      <c r="K119" s="7"/>
      <c r="L119" s="7"/>
      <c r="M119" s="7"/>
      <c r="N119" s="7">
        <f t="shared" si="1"/>
        <v>1</v>
      </c>
      <c r="O119" s="7"/>
    </row>
    <row r="120">
      <c r="A120" s="8" t="s">
        <v>513</v>
      </c>
      <c r="B120" s="9" t="s">
        <v>514</v>
      </c>
      <c r="C120" s="10"/>
      <c r="D120" s="18" t="s">
        <v>464</v>
      </c>
      <c r="E120" s="10"/>
      <c r="F120" s="12" t="s">
        <v>515</v>
      </c>
      <c r="G120" s="13"/>
      <c r="H120" s="10"/>
      <c r="I120" s="7"/>
      <c r="J120" s="7"/>
      <c r="K120" s="7"/>
      <c r="L120" s="7"/>
      <c r="M120" s="7"/>
      <c r="N120" s="7">
        <f t="shared" si="1"/>
        <v>1</v>
      </c>
      <c r="O120" s="7"/>
    </row>
    <row r="121">
      <c r="A121" s="8" t="s">
        <v>516</v>
      </c>
      <c r="B121" s="9" t="s">
        <v>517</v>
      </c>
      <c r="C121" s="10"/>
      <c r="D121" s="21" t="s">
        <v>1908</v>
      </c>
      <c r="E121" s="10"/>
      <c r="F121" s="12" t="s">
        <v>1909</v>
      </c>
      <c r="G121" s="13"/>
      <c r="H121" s="10"/>
      <c r="I121" s="7"/>
      <c r="J121" s="7"/>
      <c r="K121" s="7"/>
      <c r="L121" s="7"/>
      <c r="M121" s="7"/>
      <c r="N121" s="7">
        <f t="shared" si="1"/>
        <v>1</v>
      </c>
      <c r="O121" s="7"/>
    </row>
    <row r="122">
      <c r="A122" s="8" t="s">
        <v>521</v>
      </c>
      <c r="B122" s="9" t="s">
        <v>522</v>
      </c>
      <c r="C122" s="10"/>
      <c r="D122" s="18" t="s">
        <v>523</v>
      </c>
      <c r="E122" s="10"/>
      <c r="F122" s="12" t="s">
        <v>524</v>
      </c>
      <c r="G122" s="13"/>
      <c r="H122" s="10"/>
      <c r="I122" s="7"/>
      <c r="J122" s="7"/>
      <c r="K122" s="7"/>
      <c r="L122" s="7"/>
      <c r="M122" s="7"/>
      <c r="N122" s="7">
        <f t="shared" si="1"/>
        <v>1</v>
      </c>
      <c r="O122" s="7"/>
    </row>
    <row r="123">
      <c r="A123" s="8" t="s">
        <v>156</v>
      </c>
      <c r="B123" s="9" t="s">
        <v>156</v>
      </c>
      <c r="C123" s="10"/>
      <c r="D123" s="18" t="s">
        <v>573</v>
      </c>
      <c r="E123" s="10"/>
      <c r="F123" s="16"/>
      <c r="G123" s="13"/>
      <c r="H123" s="10"/>
      <c r="I123" s="7"/>
      <c r="J123" s="7"/>
      <c r="K123" s="7"/>
      <c r="L123" s="7"/>
      <c r="M123" s="7"/>
      <c r="N123" s="7">
        <f t="shared" si="1"/>
        <v>0</v>
      </c>
      <c r="O123" s="7"/>
    </row>
    <row r="124">
      <c r="A124" s="7"/>
      <c r="B124" s="7"/>
      <c r="C124" s="7"/>
      <c r="D124" s="7"/>
      <c r="E124" s="7"/>
      <c r="F124" s="7"/>
      <c r="G124" s="7"/>
      <c r="H124" s="7"/>
      <c r="I124" s="7"/>
      <c r="J124" s="7"/>
      <c r="K124" s="7"/>
      <c r="L124" s="7"/>
      <c r="M124" s="7"/>
      <c r="N124" s="7"/>
      <c r="O124" s="7">
        <f>SUM(N3:N124)</f>
        <v>94</v>
      </c>
      <c r="P124" s="7"/>
      <c r="Q124" s="7"/>
      <c r="R124" s="7"/>
      <c r="S124" s="7"/>
      <c r="T124" s="7"/>
      <c r="U124" s="7"/>
      <c r="V124" s="7"/>
      <c r="W124" s="7"/>
      <c r="X124" s="7"/>
      <c r="Y124" s="7"/>
      <c r="Z124" s="7"/>
    </row>
    <row r="125">
      <c r="A125" s="25" t="s">
        <v>576</v>
      </c>
      <c r="B125" s="25" t="s">
        <v>577</v>
      </c>
      <c r="C125" s="25" t="s">
        <v>578</v>
      </c>
      <c r="D125" s="25" t="s">
        <v>579</v>
      </c>
      <c r="E125" s="25" t="s">
        <v>580</v>
      </c>
      <c r="F125" s="25" t="s">
        <v>581</v>
      </c>
      <c r="G125" s="25"/>
      <c r="H125" s="25"/>
      <c r="I125" s="7"/>
      <c r="J125" s="7"/>
      <c r="K125" s="7"/>
      <c r="L125" s="7"/>
      <c r="M125" s="7"/>
      <c r="N125" s="7"/>
      <c r="O125" s="7"/>
    </row>
    <row r="126">
      <c r="A126" s="26" t="s">
        <v>582</v>
      </c>
      <c r="B126" s="26" t="s">
        <v>583</v>
      </c>
      <c r="C126" s="26" t="s">
        <v>584</v>
      </c>
      <c r="D126" s="27"/>
      <c r="E126" s="28" t="s">
        <v>585</v>
      </c>
      <c r="F126" s="29"/>
      <c r="G126" s="13"/>
      <c r="H126" s="10"/>
      <c r="I126" s="7"/>
      <c r="J126" s="7"/>
      <c r="K126" s="7"/>
      <c r="L126" s="7"/>
      <c r="M126" s="7"/>
      <c r="N126" s="7">
        <f t="shared" ref="N126:N318" si="2"> IF(ISBLANK(F126), 0, 1)</f>
        <v>0</v>
      </c>
      <c r="O126" s="7"/>
    </row>
    <row r="127">
      <c r="A127" s="26" t="s">
        <v>587</v>
      </c>
      <c r="B127" s="26" t="s">
        <v>588</v>
      </c>
      <c r="C127" s="26" t="s">
        <v>589</v>
      </c>
      <c r="D127" s="27"/>
      <c r="E127" s="28" t="s">
        <v>591</v>
      </c>
      <c r="F127" s="30" t="s">
        <v>592</v>
      </c>
      <c r="G127" s="13"/>
      <c r="H127" s="10"/>
      <c r="I127" s="7"/>
      <c r="J127" s="7"/>
      <c r="K127" s="7"/>
      <c r="L127" s="7"/>
      <c r="M127" s="7"/>
      <c r="N127" s="7">
        <f t="shared" si="2"/>
        <v>1</v>
      </c>
      <c r="O127" s="7"/>
    </row>
    <row r="128">
      <c r="A128" s="26" t="s">
        <v>596</v>
      </c>
      <c r="B128" s="26" t="s">
        <v>597</v>
      </c>
      <c r="C128" s="26" t="s">
        <v>589</v>
      </c>
      <c r="D128" s="26" t="s">
        <v>598</v>
      </c>
      <c r="E128" s="28" t="s">
        <v>599</v>
      </c>
      <c r="F128" s="29"/>
      <c r="G128" s="13"/>
      <c r="H128" s="10"/>
      <c r="I128" s="7"/>
      <c r="J128" s="7"/>
      <c r="K128" s="7"/>
      <c r="L128" s="7"/>
      <c r="M128" s="7"/>
      <c r="N128" s="7">
        <f t="shared" si="2"/>
        <v>0</v>
      </c>
      <c r="O128" s="7"/>
    </row>
    <row r="129">
      <c r="A129" s="26" t="s">
        <v>602</v>
      </c>
      <c r="B129" s="31" t="s">
        <v>603</v>
      </c>
      <c r="C129" s="26" t="s">
        <v>589</v>
      </c>
      <c r="D129" s="27"/>
      <c r="E129" s="32" t="s">
        <v>604</v>
      </c>
      <c r="F129" s="30" t="s">
        <v>1910</v>
      </c>
      <c r="G129" s="13"/>
      <c r="H129" s="10"/>
      <c r="I129" s="7"/>
      <c r="J129" s="7"/>
      <c r="K129" s="7"/>
      <c r="L129" s="7"/>
      <c r="M129" s="7"/>
      <c r="N129" s="7">
        <f t="shared" si="2"/>
        <v>1</v>
      </c>
      <c r="O129" s="7"/>
    </row>
    <row r="130">
      <c r="A130" s="26" t="s">
        <v>606</v>
      </c>
      <c r="B130" s="26" t="s">
        <v>607</v>
      </c>
      <c r="C130" s="26" t="s">
        <v>584</v>
      </c>
      <c r="D130" s="27"/>
      <c r="E130" s="32" t="s">
        <v>608</v>
      </c>
      <c r="F130" s="30" t="s">
        <v>1911</v>
      </c>
      <c r="G130" s="13"/>
      <c r="H130" s="10"/>
      <c r="I130" s="7"/>
      <c r="J130" s="7"/>
      <c r="K130" s="7"/>
      <c r="L130" s="7"/>
      <c r="M130" s="7"/>
      <c r="N130" s="7">
        <f t="shared" si="2"/>
        <v>1</v>
      </c>
      <c r="O130" s="7"/>
    </row>
    <row r="131">
      <c r="A131" s="26" t="s">
        <v>610</v>
      </c>
      <c r="B131" s="31" t="s">
        <v>611</v>
      </c>
      <c r="C131" s="26" t="s">
        <v>589</v>
      </c>
      <c r="D131" s="27"/>
      <c r="E131" s="28" t="s">
        <v>612</v>
      </c>
      <c r="F131" s="30" t="s">
        <v>613</v>
      </c>
      <c r="G131" s="13"/>
      <c r="H131" s="10"/>
      <c r="I131" s="7"/>
      <c r="J131" s="7"/>
      <c r="K131" s="7"/>
      <c r="L131" s="7"/>
      <c r="M131" s="7"/>
      <c r="N131" s="7">
        <f t="shared" si="2"/>
        <v>1</v>
      </c>
      <c r="O131" s="7"/>
    </row>
    <row r="132">
      <c r="A132" s="26" t="s">
        <v>614</v>
      </c>
      <c r="B132" s="31" t="s">
        <v>615</v>
      </c>
      <c r="C132" s="26" t="s">
        <v>589</v>
      </c>
      <c r="D132" s="27"/>
      <c r="E132" s="28" t="s">
        <v>616</v>
      </c>
      <c r="F132" s="30" t="s">
        <v>617</v>
      </c>
      <c r="G132" s="13"/>
      <c r="H132" s="10"/>
      <c r="I132" s="7"/>
      <c r="J132" s="7"/>
      <c r="K132" s="7"/>
      <c r="L132" s="7"/>
      <c r="M132" s="7"/>
      <c r="N132" s="7">
        <f t="shared" si="2"/>
        <v>1</v>
      </c>
      <c r="O132" s="7"/>
    </row>
    <row r="133">
      <c r="A133" s="31" t="s">
        <v>614</v>
      </c>
      <c r="B133" s="26" t="s">
        <v>618</v>
      </c>
      <c r="C133" s="26" t="s">
        <v>589</v>
      </c>
      <c r="D133" s="27"/>
      <c r="E133" s="28" t="s">
        <v>619</v>
      </c>
      <c r="F133" s="30" t="s">
        <v>617</v>
      </c>
      <c r="G133" s="13"/>
      <c r="H133" s="10"/>
      <c r="I133" s="7"/>
      <c r="J133" s="7"/>
      <c r="K133" s="7"/>
      <c r="L133" s="7"/>
      <c r="M133" s="7"/>
      <c r="N133" s="7">
        <f t="shared" si="2"/>
        <v>1</v>
      </c>
      <c r="O133" s="7"/>
    </row>
    <row r="134">
      <c r="A134" s="31" t="s">
        <v>614</v>
      </c>
      <c r="B134" s="26" t="s">
        <v>615</v>
      </c>
      <c r="C134" s="26" t="s">
        <v>589</v>
      </c>
      <c r="D134" s="27"/>
      <c r="E134" s="28" t="s">
        <v>620</v>
      </c>
      <c r="F134" s="30" t="s">
        <v>617</v>
      </c>
      <c r="G134" s="13"/>
      <c r="H134" s="10"/>
      <c r="I134" s="7"/>
      <c r="J134" s="7"/>
      <c r="K134" s="7"/>
      <c r="L134" s="7"/>
      <c r="M134" s="7"/>
      <c r="N134" s="7">
        <f t="shared" si="2"/>
        <v>1</v>
      </c>
      <c r="O134" s="7"/>
    </row>
    <row r="135">
      <c r="A135" s="26" t="s">
        <v>623</v>
      </c>
      <c r="B135" s="26" t="s">
        <v>624</v>
      </c>
      <c r="C135" s="26" t="s">
        <v>584</v>
      </c>
      <c r="D135" s="33" t="s">
        <v>1912</v>
      </c>
      <c r="E135" s="28" t="s">
        <v>626</v>
      </c>
      <c r="F135" s="30" t="s">
        <v>1913</v>
      </c>
      <c r="G135" s="13"/>
      <c r="H135" s="10"/>
      <c r="I135" s="7"/>
      <c r="J135" s="7"/>
      <c r="K135" s="7"/>
      <c r="L135" s="7"/>
      <c r="M135" s="7"/>
      <c r="N135" s="7">
        <f t="shared" si="2"/>
        <v>1</v>
      </c>
      <c r="O135" s="7"/>
    </row>
    <row r="136">
      <c r="A136" s="26" t="s">
        <v>628</v>
      </c>
      <c r="B136" s="26" t="s">
        <v>629</v>
      </c>
      <c r="C136" s="26" t="s">
        <v>589</v>
      </c>
      <c r="D136" s="27"/>
      <c r="E136" s="28" t="s">
        <v>630</v>
      </c>
      <c r="F136" s="30" t="s">
        <v>1914</v>
      </c>
      <c r="G136" s="13"/>
      <c r="H136" s="10"/>
      <c r="I136" s="7"/>
      <c r="J136" s="7"/>
      <c r="K136" s="7"/>
      <c r="L136" s="7"/>
      <c r="M136" s="7"/>
      <c r="N136" s="7">
        <f t="shared" si="2"/>
        <v>1</v>
      </c>
      <c r="O136" s="7"/>
    </row>
    <row r="137">
      <c r="A137" s="26" t="s">
        <v>633</v>
      </c>
      <c r="B137" s="26" t="s">
        <v>634</v>
      </c>
      <c r="C137" s="26" t="s">
        <v>584</v>
      </c>
      <c r="D137" s="26" t="s">
        <v>635</v>
      </c>
      <c r="E137" s="28" t="s">
        <v>636</v>
      </c>
      <c r="F137" s="29"/>
      <c r="G137" s="13"/>
      <c r="H137" s="10"/>
      <c r="I137" s="7"/>
      <c r="J137" s="7"/>
      <c r="K137" s="7"/>
      <c r="L137" s="7"/>
      <c r="M137" s="7"/>
      <c r="N137" s="7">
        <f t="shared" si="2"/>
        <v>0</v>
      </c>
      <c r="O137" s="7"/>
    </row>
    <row r="138">
      <c r="A138" s="31" t="s">
        <v>637</v>
      </c>
      <c r="B138" s="26" t="s">
        <v>638</v>
      </c>
      <c r="C138" s="26" t="s">
        <v>589</v>
      </c>
      <c r="D138" s="27"/>
      <c r="E138" s="33" t="s">
        <v>1916</v>
      </c>
      <c r="F138" s="30" t="s">
        <v>640</v>
      </c>
      <c r="G138" s="13"/>
      <c r="H138" s="10"/>
      <c r="I138" s="7"/>
      <c r="J138" s="7"/>
      <c r="K138" s="7"/>
      <c r="L138" s="7"/>
      <c r="M138" s="7"/>
      <c r="N138" s="7">
        <f t="shared" si="2"/>
        <v>1</v>
      </c>
      <c r="O138" s="7"/>
    </row>
    <row r="139">
      <c r="A139" s="26" t="s">
        <v>641</v>
      </c>
      <c r="B139" s="26" t="s">
        <v>642</v>
      </c>
      <c r="C139" s="26" t="s">
        <v>589</v>
      </c>
      <c r="D139" s="27"/>
      <c r="E139" s="28" t="s">
        <v>643</v>
      </c>
      <c r="F139" s="30" t="s">
        <v>1876</v>
      </c>
      <c r="G139" s="13"/>
      <c r="H139" s="10"/>
      <c r="I139" s="7"/>
      <c r="J139" s="7"/>
      <c r="K139" s="7"/>
      <c r="L139" s="7"/>
      <c r="M139" s="7"/>
      <c r="N139" s="7">
        <f t="shared" si="2"/>
        <v>1</v>
      </c>
      <c r="O139" s="7"/>
    </row>
    <row r="140">
      <c r="A140" s="26" t="s">
        <v>646</v>
      </c>
      <c r="B140" s="26" t="s">
        <v>647</v>
      </c>
      <c r="C140" s="26" t="s">
        <v>648</v>
      </c>
      <c r="D140" s="27"/>
      <c r="E140" s="28" t="s">
        <v>649</v>
      </c>
      <c r="F140" s="29"/>
      <c r="G140" s="13"/>
      <c r="H140" s="10"/>
      <c r="I140" s="7"/>
      <c r="J140" s="7"/>
      <c r="K140" s="7"/>
      <c r="L140" s="7"/>
      <c r="M140" s="7"/>
      <c r="N140" s="7">
        <f t="shared" si="2"/>
        <v>0</v>
      </c>
      <c r="O140" s="7"/>
    </row>
    <row r="141">
      <c r="A141" s="26" t="s">
        <v>650</v>
      </c>
      <c r="B141" s="26" t="s">
        <v>651</v>
      </c>
      <c r="C141" s="26" t="s">
        <v>589</v>
      </c>
      <c r="D141" s="27"/>
      <c r="E141" s="28" t="s">
        <v>652</v>
      </c>
      <c r="F141" s="29"/>
      <c r="G141" s="13"/>
      <c r="H141" s="10"/>
      <c r="I141" s="7"/>
      <c r="J141" s="7"/>
      <c r="K141" s="7"/>
      <c r="L141" s="7"/>
      <c r="M141" s="7"/>
      <c r="N141" s="7">
        <f t="shared" si="2"/>
        <v>0</v>
      </c>
      <c r="O141" s="7"/>
    </row>
    <row r="142">
      <c r="A142" s="26" t="s">
        <v>654</v>
      </c>
      <c r="B142" s="26" t="s">
        <v>655</v>
      </c>
      <c r="C142" s="26" t="s">
        <v>589</v>
      </c>
      <c r="D142" s="26" t="s">
        <v>635</v>
      </c>
      <c r="E142" s="28" t="s">
        <v>656</v>
      </c>
      <c r="F142" s="29"/>
      <c r="G142" s="13"/>
      <c r="H142" s="10"/>
      <c r="I142" s="7"/>
      <c r="J142" s="7"/>
      <c r="K142" s="7"/>
      <c r="L142" s="7"/>
      <c r="M142" s="7"/>
      <c r="N142" s="7">
        <f t="shared" si="2"/>
        <v>0</v>
      </c>
      <c r="O142" s="7"/>
    </row>
    <row r="143">
      <c r="A143" s="26" t="s">
        <v>657</v>
      </c>
      <c r="B143" s="26" t="s">
        <v>658</v>
      </c>
      <c r="C143" s="26" t="s">
        <v>589</v>
      </c>
      <c r="D143" s="27"/>
      <c r="E143" s="28" t="s">
        <v>659</v>
      </c>
      <c r="F143" s="29"/>
      <c r="G143" s="13"/>
      <c r="H143" s="10"/>
      <c r="I143" s="7"/>
      <c r="J143" s="7"/>
      <c r="K143" s="7"/>
      <c r="L143" s="7"/>
      <c r="M143" s="7"/>
      <c r="N143" s="7">
        <f t="shared" si="2"/>
        <v>0</v>
      </c>
      <c r="O143" s="7"/>
    </row>
    <row r="144">
      <c r="A144" s="26" t="s">
        <v>660</v>
      </c>
      <c r="B144" s="26" t="s">
        <v>661</v>
      </c>
      <c r="C144" s="26" t="s">
        <v>589</v>
      </c>
      <c r="D144" s="27"/>
      <c r="E144" s="33" t="s">
        <v>1918</v>
      </c>
      <c r="F144" s="30" t="s">
        <v>663</v>
      </c>
      <c r="G144" s="13"/>
      <c r="H144" s="10"/>
      <c r="I144" s="7"/>
      <c r="J144" s="7"/>
      <c r="K144" s="7"/>
      <c r="L144" s="7"/>
      <c r="M144" s="7"/>
      <c r="N144" s="7">
        <f t="shared" si="2"/>
        <v>1</v>
      </c>
      <c r="O144" s="7"/>
    </row>
    <row r="145">
      <c r="A145" s="26" t="s">
        <v>664</v>
      </c>
      <c r="B145" s="26" t="s">
        <v>665</v>
      </c>
      <c r="C145" s="26" t="s">
        <v>589</v>
      </c>
      <c r="D145" s="27"/>
      <c r="E145" s="28" t="s">
        <v>666</v>
      </c>
      <c r="F145" s="30" t="s">
        <v>667</v>
      </c>
      <c r="G145" s="13"/>
      <c r="H145" s="10"/>
      <c r="I145" s="7"/>
      <c r="J145" s="7"/>
      <c r="K145" s="7"/>
      <c r="L145" s="7"/>
      <c r="M145" s="7"/>
      <c r="N145" s="7">
        <f t="shared" si="2"/>
        <v>1</v>
      </c>
      <c r="O145" s="7"/>
    </row>
    <row r="146">
      <c r="A146" s="26" t="s">
        <v>668</v>
      </c>
      <c r="B146" s="26" t="s">
        <v>669</v>
      </c>
      <c r="C146" s="26" t="s">
        <v>589</v>
      </c>
      <c r="D146" s="26" t="s">
        <v>598</v>
      </c>
      <c r="E146" s="28" t="s">
        <v>670</v>
      </c>
      <c r="F146" s="30" t="s">
        <v>671</v>
      </c>
      <c r="G146" s="13"/>
      <c r="H146" s="10"/>
      <c r="I146" s="7"/>
      <c r="J146" s="7"/>
      <c r="K146" s="7"/>
      <c r="L146" s="7"/>
      <c r="M146" s="7"/>
      <c r="N146" s="7">
        <f t="shared" si="2"/>
        <v>1</v>
      </c>
      <c r="O146" s="7"/>
    </row>
    <row r="147">
      <c r="A147" s="26" t="s">
        <v>672</v>
      </c>
      <c r="B147" s="26" t="s">
        <v>673</v>
      </c>
      <c r="C147" s="26" t="s">
        <v>589</v>
      </c>
      <c r="D147" s="27"/>
      <c r="E147" s="28" t="s">
        <v>674</v>
      </c>
      <c r="F147" s="29"/>
      <c r="G147" s="13"/>
      <c r="H147" s="10"/>
      <c r="I147" s="7"/>
      <c r="J147" s="7"/>
      <c r="K147" s="7"/>
      <c r="L147" s="7"/>
      <c r="M147" s="7"/>
      <c r="N147" s="7">
        <f t="shared" si="2"/>
        <v>0</v>
      </c>
      <c r="O147" s="7"/>
    </row>
    <row r="148">
      <c r="A148" s="26" t="s">
        <v>676</v>
      </c>
      <c r="B148" s="26" t="s">
        <v>677</v>
      </c>
      <c r="C148" s="26" t="s">
        <v>589</v>
      </c>
      <c r="D148" s="27"/>
      <c r="E148" s="28" t="s">
        <v>678</v>
      </c>
      <c r="F148" s="30" t="s">
        <v>680</v>
      </c>
      <c r="G148" s="13"/>
      <c r="H148" s="10"/>
      <c r="I148" s="7"/>
      <c r="J148" s="7"/>
      <c r="K148" s="7"/>
      <c r="L148" s="7"/>
      <c r="M148" s="7"/>
      <c r="N148" s="7">
        <f t="shared" si="2"/>
        <v>1</v>
      </c>
      <c r="O148" s="7"/>
    </row>
    <row r="149">
      <c r="A149" s="26" t="s">
        <v>681</v>
      </c>
      <c r="B149" s="26" t="s">
        <v>682</v>
      </c>
      <c r="C149" s="26" t="s">
        <v>589</v>
      </c>
      <c r="D149" s="27"/>
      <c r="E149" s="28" t="s">
        <v>683</v>
      </c>
      <c r="F149" s="29"/>
      <c r="G149" s="13"/>
      <c r="H149" s="10"/>
      <c r="I149" s="7"/>
      <c r="J149" s="7"/>
      <c r="K149" s="7"/>
      <c r="L149" s="7"/>
      <c r="M149" s="7"/>
      <c r="N149" s="7">
        <f t="shared" si="2"/>
        <v>0</v>
      </c>
      <c r="O149" s="7"/>
    </row>
    <row r="150">
      <c r="A150" s="31" t="s">
        <v>684</v>
      </c>
      <c r="B150" s="26" t="s">
        <v>685</v>
      </c>
      <c r="C150" s="26" t="s">
        <v>584</v>
      </c>
      <c r="D150" s="27"/>
      <c r="E150" s="31" t="s">
        <v>686</v>
      </c>
      <c r="F150" s="30" t="s">
        <v>687</v>
      </c>
      <c r="G150" s="13"/>
      <c r="H150" s="10"/>
      <c r="I150" s="7"/>
      <c r="J150" s="7"/>
      <c r="K150" s="7"/>
      <c r="L150" s="7"/>
      <c r="M150" s="7"/>
      <c r="N150" s="7">
        <f t="shared" si="2"/>
        <v>1</v>
      </c>
      <c r="O150" s="7"/>
    </row>
    <row r="151">
      <c r="A151" s="26" t="s">
        <v>688</v>
      </c>
      <c r="B151" s="31" t="s">
        <v>689</v>
      </c>
      <c r="C151" s="26" t="s">
        <v>589</v>
      </c>
      <c r="D151" s="27"/>
      <c r="E151" s="28" t="s">
        <v>690</v>
      </c>
      <c r="F151" s="30" t="s">
        <v>1920</v>
      </c>
      <c r="G151" s="13"/>
      <c r="H151" s="10"/>
      <c r="I151" s="7"/>
      <c r="J151" s="7"/>
      <c r="K151" s="7"/>
      <c r="L151" s="7"/>
      <c r="M151" s="7"/>
      <c r="N151" s="7">
        <f t="shared" si="2"/>
        <v>1</v>
      </c>
      <c r="O151" s="7"/>
    </row>
    <row r="152">
      <c r="A152" s="31" t="s">
        <v>692</v>
      </c>
      <c r="B152" s="26" t="s">
        <v>693</v>
      </c>
      <c r="C152" s="26" t="s">
        <v>589</v>
      </c>
      <c r="D152" s="27"/>
      <c r="E152" s="28" t="s">
        <v>694</v>
      </c>
      <c r="F152" s="30" t="s">
        <v>695</v>
      </c>
      <c r="G152" s="13"/>
      <c r="H152" s="10"/>
      <c r="I152" s="7"/>
      <c r="J152" s="7"/>
      <c r="K152" s="7"/>
      <c r="L152" s="7"/>
      <c r="M152" s="7"/>
      <c r="N152" s="7">
        <f t="shared" si="2"/>
        <v>1</v>
      </c>
      <c r="O152" s="7"/>
    </row>
    <row r="153">
      <c r="A153" s="31" t="s">
        <v>696</v>
      </c>
      <c r="B153" s="31" t="s">
        <v>697</v>
      </c>
      <c r="C153" s="26" t="s">
        <v>589</v>
      </c>
      <c r="D153" s="27"/>
      <c r="E153" s="28" t="s">
        <v>698</v>
      </c>
      <c r="F153" s="30" t="s">
        <v>699</v>
      </c>
      <c r="G153" s="13"/>
      <c r="H153" s="10"/>
      <c r="I153" s="7"/>
      <c r="J153" s="7"/>
      <c r="K153" s="7"/>
      <c r="L153" s="7"/>
      <c r="M153" s="7"/>
      <c r="N153" s="7">
        <f t="shared" si="2"/>
        <v>1</v>
      </c>
      <c r="O153" s="7"/>
    </row>
    <row r="154">
      <c r="A154" s="26" t="s">
        <v>700</v>
      </c>
      <c r="B154" s="26" t="s">
        <v>701</v>
      </c>
      <c r="C154" s="26" t="s">
        <v>584</v>
      </c>
      <c r="D154" s="27"/>
      <c r="E154" s="28" t="s">
        <v>702</v>
      </c>
      <c r="F154" s="29"/>
      <c r="G154" s="13"/>
      <c r="H154" s="10"/>
      <c r="I154" s="7"/>
      <c r="J154" s="7"/>
      <c r="K154" s="7"/>
      <c r="L154" s="7"/>
      <c r="M154" s="7"/>
      <c r="N154" s="7">
        <f t="shared" si="2"/>
        <v>0</v>
      </c>
      <c r="O154" s="7"/>
    </row>
    <row r="155">
      <c r="A155" s="26" t="s">
        <v>703</v>
      </c>
      <c r="B155" s="26" t="s">
        <v>704</v>
      </c>
      <c r="C155" s="26" t="s">
        <v>589</v>
      </c>
      <c r="D155" s="27"/>
      <c r="E155" s="28" t="s">
        <v>705</v>
      </c>
      <c r="F155" s="30" t="s">
        <v>706</v>
      </c>
      <c r="G155" s="13"/>
      <c r="H155" s="10"/>
      <c r="I155" s="7"/>
      <c r="J155" s="7"/>
      <c r="K155" s="7"/>
      <c r="L155" s="7"/>
      <c r="M155" s="7"/>
      <c r="N155" s="7">
        <f t="shared" si="2"/>
        <v>1</v>
      </c>
      <c r="O155" s="7"/>
    </row>
    <row r="156">
      <c r="A156" s="26" t="s">
        <v>707</v>
      </c>
      <c r="B156" s="26" t="s">
        <v>708</v>
      </c>
      <c r="C156" s="26" t="s">
        <v>589</v>
      </c>
      <c r="D156" s="26" t="s">
        <v>635</v>
      </c>
      <c r="E156" s="28" t="s">
        <v>709</v>
      </c>
      <c r="F156" s="30" t="s">
        <v>710</v>
      </c>
      <c r="G156" s="13"/>
      <c r="H156" s="10"/>
      <c r="I156" s="7"/>
      <c r="J156" s="7"/>
      <c r="K156" s="7"/>
      <c r="L156" s="7"/>
      <c r="M156" s="7"/>
      <c r="N156" s="7">
        <f t="shared" si="2"/>
        <v>1</v>
      </c>
      <c r="O156" s="7"/>
    </row>
    <row r="157">
      <c r="A157" s="26" t="s">
        <v>711</v>
      </c>
      <c r="B157" s="26" t="s">
        <v>712</v>
      </c>
      <c r="C157" s="26" t="s">
        <v>589</v>
      </c>
      <c r="D157" s="27"/>
      <c r="E157" s="28" t="s">
        <v>713</v>
      </c>
      <c r="F157" s="29"/>
      <c r="G157" s="13"/>
      <c r="H157" s="10"/>
      <c r="I157" s="7"/>
      <c r="J157" s="7"/>
      <c r="K157" s="7"/>
      <c r="L157" s="7"/>
      <c r="M157" s="7"/>
      <c r="N157" s="7">
        <f t="shared" si="2"/>
        <v>0</v>
      </c>
      <c r="O157" s="7"/>
    </row>
    <row r="158">
      <c r="A158" s="31" t="s">
        <v>714</v>
      </c>
      <c r="B158" s="26" t="s">
        <v>715</v>
      </c>
      <c r="C158" s="26" t="s">
        <v>589</v>
      </c>
      <c r="D158" s="27"/>
      <c r="E158" s="28" t="s">
        <v>716</v>
      </c>
      <c r="F158" s="30" t="s">
        <v>718</v>
      </c>
      <c r="G158" s="13"/>
      <c r="H158" s="10"/>
      <c r="I158" s="7"/>
      <c r="J158" s="7"/>
      <c r="K158" s="7"/>
      <c r="L158" s="7"/>
      <c r="M158" s="7"/>
      <c r="N158" s="7">
        <f t="shared" si="2"/>
        <v>1</v>
      </c>
      <c r="O158" s="7"/>
    </row>
    <row r="159">
      <c r="A159" s="26" t="s">
        <v>719</v>
      </c>
      <c r="B159" s="26" t="s">
        <v>720</v>
      </c>
      <c r="C159" s="26" t="s">
        <v>589</v>
      </c>
      <c r="D159" s="26" t="s">
        <v>598</v>
      </c>
      <c r="E159" s="28" t="s">
        <v>721</v>
      </c>
      <c r="F159" s="30" t="s">
        <v>722</v>
      </c>
      <c r="G159" s="13"/>
      <c r="H159" s="10"/>
      <c r="I159" s="7"/>
      <c r="J159" s="7"/>
      <c r="K159" s="7"/>
      <c r="L159" s="7"/>
      <c r="M159" s="7"/>
      <c r="N159" s="7">
        <f t="shared" si="2"/>
        <v>1</v>
      </c>
      <c r="O159" s="7"/>
    </row>
    <row r="160">
      <c r="A160" s="26" t="s">
        <v>723</v>
      </c>
      <c r="B160" s="26" t="s">
        <v>724</v>
      </c>
      <c r="C160" s="26" t="s">
        <v>589</v>
      </c>
      <c r="D160" s="27"/>
      <c r="E160" s="28" t="s">
        <v>725</v>
      </c>
      <c r="F160" s="29"/>
      <c r="G160" s="13"/>
      <c r="H160" s="10"/>
      <c r="I160" s="7"/>
      <c r="J160" s="7"/>
      <c r="K160" s="7"/>
      <c r="L160" s="7"/>
      <c r="M160" s="7"/>
      <c r="N160" s="7">
        <f t="shared" si="2"/>
        <v>0</v>
      </c>
      <c r="O160" s="7"/>
    </row>
    <row r="161">
      <c r="A161" s="26" t="s">
        <v>726</v>
      </c>
      <c r="B161" s="26" t="s">
        <v>727</v>
      </c>
      <c r="C161" s="26" t="s">
        <v>584</v>
      </c>
      <c r="D161" s="27"/>
      <c r="E161" s="28" t="s">
        <v>728</v>
      </c>
      <c r="F161" s="29"/>
      <c r="G161" s="13"/>
      <c r="H161" s="10"/>
      <c r="I161" s="7"/>
      <c r="J161" s="7"/>
      <c r="K161" s="7"/>
      <c r="L161" s="7"/>
      <c r="M161" s="7"/>
      <c r="N161" s="7">
        <f t="shared" si="2"/>
        <v>0</v>
      </c>
      <c r="O161" s="7"/>
    </row>
    <row r="162">
      <c r="A162" s="26" t="s">
        <v>729</v>
      </c>
      <c r="B162" s="26" t="s">
        <v>730</v>
      </c>
      <c r="C162" s="26" t="s">
        <v>589</v>
      </c>
      <c r="D162" s="27"/>
      <c r="E162" s="28" t="s">
        <v>731</v>
      </c>
      <c r="F162" s="30" t="s">
        <v>733</v>
      </c>
      <c r="G162" s="13"/>
      <c r="H162" s="10"/>
      <c r="I162" s="7"/>
      <c r="J162" s="7"/>
      <c r="K162" s="7"/>
      <c r="L162" s="7"/>
      <c r="M162" s="7"/>
      <c r="N162" s="7">
        <f t="shared" si="2"/>
        <v>1</v>
      </c>
      <c r="O162" s="7"/>
    </row>
    <row r="163">
      <c r="A163" s="26" t="s">
        <v>734</v>
      </c>
      <c r="B163" s="26" t="s">
        <v>735</v>
      </c>
      <c r="C163" s="26" t="s">
        <v>736</v>
      </c>
      <c r="D163" s="27"/>
      <c r="E163" s="32" t="s">
        <v>737</v>
      </c>
      <c r="F163" s="30" t="s">
        <v>738</v>
      </c>
      <c r="G163" s="13"/>
      <c r="H163" s="10"/>
      <c r="I163" s="7"/>
      <c r="J163" s="7"/>
      <c r="K163" s="7"/>
      <c r="L163" s="7"/>
      <c r="M163" s="7"/>
      <c r="N163" s="7">
        <f t="shared" si="2"/>
        <v>1</v>
      </c>
      <c r="O163" s="7"/>
    </row>
    <row r="164">
      <c r="A164" s="26" t="s">
        <v>739</v>
      </c>
      <c r="B164" s="26" t="s">
        <v>740</v>
      </c>
      <c r="C164" s="26" t="s">
        <v>589</v>
      </c>
      <c r="D164" s="27"/>
      <c r="E164" s="28" t="s">
        <v>741</v>
      </c>
      <c r="F164" s="30" t="s">
        <v>742</v>
      </c>
      <c r="G164" s="13"/>
      <c r="H164" s="10"/>
      <c r="I164" s="7"/>
      <c r="J164" s="7"/>
      <c r="K164" s="7"/>
      <c r="L164" s="7"/>
      <c r="M164" s="7"/>
      <c r="N164" s="7">
        <f t="shared" si="2"/>
        <v>1</v>
      </c>
      <c r="O164" s="7"/>
    </row>
    <row r="165">
      <c r="A165" s="26" t="s">
        <v>743</v>
      </c>
      <c r="B165" s="26" t="s">
        <v>744</v>
      </c>
      <c r="C165" s="26" t="s">
        <v>584</v>
      </c>
      <c r="D165" s="26" t="s">
        <v>635</v>
      </c>
      <c r="E165" s="28" t="s">
        <v>745</v>
      </c>
      <c r="F165" s="29"/>
      <c r="G165" s="13"/>
      <c r="H165" s="10"/>
      <c r="I165" s="7"/>
      <c r="J165" s="7"/>
      <c r="K165" s="7"/>
      <c r="L165" s="7"/>
      <c r="M165" s="7"/>
      <c r="N165" s="7">
        <f t="shared" si="2"/>
        <v>0</v>
      </c>
      <c r="O165" s="7"/>
    </row>
    <row r="166">
      <c r="A166" s="26" t="s">
        <v>747</v>
      </c>
      <c r="B166" s="26" t="s">
        <v>748</v>
      </c>
      <c r="C166" s="26" t="s">
        <v>584</v>
      </c>
      <c r="D166" s="27"/>
      <c r="E166" s="28" t="s">
        <v>749</v>
      </c>
      <c r="F166" s="29"/>
      <c r="G166" s="13"/>
      <c r="H166" s="10"/>
      <c r="I166" s="7"/>
      <c r="J166" s="7"/>
      <c r="K166" s="7"/>
      <c r="L166" s="7"/>
      <c r="M166" s="7"/>
      <c r="N166" s="7">
        <f t="shared" si="2"/>
        <v>0</v>
      </c>
      <c r="O166" s="7"/>
    </row>
    <row r="167">
      <c r="A167" s="26" t="s">
        <v>750</v>
      </c>
      <c r="B167" s="26" t="s">
        <v>751</v>
      </c>
      <c r="C167" s="26" t="s">
        <v>752</v>
      </c>
      <c r="D167" s="28" t="s">
        <v>753</v>
      </c>
      <c r="E167" s="33" t="s">
        <v>1924</v>
      </c>
      <c r="F167" s="30" t="s">
        <v>755</v>
      </c>
      <c r="G167" s="13"/>
      <c r="H167" s="10"/>
      <c r="I167" s="7"/>
      <c r="J167" s="7"/>
      <c r="K167" s="7"/>
      <c r="L167" s="7"/>
      <c r="M167" s="7"/>
      <c r="N167" s="7">
        <f t="shared" si="2"/>
        <v>1</v>
      </c>
      <c r="O167" s="7"/>
    </row>
    <row r="168">
      <c r="A168" s="26" t="s">
        <v>756</v>
      </c>
      <c r="B168" s="26" t="s">
        <v>757</v>
      </c>
      <c r="C168" s="26" t="s">
        <v>758</v>
      </c>
      <c r="D168" s="28" t="s">
        <v>753</v>
      </c>
      <c r="E168" s="33" t="s">
        <v>1925</v>
      </c>
      <c r="F168" s="30" t="s">
        <v>761</v>
      </c>
      <c r="G168" s="13"/>
      <c r="H168" s="10"/>
      <c r="I168" s="7"/>
      <c r="J168" s="7"/>
      <c r="K168" s="7"/>
      <c r="L168" s="7"/>
      <c r="M168" s="7"/>
      <c r="N168" s="7">
        <f t="shared" si="2"/>
        <v>1</v>
      </c>
      <c r="O168" s="7"/>
    </row>
    <row r="169">
      <c r="A169" s="26" t="s">
        <v>762</v>
      </c>
      <c r="B169" s="26" t="s">
        <v>763</v>
      </c>
      <c r="C169" s="26" t="s">
        <v>589</v>
      </c>
      <c r="D169" s="27"/>
      <c r="E169" s="28" t="s">
        <v>764</v>
      </c>
      <c r="F169" s="29"/>
      <c r="G169" s="13"/>
      <c r="H169" s="10"/>
      <c r="I169" s="7"/>
      <c r="J169" s="7"/>
      <c r="K169" s="7"/>
      <c r="L169" s="7"/>
      <c r="M169" s="7"/>
      <c r="N169" s="7">
        <f t="shared" si="2"/>
        <v>0</v>
      </c>
      <c r="O169" s="7"/>
    </row>
    <row r="170">
      <c r="A170" s="26" t="s">
        <v>766</v>
      </c>
      <c r="B170" s="26" t="s">
        <v>767</v>
      </c>
      <c r="C170" s="26" t="s">
        <v>589</v>
      </c>
      <c r="D170" s="26" t="s">
        <v>598</v>
      </c>
      <c r="E170" s="28" t="s">
        <v>768</v>
      </c>
      <c r="F170" s="29"/>
      <c r="G170" s="13"/>
      <c r="H170" s="10"/>
      <c r="I170" s="7"/>
      <c r="J170" s="7"/>
      <c r="K170" s="7"/>
      <c r="L170" s="7"/>
      <c r="M170" s="7"/>
      <c r="N170" s="7">
        <f t="shared" si="2"/>
        <v>0</v>
      </c>
      <c r="O170" s="7"/>
    </row>
    <row r="171">
      <c r="A171" s="26" t="s">
        <v>770</v>
      </c>
      <c r="B171" s="26" t="s">
        <v>771</v>
      </c>
      <c r="C171" s="26" t="s">
        <v>772</v>
      </c>
      <c r="D171" s="27"/>
      <c r="E171" s="28" t="s">
        <v>773</v>
      </c>
      <c r="F171" s="30" t="s">
        <v>774</v>
      </c>
      <c r="G171" s="13"/>
      <c r="H171" s="10"/>
      <c r="I171" s="7"/>
      <c r="J171" s="7"/>
      <c r="K171" s="7"/>
      <c r="L171" s="7"/>
      <c r="M171" s="7"/>
      <c r="N171" s="7">
        <f t="shared" si="2"/>
        <v>1</v>
      </c>
      <c r="O171" s="7"/>
    </row>
    <row r="172">
      <c r="A172" s="26" t="s">
        <v>775</v>
      </c>
      <c r="B172" s="26" t="s">
        <v>776</v>
      </c>
      <c r="C172" s="26" t="s">
        <v>589</v>
      </c>
      <c r="D172" s="27"/>
      <c r="E172" s="28" t="s">
        <v>777</v>
      </c>
      <c r="F172" s="30" t="s">
        <v>1900</v>
      </c>
      <c r="G172" s="13"/>
      <c r="H172" s="10"/>
      <c r="I172" s="7"/>
      <c r="J172" s="7"/>
      <c r="K172" s="7"/>
      <c r="L172" s="7"/>
      <c r="M172" s="7"/>
      <c r="N172" s="7">
        <f t="shared" si="2"/>
        <v>1</v>
      </c>
      <c r="O172" s="7"/>
    </row>
    <row r="173">
      <c r="A173" s="26" t="s">
        <v>780</v>
      </c>
      <c r="B173" s="26" t="s">
        <v>781</v>
      </c>
      <c r="C173" s="26" t="s">
        <v>589</v>
      </c>
      <c r="D173" s="27"/>
      <c r="E173" s="28" t="s">
        <v>782</v>
      </c>
      <c r="F173" s="29"/>
      <c r="G173" s="13"/>
      <c r="H173" s="10"/>
      <c r="I173" s="7"/>
      <c r="J173" s="7"/>
      <c r="K173" s="7"/>
      <c r="L173" s="7"/>
      <c r="M173" s="7"/>
      <c r="N173" s="7">
        <f t="shared" si="2"/>
        <v>0</v>
      </c>
      <c r="O173" s="7"/>
    </row>
    <row r="174">
      <c r="A174" s="26" t="s">
        <v>783</v>
      </c>
      <c r="B174" s="26" t="s">
        <v>784</v>
      </c>
      <c r="C174" s="26" t="s">
        <v>589</v>
      </c>
      <c r="D174" s="27"/>
      <c r="E174" s="28" t="s">
        <v>785</v>
      </c>
      <c r="F174" s="30" t="s">
        <v>786</v>
      </c>
      <c r="G174" s="13"/>
      <c r="H174" s="10"/>
      <c r="I174" s="7"/>
      <c r="J174" s="7"/>
      <c r="K174" s="7"/>
      <c r="L174" s="7"/>
      <c r="M174" s="7"/>
      <c r="N174" s="7">
        <f t="shared" si="2"/>
        <v>1</v>
      </c>
      <c r="O174" s="7"/>
    </row>
    <row r="175">
      <c r="A175" s="26" t="s">
        <v>787</v>
      </c>
      <c r="B175" s="26" t="s">
        <v>788</v>
      </c>
      <c r="C175" s="26" t="s">
        <v>589</v>
      </c>
      <c r="D175" s="27"/>
      <c r="E175" s="28" t="s">
        <v>790</v>
      </c>
      <c r="F175" s="29"/>
      <c r="G175" s="13"/>
      <c r="H175" s="10"/>
      <c r="I175" s="7"/>
      <c r="J175" s="7"/>
      <c r="K175" s="7"/>
      <c r="L175" s="7"/>
      <c r="M175" s="7"/>
      <c r="N175" s="7">
        <f t="shared" si="2"/>
        <v>0</v>
      </c>
      <c r="O175" s="7"/>
    </row>
    <row r="176">
      <c r="A176" s="26" t="s">
        <v>791</v>
      </c>
      <c r="B176" s="26" t="s">
        <v>792</v>
      </c>
      <c r="C176" s="26" t="s">
        <v>589</v>
      </c>
      <c r="D176" s="27"/>
      <c r="E176" s="31" t="s">
        <v>793</v>
      </c>
      <c r="F176" s="30" t="s">
        <v>794</v>
      </c>
      <c r="G176" s="13"/>
      <c r="H176" s="10"/>
      <c r="I176" s="7"/>
      <c r="J176" s="7"/>
      <c r="K176" s="7"/>
      <c r="L176" s="7"/>
      <c r="M176" s="7"/>
      <c r="N176" s="7">
        <f t="shared" si="2"/>
        <v>1</v>
      </c>
      <c r="O176" s="7"/>
    </row>
    <row r="177">
      <c r="A177" s="26" t="s">
        <v>795</v>
      </c>
      <c r="B177" s="26" t="s">
        <v>796</v>
      </c>
      <c r="C177" s="26" t="s">
        <v>589</v>
      </c>
      <c r="D177" s="27"/>
      <c r="E177" s="28" t="s">
        <v>797</v>
      </c>
      <c r="F177" s="29"/>
      <c r="G177" s="13"/>
      <c r="H177" s="10"/>
      <c r="I177" s="7"/>
      <c r="J177" s="7"/>
      <c r="K177" s="7"/>
      <c r="L177" s="7"/>
      <c r="M177" s="7"/>
      <c r="N177" s="7">
        <f t="shared" si="2"/>
        <v>0</v>
      </c>
      <c r="O177" s="7"/>
    </row>
    <row r="178">
      <c r="A178" s="26" t="s">
        <v>799</v>
      </c>
      <c r="B178" s="31" t="s">
        <v>800</v>
      </c>
      <c r="C178" s="26" t="s">
        <v>584</v>
      </c>
      <c r="D178" s="27"/>
      <c r="E178" s="34" t="s">
        <v>801</v>
      </c>
      <c r="F178" s="30" t="s">
        <v>802</v>
      </c>
      <c r="G178" s="13"/>
      <c r="H178" s="10"/>
      <c r="I178" s="7"/>
      <c r="J178" s="7"/>
      <c r="K178" s="7"/>
      <c r="L178" s="7"/>
      <c r="M178" s="7"/>
      <c r="N178" s="7">
        <f t="shared" si="2"/>
        <v>1</v>
      </c>
      <c r="O178" s="7"/>
    </row>
    <row r="179">
      <c r="A179" s="26" t="s">
        <v>803</v>
      </c>
      <c r="B179" s="26" t="s">
        <v>804</v>
      </c>
      <c r="C179" s="26" t="s">
        <v>589</v>
      </c>
      <c r="D179" s="26" t="s">
        <v>598</v>
      </c>
      <c r="E179" s="28" t="s">
        <v>806</v>
      </c>
      <c r="F179" s="29"/>
      <c r="G179" s="13"/>
      <c r="H179" s="10"/>
      <c r="I179" s="7"/>
      <c r="J179" s="7"/>
      <c r="K179" s="7"/>
      <c r="L179" s="7"/>
      <c r="M179" s="7"/>
      <c r="N179" s="7">
        <f t="shared" si="2"/>
        <v>0</v>
      </c>
      <c r="O179" s="7"/>
    </row>
    <row r="180">
      <c r="A180" s="26" t="s">
        <v>807</v>
      </c>
      <c r="B180" s="26" t="s">
        <v>808</v>
      </c>
      <c r="C180" s="26" t="s">
        <v>809</v>
      </c>
      <c r="D180" s="27"/>
      <c r="E180" s="33" t="s">
        <v>1927</v>
      </c>
      <c r="F180" s="30" t="s">
        <v>812</v>
      </c>
      <c r="G180" s="13"/>
      <c r="H180" s="10"/>
      <c r="I180" s="7"/>
      <c r="J180" s="7"/>
      <c r="K180" s="7"/>
      <c r="L180" s="7"/>
      <c r="M180" s="7"/>
      <c r="N180" s="7">
        <f t="shared" si="2"/>
        <v>1</v>
      </c>
      <c r="O180" s="7"/>
    </row>
    <row r="181">
      <c r="A181" s="26" t="s">
        <v>813</v>
      </c>
      <c r="B181" s="26" t="s">
        <v>814</v>
      </c>
      <c r="C181" s="26" t="s">
        <v>589</v>
      </c>
      <c r="D181" s="27"/>
      <c r="E181" s="31" t="s">
        <v>815</v>
      </c>
      <c r="F181" s="30" t="s">
        <v>816</v>
      </c>
      <c r="G181" s="13"/>
      <c r="H181" s="10"/>
      <c r="I181" s="7"/>
      <c r="J181" s="7"/>
      <c r="K181" s="7"/>
      <c r="L181" s="7"/>
      <c r="M181" s="7"/>
      <c r="N181" s="7">
        <f t="shared" si="2"/>
        <v>1</v>
      </c>
      <c r="O181" s="7"/>
    </row>
    <row r="182">
      <c r="A182" s="26" t="s">
        <v>817</v>
      </c>
      <c r="B182" s="26" t="s">
        <v>818</v>
      </c>
      <c r="C182" s="26" t="s">
        <v>589</v>
      </c>
      <c r="D182" s="27"/>
      <c r="E182" s="28" t="s">
        <v>819</v>
      </c>
      <c r="F182" s="30" t="s">
        <v>1929</v>
      </c>
      <c r="G182" s="13"/>
      <c r="H182" s="10"/>
      <c r="I182" s="7"/>
      <c r="J182" s="7"/>
      <c r="K182" s="7"/>
      <c r="L182" s="7"/>
      <c r="M182" s="7"/>
      <c r="N182" s="7">
        <f t="shared" si="2"/>
        <v>1</v>
      </c>
      <c r="O182" s="7"/>
    </row>
    <row r="183">
      <c r="A183" s="26" t="s">
        <v>821</v>
      </c>
      <c r="B183" s="26" t="s">
        <v>822</v>
      </c>
      <c r="C183" s="26" t="s">
        <v>584</v>
      </c>
      <c r="D183" s="27"/>
      <c r="E183" s="28" t="s">
        <v>823</v>
      </c>
      <c r="F183" s="29"/>
      <c r="G183" s="13"/>
      <c r="H183" s="10"/>
      <c r="I183" s="7"/>
      <c r="J183" s="7"/>
      <c r="K183" s="7"/>
      <c r="L183" s="7"/>
      <c r="M183" s="7"/>
      <c r="N183" s="7">
        <f t="shared" si="2"/>
        <v>0</v>
      </c>
      <c r="O183" s="7"/>
    </row>
    <row r="184">
      <c r="A184" s="26" t="s">
        <v>824</v>
      </c>
      <c r="B184" s="26" t="s">
        <v>825</v>
      </c>
      <c r="C184" s="26" t="s">
        <v>589</v>
      </c>
      <c r="D184" s="27"/>
      <c r="E184" s="28" t="s">
        <v>826</v>
      </c>
      <c r="F184" s="30" t="s">
        <v>1930</v>
      </c>
      <c r="G184" s="13"/>
      <c r="H184" s="10"/>
      <c r="I184" s="7"/>
      <c r="J184" s="7"/>
      <c r="K184" s="7"/>
      <c r="L184" s="7"/>
      <c r="M184" s="7"/>
      <c r="N184" s="7">
        <f t="shared" si="2"/>
        <v>1</v>
      </c>
      <c r="O184" s="7"/>
    </row>
    <row r="185">
      <c r="A185" s="26" t="s">
        <v>829</v>
      </c>
      <c r="B185" s="26" t="s">
        <v>830</v>
      </c>
      <c r="C185" s="26" t="s">
        <v>589</v>
      </c>
      <c r="D185" s="27"/>
      <c r="E185" s="28" t="s">
        <v>831</v>
      </c>
      <c r="F185" s="30" t="s">
        <v>832</v>
      </c>
      <c r="G185" s="13"/>
      <c r="H185" s="10"/>
      <c r="I185" s="7"/>
      <c r="J185" s="7"/>
      <c r="K185" s="7"/>
      <c r="L185" s="7"/>
      <c r="M185" s="7"/>
      <c r="N185" s="7">
        <f t="shared" si="2"/>
        <v>1</v>
      </c>
      <c r="O185" s="7"/>
    </row>
    <row r="186">
      <c r="A186" s="26" t="s">
        <v>833</v>
      </c>
      <c r="B186" s="26" t="s">
        <v>834</v>
      </c>
      <c r="C186" s="26" t="s">
        <v>835</v>
      </c>
      <c r="D186" s="26" t="s">
        <v>635</v>
      </c>
      <c r="E186" s="28" t="s">
        <v>836</v>
      </c>
      <c r="F186" s="30" t="s">
        <v>837</v>
      </c>
      <c r="G186" s="13"/>
      <c r="H186" s="10"/>
      <c r="I186" s="7"/>
      <c r="J186" s="7"/>
      <c r="K186" s="7"/>
      <c r="L186" s="7"/>
      <c r="M186" s="7"/>
      <c r="N186" s="7">
        <f t="shared" si="2"/>
        <v>1</v>
      </c>
      <c r="O186" s="7"/>
    </row>
    <row r="187">
      <c r="A187" s="26" t="s">
        <v>838</v>
      </c>
      <c r="B187" s="26" t="s">
        <v>839</v>
      </c>
      <c r="C187" s="26" t="s">
        <v>589</v>
      </c>
      <c r="D187" s="27"/>
      <c r="E187" s="32" t="s">
        <v>840</v>
      </c>
      <c r="F187" s="30" t="s">
        <v>841</v>
      </c>
      <c r="G187" s="13"/>
      <c r="H187" s="10"/>
      <c r="I187" s="7"/>
      <c r="J187" s="7"/>
      <c r="K187" s="7"/>
      <c r="L187" s="7"/>
      <c r="M187" s="7"/>
      <c r="N187" s="7">
        <f t="shared" si="2"/>
        <v>1</v>
      </c>
      <c r="O187" s="7"/>
    </row>
    <row r="188">
      <c r="A188" s="26" t="s">
        <v>842</v>
      </c>
      <c r="B188" s="26" t="s">
        <v>843</v>
      </c>
      <c r="C188" s="26" t="s">
        <v>589</v>
      </c>
      <c r="D188" s="27"/>
      <c r="E188" s="28" t="s">
        <v>844</v>
      </c>
      <c r="F188" s="30" t="s">
        <v>1907</v>
      </c>
      <c r="G188" s="13"/>
      <c r="H188" s="10"/>
      <c r="I188" s="7"/>
      <c r="J188" s="7"/>
      <c r="K188" s="7"/>
      <c r="L188" s="7"/>
      <c r="M188" s="7"/>
      <c r="N188" s="7">
        <f t="shared" si="2"/>
        <v>1</v>
      </c>
      <c r="O188" s="7"/>
    </row>
    <row r="189">
      <c r="A189" s="26" t="s">
        <v>846</v>
      </c>
      <c r="B189" s="31" t="s">
        <v>848</v>
      </c>
      <c r="C189" s="26" t="s">
        <v>584</v>
      </c>
      <c r="D189" s="27"/>
      <c r="E189" s="28" t="s">
        <v>849</v>
      </c>
      <c r="F189" s="30" t="s">
        <v>1931</v>
      </c>
      <c r="G189" s="13"/>
      <c r="H189" s="10"/>
      <c r="I189" s="7"/>
      <c r="J189" s="7"/>
      <c r="K189" s="7"/>
      <c r="L189" s="7"/>
      <c r="M189" s="7"/>
      <c r="N189" s="7">
        <f t="shared" si="2"/>
        <v>1</v>
      </c>
      <c r="O189" s="7"/>
    </row>
    <row r="190">
      <c r="A190" s="26" t="s">
        <v>851</v>
      </c>
      <c r="B190" s="26" t="s">
        <v>852</v>
      </c>
      <c r="C190" s="26" t="s">
        <v>589</v>
      </c>
      <c r="D190" s="27"/>
      <c r="E190" s="28" t="s">
        <v>853</v>
      </c>
      <c r="F190" s="30" t="s">
        <v>854</v>
      </c>
      <c r="G190" s="13"/>
      <c r="H190" s="10"/>
      <c r="I190" s="7"/>
      <c r="J190" s="7"/>
      <c r="K190" s="7"/>
      <c r="L190" s="7"/>
      <c r="M190" s="7"/>
      <c r="N190" s="7">
        <f t="shared" si="2"/>
        <v>1</v>
      </c>
      <c r="O190" s="7"/>
    </row>
    <row r="191">
      <c r="A191" s="26" t="s">
        <v>855</v>
      </c>
      <c r="B191" s="26" t="s">
        <v>856</v>
      </c>
      <c r="C191" s="26" t="s">
        <v>584</v>
      </c>
      <c r="D191" s="27"/>
      <c r="E191" s="31" t="s">
        <v>857</v>
      </c>
      <c r="F191" s="30" t="s">
        <v>1932</v>
      </c>
      <c r="G191" s="13"/>
      <c r="H191" s="10"/>
      <c r="I191" s="7"/>
      <c r="J191" s="7"/>
      <c r="K191" s="7"/>
      <c r="L191" s="7"/>
      <c r="M191" s="7"/>
      <c r="N191" s="7">
        <f t="shared" si="2"/>
        <v>1</v>
      </c>
      <c r="O191" s="7"/>
    </row>
    <row r="192">
      <c r="A192" s="26" t="s">
        <v>859</v>
      </c>
      <c r="B192" s="26" t="s">
        <v>860</v>
      </c>
      <c r="C192" s="26" t="s">
        <v>589</v>
      </c>
      <c r="D192" s="27"/>
      <c r="E192" s="28" t="s">
        <v>861</v>
      </c>
      <c r="F192" s="30" t="s">
        <v>862</v>
      </c>
      <c r="G192" s="13"/>
      <c r="H192" s="10"/>
      <c r="I192" s="7"/>
      <c r="J192" s="7"/>
      <c r="K192" s="7"/>
      <c r="L192" s="7"/>
      <c r="M192" s="7"/>
      <c r="N192" s="7">
        <f t="shared" si="2"/>
        <v>1</v>
      </c>
      <c r="O192" s="7"/>
    </row>
    <row r="193">
      <c r="A193" s="26" t="s">
        <v>863</v>
      </c>
      <c r="B193" s="26" t="s">
        <v>864</v>
      </c>
      <c r="C193" s="26" t="s">
        <v>589</v>
      </c>
      <c r="D193" s="28" t="s">
        <v>865</v>
      </c>
      <c r="E193" s="28" t="s">
        <v>866</v>
      </c>
      <c r="F193" s="30" t="s">
        <v>867</v>
      </c>
      <c r="G193" s="13"/>
      <c r="H193" s="10"/>
      <c r="I193" s="7"/>
      <c r="J193" s="7"/>
      <c r="K193" s="7"/>
      <c r="L193" s="7"/>
      <c r="M193" s="7"/>
      <c r="N193" s="7">
        <f t="shared" si="2"/>
        <v>1</v>
      </c>
      <c r="O193" s="7"/>
    </row>
    <row r="194">
      <c r="A194" s="26" t="s">
        <v>868</v>
      </c>
      <c r="B194" s="26" t="s">
        <v>869</v>
      </c>
      <c r="C194" s="26" t="s">
        <v>589</v>
      </c>
      <c r="D194" s="27"/>
      <c r="E194" s="28" t="s">
        <v>870</v>
      </c>
      <c r="F194" s="29"/>
      <c r="G194" s="13"/>
      <c r="H194" s="10"/>
      <c r="I194" s="7"/>
      <c r="J194" s="7"/>
      <c r="K194" s="7"/>
      <c r="L194" s="7"/>
      <c r="M194" s="7"/>
      <c r="N194" s="7">
        <f t="shared" si="2"/>
        <v>0</v>
      </c>
      <c r="O194" s="7"/>
    </row>
    <row r="195">
      <c r="A195" s="26" t="s">
        <v>871</v>
      </c>
      <c r="B195" s="26" t="s">
        <v>872</v>
      </c>
      <c r="C195" s="26" t="s">
        <v>589</v>
      </c>
      <c r="D195" s="27"/>
      <c r="E195" s="28" t="s">
        <v>874</v>
      </c>
      <c r="F195" s="30" t="s">
        <v>875</v>
      </c>
      <c r="G195" s="13"/>
      <c r="H195" s="10"/>
      <c r="I195" s="7"/>
      <c r="J195" s="7"/>
      <c r="K195" s="7"/>
      <c r="L195" s="7"/>
      <c r="M195" s="7"/>
      <c r="N195" s="7">
        <f t="shared" si="2"/>
        <v>1</v>
      </c>
      <c r="O195" s="7"/>
    </row>
    <row r="196">
      <c r="A196" s="26" t="s">
        <v>876</v>
      </c>
      <c r="B196" s="26" t="s">
        <v>877</v>
      </c>
      <c r="C196" s="26" t="s">
        <v>589</v>
      </c>
      <c r="D196" s="27"/>
      <c r="E196" s="28" t="s">
        <v>878</v>
      </c>
      <c r="F196" s="29"/>
      <c r="G196" s="13"/>
      <c r="H196" s="10"/>
      <c r="I196" s="7"/>
      <c r="J196" s="7"/>
      <c r="K196" s="7"/>
      <c r="L196" s="7"/>
      <c r="M196" s="7"/>
      <c r="N196" s="7">
        <f t="shared" si="2"/>
        <v>0</v>
      </c>
      <c r="O196" s="7"/>
    </row>
    <row r="197">
      <c r="A197" s="26" t="s">
        <v>880</v>
      </c>
      <c r="B197" s="26" t="s">
        <v>881</v>
      </c>
      <c r="C197" s="26" t="s">
        <v>589</v>
      </c>
      <c r="D197" s="26" t="s">
        <v>598</v>
      </c>
      <c r="E197" s="28" t="s">
        <v>882</v>
      </c>
      <c r="F197" s="30" t="s">
        <v>884</v>
      </c>
      <c r="G197" s="13"/>
      <c r="H197" s="10"/>
      <c r="I197" s="7"/>
      <c r="J197" s="7"/>
      <c r="K197" s="7"/>
      <c r="L197" s="7"/>
      <c r="M197" s="7"/>
      <c r="N197" s="7">
        <f t="shared" si="2"/>
        <v>1</v>
      </c>
      <c r="O197" s="7"/>
    </row>
    <row r="198">
      <c r="A198" s="26" t="s">
        <v>880</v>
      </c>
      <c r="B198" s="26" t="s">
        <v>885</v>
      </c>
      <c r="C198" s="26" t="s">
        <v>589</v>
      </c>
      <c r="D198" s="27"/>
      <c r="E198" s="28" t="s">
        <v>886</v>
      </c>
      <c r="F198" s="29"/>
      <c r="G198" s="13"/>
      <c r="H198" s="10"/>
      <c r="I198" s="7"/>
      <c r="J198" s="7"/>
      <c r="K198" s="7"/>
      <c r="L198" s="7"/>
      <c r="M198" s="7"/>
      <c r="N198" s="7">
        <f t="shared" si="2"/>
        <v>0</v>
      </c>
      <c r="O198" s="7"/>
    </row>
    <row r="199">
      <c r="A199" s="26" t="s">
        <v>887</v>
      </c>
      <c r="B199" s="26" t="s">
        <v>888</v>
      </c>
      <c r="C199" s="26" t="s">
        <v>648</v>
      </c>
      <c r="D199" s="27"/>
      <c r="E199" s="28" t="s">
        <v>889</v>
      </c>
      <c r="F199" s="29"/>
      <c r="G199" s="13"/>
      <c r="H199" s="10"/>
      <c r="I199" s="7"/>
      <c r="J199" s="7"/>
      <c r="K199" s="7"/>
      <c r="L199" s="7"/>
      <c r="M199" s="7"/>
      <c r="N199" s="7">
        <f t="shared" si="2"/>
        <v>0</v>
      </c>
      <c r="O199" s="7"/>
    </row>
    <row r="200">
      <c r="A200" s="26" t="s">
        <v>891</v>
      </c>
      <c r="B200" s="26" t="s">
        <v>892</v>
      </c>
      <c r="C200" s="26" t="s">
        <v>589</v>
      </c>
      <c r="D200" s="27"/>
      <c r="E200" s="28" t="s">
        <v>893</v>
      </c>
      <c r="F200" s="30"/>
      <c r="G200" s="13"/>
      <c r="H200" s="10"/>
      <c r="I200" s="7"/>
      <c r="J200" s="7"/>
      <c r="K200" s="7"/>
      <c r="L200" s="7"/>
      <c r="M200" s="7"/>
      <c r="N200" s="7">
        <f t="shared" si="2"/>
        <v>0</v>
      </c>
      <c r="O200" s="7"/>
    </row>
    <row r="201">
      <c r="A201" s="31" t="s">
        <v>894</v>
      </c>
      <c r="B201" s="31" t="s">
        <v>895</v>
      </c>
      <c r="C201" s="26" t="s">
        <v>835</v>
      </c>
      <c r="D201" s="27"/>
      <c r="E201" s="32" t="s">
        <v>896</v>
      </c>
      <c r="F201" s="30" t="s">
        <v>897</v>
      </c>
      <c r="G201" s="13"/>
      <c r="H201" s="10"/>
      <c r="I201" s="7"/>
      <c r="J201" s="7"/>
      <c r="K201" s="7"/>
      <c r="L201" s="7"/>
      <c r="M201" s="7"/>
      <c r="N201" s="7">
        <f t="shared" si="2"/>
        <v>1</v>
      </c>
      <c r="O201" s="7"/>
    </row>
    <row r="202">
      <c r="A202" s="26" t="s">
        <v>898</v>
      </c>
      <c r="B202" s="26" t="s">
        <v>899</v>
      </c>
      <c r="C202" s="26" t="s">
        <v>589</v>
      </c>
      <c r="D202" s="26" t="s">
        <v>598</v>
      </c>
      <c r="E202" s="28" t="s">
        <v>900</v>
      </c>
      <c r="F202" s="30" t="s">
        <v>154</v>
      </c>
      <c r="G202" s="13"/>
      <c r="H202" s="10"/>
      <c r="I202" s="7"/>
      <c r="J202" s="7"/>
      <c r="K202" s="7"/>
      <c r="L202" s="7"/>
      <c r="M202" s="7"/>
      <c r="N202" s="7">
        <f t="shared" si="2"/>
        <v>1</v>
      </c>
      <c r="O202" s="7"/>
    </row>
    <row r="203">
      <c r="A203" s="26" t="s">
        <v>901</v>
      </c>
      <c r="B203" s="26" t="s">
        <v>902</v>
      </c>
      <c r="C203" s="26" t="s">
        <v>589</v>
      </c>
      <c r="D203" s="27"/>
      <c r="E203" s="28" t="s">
        <v>903</v>
      </c>
      <c r="F203" s="30" t="s">
        <v>904</v>
      </c>
      <c r="G203" s="13"/>
      <c r="H203" s="10"/>
      <c r="I203" s="7"/>
      <c r="J203" s="7"/>
      <c r="K203" s="7"/>
      <c r="L203" s="7"/>
      <c r="M203" s="7"/>
      <c r="N203" s="7">
        <f t="shared" si="2"/>
        <v>1</v>
      </c>
      <c r="O203" s="7"/>
    </row>
    <row r="204">
      <c r="A204" s="26" t="s">
        <v>905</v>
      </c>
      <c r="B204" s="26" t="s">
        <v>906</v>
      </c>
      <c r="C204" s="26" t="s">
        <v>589</v>
      </c>
      <c r="D204" s="26" t="s">
        <v>598</v>
      </c>
      <c r="E204" s="28" t="s">
        <v>907</v>
      </c>
      <c r="F204" s="30" t="s">
        <v>908</v>
      </c>
      <c r="G204" s="13"/>
      <c r="H204" s="10"/>
      <c r="I204" s="7"/>
      <c r="J204" s="7"/>
      <c r="K204" s="7"/>
      <c r="L204" s="7"/>
      <c r="M204" s="7"/>
      <c r="N204" s="7">
        <f t="shared" si="2"/>
        <v>1</v>
      </c>
      <c r="O204" s="7"/>
    </row>
    <row r="205">
      <c r="A205" s="26" t="s">
        <v>909</v>
      </c>
      <c r="B205" s="26" t="s">
        <v>910</v>
      </c>
      <c r="C205" s="26" t="s">
        <v>589</v>
      </c>
      <c r="D205" s="26" t="s">
        <v>598</v>
      </c>
      <c r="E205" s="28" t="s">
        <v>911</v>
      </c>
      <c r="F205" s="30" t="s">
        <v>912</v>
      </c>
      <c r="G205" s="13"/>
      <c r="H205" s="10"/>
      <c r="I205" s="7"/>
      <c r="J205" s="7"/>
      <c r="K205" s="7"/>
      <c r="L205" s="7"/>
      <c r="M205" s="7"/>
      <c r="N205" s="7">
        <f t="shared" si="2"/>
        <v>1</v>
      </c>
      <c r="O205" s="7"/>
    </row>
    <row r="206">
      <c r="A206" s="26" t="s">
        <v>913</v>
      </c>
      <c r="B206" s="26" t="s">
        <v>914</v>
      </c>
      <c r="C206" s="26" t="s">
        <v>589</v>
      </c>
      <c r="D206" s="27"/>
      <c r="E206" s="28" t="s">
        <v>915</v>
      </c>
      <c r="F206" s="29"/>
      <c r="G206" s="13"/>
      <c r="H206" s="10"/>
      <c r="I206" s="7"/>
      <c r="J206" s="7"/>
      <c r="K206" s="7"/>
      <c r="L206" s="7"/>
      <c r="M206" s="7"/>
      <c r="N206" s="7">
        <f t="shared" si="2"/>
        <v>0</v>
      </c>
      <c r="O206" s="7"/>
    </row>
    <row r="207" ht="18.0" customHeight="1">
      <c r="A207" s="26" t="s">
        <v>916</v>
      </c>
      <c r="B207" s="26" t="s">
        <v>917</v>
      </c>
      <c r="C207" s="26" t="s">
        <v>589</v>
      </c>
      <c r="D207" s="28" t="s">
        <v>918</v>
      </c>
      <c r="E207" s="27"/>
      <c r="F207" s="29"/>
      <c r="G207" s="13"/>
      <c r="H207" s="10"/>
      <c r="I207" s="7"/>
      <c r="J207" s="7"/>
      <c r="K207" s="7"/>
      <c r="L207" s="7"/>
      <c r="M207" s="7"/>
      <c r="N207" s="7">
        <f t="shared" si="2"/>
        <v>0</v>
      </c>
      <c r="O207" s="7"/>
    </row>
    <row r="208">
      <c r="A208" s="26" t="s">
        <v>916</v>
      </c>
      <c r="B208" s="26" t="s">
        <v>917</v>
      </c>
      <c r="C208" s="26" t="s">
        <v>919</v>
      </c>
      <c r="D208" s="31" t="s">
        <v>920</v>
      </c>
      <c r="E208" s="28" t="s">
        <v>921</v>
      </c>
      <c r="F208" s="30" t="s">
        <v>1940</v>
      </c>
      <c r="G208" s="13"/>
      <c r="H208" s="10"/>
      <c r="I208" s="7"/>
      <c r="J208" s="7"/>
      <c r="K208" s="7"/>
      <c r="L208" s="7"/>
      <c r="M208" s="7"/>
      <c r="N208" s="7">
        <f t="shared" si="2"/>
        <v>1</v>
      </c>
      <c r="O208" s="7"/>
    </row>
    <row r="209">
      <c r="A209" s="26" t="s">
        <v>925</v>
      </c>
      <c r="B209" s="26" t="s">
        <v>926</v>
      </c>
      <c r="C209" s="26" t="s">
        <v>589</v>
      </c>
      <c r="D209" s="27"/>
      <c r="E209" s="28" t="s">
        <v>927</v>
      </c>
      <c r="F209" s="30" t="s">
        <v>1941</v>
      </c>
      <c r="G209" s="13"/>
      <c r="H209" s="10"/>
      <c r="I209" s="7"/>
      <c r="J209" s="7"/>
      <c r="K209" s="7"/>
      <c r="L209" s="7"/>
      <c r="M209" s="7"/>
      <c r="N209" s="7">
        <f t="shared" si="2"/>
        <v>1</v>
      </c>
      <c r="O209" s="7"/>
    </row>
    <row r="210">
      <c r="A210" s="26" t="s">
        <v>929</v>
      </c>
      <c r="B210" s="26" t="s">
        <v>930</v>
      </c>
      <c r="C210" s="26" t="s">
        <v>931</v>
      </c>
      <c r="D210" s="27"/>
      <c r="E210" s="28" t="s">
        <v>932</v>
      </c>
      <c r="F210" s="29"/>
      <c r="G210" s="13"/>
      <c r="H210" s="10"/>
      <c r="I210" s="7"/>
      <c r="J210" s="7"/>
      <c r="K210" s="7"/>
      <c r="L210" s="7"/>
      <c r="M210" s="7"/>
      <c r="N210" s="7">
        <f t="shared" si="2"/>
        <v>0</v>
      </c>
      <c r="O210" s="7"/>
    </row>
    <row r="211">
      <c r="A211" s="26" t="s">
        <v>929</v>
      </c>
      <c r="B211" s="26" t="s">
        <v>934</v>
      </c>
      <c r="C211" s="26" t="s">
        <v>935</v>
      </c>
      <c r="D211" s="27"/>
      <c r="E211" s="28" t="s">
        <v>936</v>
      </c>
      <c r="F211" s="29"/>
      <c r="G211" s="13"/>
      <c r="H211" s="10"/>
      <c r="I211" s="7"/>
      <c r="J211" s="7"/>
      <c r="K211" s="7"/>
      <c r="L211" s="7"/>
      <c r="M211" s="7"/>
      <c r="N211" s="7">
        <f t="shared" si="2"/>
        <v>0</v>
      </c>
      <c r="O211" s="7"/>
    </row>
    <row r="212">
      <c r="A212" s="26" t="s">
        <v>937</v>
      </c>
      <c r="B212" s="31" t="s">
        <v>938</v>
      </c>
      <c r="C212" s="26" t="s">
        <v>589</v>
      </c>
      <c r="D212" s="27"/>
      <c r="E212" s="28" t="s">
        <v>939</v>
      </c>
      <c r="F212" s="30" t="s">
        <v>940</v>
      </c>
      <c r="G212" s="13"/>
      <c r="H212" s="10"/>
      <c r="I212" s="7"/>
      <c r="J212" s="7"/>
      <c r="K212" s="7"/>
      <c r="L212" s="7"/>
      <c r="M212" s="7"/>
      <c r="N212" s="7">
        <f t="shared" si="2"/>
        <v>1</v>
      </c>
      <c r="O212" s="7"/>
    </row>
    <row r="213">
      <c r="A213" s="26" t="s">
        <v>941</v>
      </c>
      <c r="B213" s="26" t="s">
        <v>942</v>
      </c>
      <c r="C213" s="26" t="s">
        <v>589</v>
      </c>
      <c r="D213" s="27"/>
      <c r="E213" s="28" t="s">
        <v>943</v>
      </c>
      <c r="F213" s="29"/>
      <c r="G213" s="13"/>
      <c r="H213" s="10"/>
      <c r="I213" s="7"/>
      <c r="J213" s="7"/>
      <c r="K213" s="7"/>
      <c r="L213" s="7"/>
      <c r="M213" s="7"/>
      <c r="N213" s="7">
        <f t="shared" si="2"/>
        <v>0</v>
      </c>
      <c r="O213" s="7"/>
    </row>
    <row r="214">
      <c r="A214" s="26" t="s">
        <v>945</v>
      </c>
      <c r="B214" s="26" t="s">
        <v>946</v>
      </c>
      <c r="C214" s="26" t="s">
        <v>589</v>
      </c>
      <c r="D214" s="27"/>
      <c r="E214" s="28" t="s">
        <v>947</v>
      </c>
      <c r="F214" s="30" t="s">
        <v>948</v>
      </c>
      <c r="G214" s="13"/>
      <c r="H214" s="10"/>
      <c r="I214" s="7"/>
      <c r="J214" s="7"/>
      <c r="K214" s="7"/>
      <c r="L214" s="7"/>
      <c r="M214" s="7"/>
      <c r="N214" s="7">
        <f t="shared" si="2"/>
        <v>1</v>
      </c>
      <c r="O214" s="7"/>
    </row>
    <row r="215">
      <c r="A215" s="26" t="s">
        <v>949</v>
      </c>
      <c r="B215" s="26" t="s">
        <v>950</v>
      </c>
      <c r="C215" s="26" t="s">
        <v>589</v>
      </c>
      <c r="D215" s="27"/>
      <c r="E215" s="28" t="s">
        <v>951</v>
      </c>
      <c r="F215" s="30" t="s">
        <v>1917</v>
      </c>
      <c r="G215" s="13"/>
      <c r="H215" s="10"/>
      <c r="I215" s="7"/>
      <c r="J215" s="7"/>
      <c r="K215" s="7"/>
      <c r="L215" s="7"/>
      <c r="M215" s="7"/>
      <c r="N215" s="7">
        <f t="shared" si="2"/>
        <v>1</v>
      </c>
      <c r="O215" s="7"/>
    </row>
    <row r="216">
      <c r="A216" s="26" t="s">
        <v>953</v>
      </c>
      <c r="B216" s="26" t="s">
        <v>954</v>
      </c>
      <c r="C216" s="26" t="s">
        <v>584</v>
      </c>
      <c r="D216" s="26" t="s">
        <v>955</v>
      </c>
      <c r="E216" s="34" t="s">
        <v>956</v>
      </c>
      <c r="F216" s="30" t="s">
        <v>957</v>
      </c>
      <c r="G216" s="13"/>
      <c r="H216" s="10"/>
      <c r="I216" s="7"/>
      <c r="J216" s="7"/>
      <c r="K216" s="7"/>
      <c r="L216" s="7"/>
      <c r="M216" s="7"/>
      <c r="N216" s="7">
        <f t="shared" si="2"/>
        <v>1</v>
      </c>
      <c r="O216" s="7"/>
    </row>
    <row r="217">
      <c r="A217" s="26" t="s">
        <v>958</v>
      </c>
      <c r="B217" s="26" t="s">
        <v>277</v>
      </c>
      <c r="C217" s="26" t="s">
        <v>589</v>
      </c>
      <c r="D217" s="27"/>
      <c r="E217" s="28" t="s">
        <v>959</v>
      </c>
      <c r="F217" s="29"/>
      <c r="G217" s="13"/>
      <c r="H217" s="10"/>
      <c r="I217" s="7"/>
      <c r="J217" s="7"/>
      <c r="K217" s="7"/>
      <c r="L217" s="7"/>
      <c r="M217" s="7"/>
      <c r="N217" s="7">
        <f t="shared" si="2"/>
        <v>0</v>
      </c>
      <c r="O217" s="7"/>
    </row>
    <row r="218">
      <c r="A218" s="26" t="s">
        <v>960</v>
      </c>
      <c r="B218" s="26" t="s">
        <v>961</v>
      </c>
      <c r="C218" s="26" t="s">
        <v>589</v>
      </c>
      <c r="D218" s="27"/>
      <c r="E218" s="28" t="s">
        <v>962</v>
      </c>
      <c r="F218" s="30" t="s">
        <v>963</v>
      </c>
      <c r="G218" s="13"/>
      <c r="H218" s="10"/>
      <c r="I218" s="7"/>
      <c r="J218" s="7"/>
      <c r="K218" s="7"/>
      <c r="L218" s="7"/>
      <c r="M218" s="7"/>
      <c r="N218" s="7">
        <f t="shared" si="2"/>
        <v>1</v>
      </c>
      <c r="O218" s="7"/>
    </row>
    <row r="219">
      <c r="A219" s="26" t="s">
        <v>964</v>
      </c>
      <c r="B219" s="26" t="s">
        <v>965</v>
      </c>
      <c r="C219" s="26" t="s">
        <v>589</v>
      </c>
      <c r="D219" s="26" t="s">
        <v>635</v>
      </c>
      <c r="E219" s="28" t="s">
        <v>966</v>
      </c>
      <c r="F219" s="30" t="s">
        <v>1919</v>
      </c>
      <c r="G219" s="13"/>
      <c r="H219" s="10"/>
      <c r="I219" s="7"/>
      <c r="J219" s="7"/>
      <c r="K219" s="7"/>
      <c r="L219" s="7"/>
      <c r="M219" s="7"/>
      <c r="N219" s="7">
        <f t="shared" si="2"/>
        <v>1</v>
      </c>
      <c r="O219" s="7"/>
    </row>
    <row r="220">
      <c r="A220" s="26" t="s">
        <v>968</v>
      </c>
      <c r="B220" s="31" t="s">
        <v>969</v>
      </c>
      <c r="C220" s="26" t="s">
        <v>589</v>
      </c>
      <c r="D220" s="27"/>
      <c r="E220" s="34" t="s">
        <v>970</v>
      </c>
      <c r="F220" s="30" t="s">
        <v>971</v>
      </c>
      <c r="G220" s="13"/>
      <c r="H220" s="10"/>
      <c r="I220" s="7"/>
      <c r="J220" s="7"/>
      <c r="K220" s="7"/>
      <c r="L220" s="7"/>
      <c r="M220" s="7"/>
      <c r="N220" s="7">
        <f t="shared" si="2"/>
        <v>1</v>
      </c>
      <c r="O220" s="7"/>
    </row>
    <row r="221">
      <c r="A221" s="26" t="s">
        <v>972</v>
      </c>
      <c r="B221" s="26" t="s">
        <v>973</v>
      </c>
      <c r="C221" s="26" t="s">
        <v>974</v>
      </c>
      <c r="D221" s="27"/>
      <c r="E221" s="28" t="s">
        <v>976</v>
      </c>
      <c r="F221" s="30" t="s">
        <v>977</v>
      </c>
      <c r="G221" s="13"/>
      <c r="H221" s="10"/>
      <c r="I221" s="7"/>
      <c r="J221" s="7"/>
      <c r="K221" s="7"/>
      <c r="L221" s="7"/>
      <c r="M221" s="7"/>
      <c r="N221" s="7">
        <f t="shared" si="2"/>
        <v>1</v>
      </c>
      <c r="O221" s="7"/>
    </row>
    <row r="222">
      <c r="A222" s="26" t="s">
        <v>978</v>
      </c>
      <c r="B222" s="26" t="s">
        <v>979</v>
      </c>
      <c r="C222" s="26" t="s">
        <v>589</v>
      </c>
      <c r="D222" s="26" t="s">
        <v>598</v>
      </c>
      <c r="E222" s="28" t="s">
        <v>980</v>
      </c>
      <c r="F222" s="29"/>
      <c r="G222" s="13"/>
      <c r="H222" s="10"/>
      <c r="I222" s="7"/>
      <c r="J222" s="7"/>
      <c r="K222" s="7"/>
      <c r="L222" s="7"/>
      <c r="M222" s="7"/>
      <c r="N222" s="7">
        <f t="shared" si="2"/>
        <v>0</v>
      </c>
      <c r="O222" s="7"/>
    </row>
    <row r="223">
      <c r="A223" s="26" t="s">
        <v>981</v>
      </c>
      <c r="B223" s="26" t="s">
        <v>982</v>
      </c>
      <c r="C223" s="26" t="s">
        <v>589</v>
      </c>
      <c r="D223" s="26" t="s">
        <v>598</v>
      </c>
      <c r="E223" s="28" t="s">
        <v>983</v>
      </c>
      <c r="F223" s="30" t="s">
        <v>984</v>
      </c>
      <c r="G223" s="13"/>
      <c r="H223" s="10"/>
      <c r="I223" s="7"/>
      <c r="J223" s="7"/>
      <c r="K223" s="7"/>
      <c r="L223" s="7"/>
      <c r="M223" s="7"/>
      <c r="N223" s="7">
        <f t="shared" si="2"/>
        <v>1</v>
      </c>
      <c r="O223" s="7"/>
    </row>
    <row r="224">
      <c r="A224" s="26" t="s">
        <v>985</v>
      </c>
      <c r="B224" s="26" t="s">
        <v>986</v>
      </c>
      <c r="C224" s="26" t="s">
        <v>589</v>
      </c>
      <c r="D224" s="26" t="s">
        <v>598</v>
      </c>
      <c r="E224" s="28" t="s">
        <v>987</v>
      </c>
      <c r="F224" s="29"/>
      <c r="G224" s="13"/>
      <c r="H224" s="10"/>
      <c r="I224" s="7"/>
      <c r="J224" s="7"/>
      <c r="K224" s="7"/>
      <c r="L224" s="7"/>
      <c r="M224" s="7"/>
      <c r="N224" s="7">
        <f t="shared" si="2"/>
        <v>0</v>
      </c>
      <c r="O224" s="7"/>
    </row>
    <row r="225">
      <c r="A225" s="26" t="s">
        <v>988</v>
      </c>
      <c r="B225" s="26" t="s">
        <v>989</v>
      </c>
      <c r="C225" s="26" t="s">
        <v>589</v>
      </c>
      <c r="D225" s="26" t="s">
        <v>598</v>
      </c>
      <c r="E225" s="28" t="s">
        <v>990</v>
      </c>
      <c r="F225" s="30" t="s">
        <v>1921</v>
      </c>
      <c r="G225" s="13"/>
      <c r="H225" s="10"/>
      <c r="I225" s="7"/>
      <c r="J225" s="7"/>
      <c r="K225" s="7"/>
      <c r="L225" s="7"/>
      <c r="M225" s="7"/>
      <c r="N225" s="7">
        <f t="shared" si="2"/>
        <v>1</v>
      </c>
      <c r="O225" s="7"/>
    </row>
    <row r="226">
      <c r="A226" s="26" t="s">
        <v>992</v>
      </c>
      <c r="B226" s="26" t="s">
        <v>993</v>
      </c>
      <c r="C226" s="26" t="s">
        <v>589</v>
      </c>
      <c r="D226" s="27"/>
      <c r="E226" s="28" t="s">
        <v>994</v>
      </c>
      <c r="F226" s="29"/>
      <c r="G226" s="13"/>
      <c r="H226" s="10"/>
      <c r="I226" s="7"/>
      <c r="J226" s="7"/>
      <c r="K226" s="7"/>
      <c r="L226" s="7"/>
      <c r="M226" s="7"/>
      <c r="N226" s="7">
        <f t="shared" si="2"/>
        <v>0</v>
      </c>
      <c r="O226" s="7"/>
    </row>
    <row r="227">
      <c r="A227" s="26" t="s">
        <v>995</v>
      </c>
      <c r="B227" s="26" t="s">
        <v>996</v>
      </c>
      <c r="C227" s="26" t="s">
        <v>589</v>
      </c>
      <c r="D227" s="26" t="s">
        <v>997</v>
      </c>
      <c r="E227" s="28" t="s">
        <v>998</v>
      </c>
      <c r="F227" s="30" t="s">
        <v>1922</v>
      </c>
      <c r="G227" s="13"/>
      <c r="H227" s="10"/>
      <c r="I227" s="7"/>
      <c r="J227" s="7"/>
      <c r="K227" s="7"/>
      <c r="L227" s="7"/>
      <c r="M227" s="7"/>
      <c r="N227" s="7">
        <f t="shared" si="2"/>
        <v>1</v>
      </c>
      <c r="O227" s="7"/>
    </row>
    <row r="228">
      <c r="A228" s="26" t="s">
        <v>999</v>
      </c>
      <c r="B228" s="26" t="s">
        <v>1000</v>
      </c>
      <c r="C228" s="26" t="s">
        <v>589</v>
      </c>
      <c r="D228" s="26" t="s">
        <v>598</v>
      </c>
      <c r="E228" s="28" t="s">
        <v>1001</v>
      </c>
      <c r="F228" s="30" t="s">
        <v>1002</v>
      </c>
      <c r="G228" s="13"/>
      <c r="H228" s="10"/>
      <c r="I228" s="7"/>
      <c r="J228" s="7"/>
      <c r="K228" s="7"/>
      <c r="L228" s="7"/>
      <c r="M228" s="7"/>
      <c r="N228" s="7">
        <f t="shared" si="2"/>
        <v>1</v>
      </c>
      <c r="O228" s="7"/>
    </row>
    <row r="229">
      <c r="A229" s="26" t="s">
        <v>1003</v>
      </c>
      <c r="B229" s="31" t="s">
        <v>1004</v>
      </c>
      <c r="C229" s="26" t="s">
        <v>589</v>
      </c>
      <c r="D229" s="27"/>
      <c r="E229" s="28" t="s">
        <v>1005</v>
      </c>
      <c r="F229" s="29"/>
      <c r="G229" s="13"/>
      <c r="H229" s="10"/>
      <c r="I229" s="7"/>
      <c r="J229" s="7"/>
      <c r="K229" s="7"/>
      <c r="L229" s="7"/>
      <c r="M229" s="7"/>
      <c r="N229" s="7">
        <f t="shared" si="2"/>
        <v>0</v>
      </c>
      <c r="O229" s="7"/>
    </row>
    <row r="230">
      <c r="A230" s="26" t="s">
        <v>1008</v>
      </c>
      <c r="B230" s="31" t="s">
        <v>1009</v>
      </c>
      <c r="C230" s="26" t="s">
        <v>589</v>
      </c>
      <c r="D230" s="27"/>
      <c r="E230" s="28" t="s">
        <v>1010</v>
      </c>
      <c r="F230" s="29"/>
      <c r="G230" s="13"/>
      <c r="H230" s="10"/>
      <c r="I230" s="7"/>
      <c r="J230" s="7"/>
      <c r="K230" s="7"/>
      <c r="L230" s="7"/>
      <c r="M230" s="7"/>
      <c r="N230" s="7">
        <f t="shared" si="2"/>
        <v>0</v>
      </c>
      <c r="O230" s="7"/>
    </row>
    <row r="231">
      <c r="A231" s="26" t="s">
        <v>1013</v>
      </c>
      <c r="B231" s="26" t="s">
        <v>1014</v>
      </c>
      <c r="C231" s="26" t="s">
        <v>589</v>
      </c>
      <c r="D231" s="26" t="s">
        <v>598</v>
      </c>
      <c r="E231" s="28" t="s">
        <v>1015</v>
      </c>
      <c r="F231" s="29"/>
      <c r="G231" s="13"/>
      <c r="H231" s="10"/>
      <c r="I231" s="7"/>
      <c r="J231" s="7"/>
      <c r="K231" s="7"/>
      <c r="L231" s="7"/>
      <c r="M231" s="7"/>
      <c r="N231" s="7">
        <f t="shared" si="2"/>
        <v>0</v>
      </c>
      <c r="O231" s="7"/>
    </row>
    <row r="232">
      <c r="A232" s="26" t="s">
        <v>1016</v>
      </c>
      <c r="B232" s="26" t="s">
        <v>1017</v>
      </c>
      <c r="C232" s="26" t="s">
        <v>589</v>
      </c>
      <c r="D232" s="27"/>
      <c r="E232" s="28" t="s">
        <v>1018</v>
      </c>
      <c r="F232" s="30" t="s">
        <v>154</v>
      </c>
      <c r="G232" s="13"/>
      <c r="H232" s="10"/>
      <c r="I232" s="7"/>
      <c r="J232" s="7"/>
      <c r="K232" s="7"/>
      <c r="L232" s="7"/>
      <c r="M232" s="7"/>
      <c r="N232" s="7">
        <f t="shared" si="2"/>
        <v>1</v>
      </c>
      <c r="O232" s="7"/>
    </row>
    <row r="233">
      <c r="A233" s="26" t="s">
        <v>1019</v>
      </c>
      <c r="B233" s="31" t="s">
        <v>1020</v>
      </c>
      <c r="C233" s="26" t="s">
        <v>589</v>
      </c>
      <c r="D233" s="27"/>
      <c r="E233" s="32" t="s">
        <v>1021</v>
      </c>
      <c r="F233" s="30" t="s">
        <v>1022</v>
      </c>
      <c r="G233" s="13"/>
      <c r="H233" s="10"/>
      <c r="I233" s="7"/>
      <c r="J233" s="7"/>
      <c r="K233" s="7"/>
      <c r="L233" s="7"/>
      <c r="M233" s="7"/>
      <c r="N233" s="7">
        <f t="shared" si="2"/>
        <v>1</v>
      </c>
      <c r="O233" s="7"/>
    </row>
    <row r="234">
      <c r="A234" s="31" t="s">
        <v>1023</v>
      </c>
      <c r="B234" s="26" t="s">
        <v>1024</v>
      </c>
      <c r="C234" s="26" t="s">
        <v>589</v>
      </c>
      <c r="D234" s="26" t="s">
        <v>598</v>
      </c>
      <c r="E234" s="27"/>
      <c r="F234" s="29"/>
      <c r="G234" s="13"/>
      <c r="H234" s="10"/>
      <c r="I234" s="7"/>
      <c r="J234" s="7"/>
      <c r="K234" s="7"/>
      <c r="L234" s="7"/>
      <c r="M234" s="7"/>
      <c r="N234" s="7">
        <f t="shared" si="2"/>
        <v>0</v>
      </c>
      <c r="O234" s="7"/>
    </row>
    <row r="235">
      <c r="A235" s="31" t="s">
        <v>1023</v>
      </c>
      <c r="B235" s="26" t="s">
        <v>1024</v>
      </c>
      <c r="C235" s="26" t="s">
        <v>1025</v>
      </c>
      <c r="D235" s="26" t="s">
        <v>1026</v>
      </c>
      <c r="E235" s="27"/>
      <c r="F235" s="30" t="s">
        <v>1027</v>
      </c>
      <c r="G235" s="13"/>
      <c r="H235" s="10"/>
      <c r="I235" s="7"/>
      <c r="J235" s="7"/>
      <c r="K235" s="7"/>
      <c r="L235" s="7"/>
      <c r="M235" s="7"/>
      <c r="N235" s="7">
        <f t="shared" si="2"/>
        <v>1</v>
      </c>
      <c r="O235" s="7"/>
    </row>
    <row r="236">
      <c r="A236" s="26" t="s">
        <v>1028</v>
      </c>
      <c r="B236" s="26" t="s">
        <v>1029</v>
      </c>
      <c r="C236" s="26" t="s">
        <v>584</v>
      </c>
      <c r="D236" s="27"/>
      <c r="E236" s="32" t="s">
        <v>1030</v>
      </c>
      <c r="F236" s="29"/>
      <c r="G236" s="13"/>
      <c r="H236" s="10"/>
      <c r="I236" s="7"/>
      <c r="J236" s="7"/>
      <c r="K236" s="7"/>
      <c r="L236" s="7"/>
      <c r="M236" s="7"/>
      <c r="N236" s="7">
        <f t="shared" si="2"/>
        <v>0</v>
      </c>
      <c r="O236" s="7"/>
    </row>
    <row r="237">
      <c r="A237" s="26" t="s">
        <v>1031</v>
      </c>
      <c r="B237" s="26" t="s">
        <v>1032</v>
      </c>
      <c r="C237" s="26" t="s">
        <v>589</v>
      </c>
      <c r="D237" s="26" t="s">
        <v>598</v>
      </c>
      <c r="E237" s="28" t="s">
        <v>1033</v>
      </c>
      <c r="F237" s="29"/>
      <c r="G237" s="13"/>
      <c r="H237" s="10"/>
      <c r="I237" s="7"/>
      <c r="J237" s="7"/>
      <c r="K237" s="7"/>
      <c r="L237" s="7"/>
      <c r="M237" s="7"/>
      <c r="N237" s="7">
        <f t="shared" si="2"/>
        <v>0</v>
      </c>
      <c r="O237" s="7"/>
    </row>
    <row r="238">
      <c r="A238" s="26" t="s">
        <v>1035</v>
      </c>
      <c r="B238" s="26" t="s">
        <v>1036</v>
      </c>
      <c r="C238" s="26" t="s">
        <v>589</v>
      </c>
      <c r="D238" s="26" t="s">
        <v>635</v>
      </c>
      <c r="E238" s="28" t="s">
        <v>1037</v>
      </c>
      <c r="F238" s="30" t="s">
        <v>1923</v>
      </c>
      <c r="G238" s="13"/>
      <c r="H238" s="10"/>
      <c r="I238" s="7"/>
      <c r="J238" s="7"/>
      <c r="K238" s="7"/>
      <c r="L238" s="7"/>
      <c r="M238" s="7"/>
      <c r="N238" s="7">
        <f t="shared" si="2"/>
        <v>1</v>
      </c>
      <c r="O238" s="7"/>
    </row>
    <row r="239">
      <c r="A239" s="26" t="s">
        <v>1039</v>
      </c>
      <c r="B239" s="26" t="s">
        <v>1040</v>
      </c>
      <c r="C239" s="26" t="s">
        <v>589</v>
      </c>
      <c r="D239" s="27"/>
      <c r="E239" s="28" t="s">
        <v>1041</v>
      </c>
      <c r="F239" s="29"/>
      <c r="G239" s="13"/>
      <c r="H239" s="10"/>
      <c r="I239" s="7"/>
      <c r="J239" s="7"/>
      <c r="K239" s="7"/>
      <c r="L239" s="7"/>
      <c r="M239" s="7"/>
      <c r="N239" s="7">
        <f t="shared" si="2"/>
        <v>0</v>
      </c>
      <c r="O239" s="7"/>
    </row>
    <row r="240">
      <c r="A240" s="26" t="s">
        <v>1043</v>
      </c>
      <c r="B240" s="26" t="s">
        <v>1044</v>
      </c>
      <c r="C240" s="26" t="s">
        <v>589</v>
      </c>
      <c r="D240" s="27"/>
      <c r="E240" s="28" t="s">
        <v>1045</v>
      </c>
      <c r="F240" s="29"/>
      <c r="G240" s="13"/>
      <c r="H240" s="10"/>
      <c r="I240" s="7"/>
      <c r="J240" s="7"/>
      <c r="K240" s="7"/>
      <c r="L240" s="7"/>
      <c r="M240" s="7"/>
      <c r="N240" s="7">
        <f t="shared" si="2"/>
        <v>0</v>
      </c>
      <c r="O240" s="7"/>
    </row>
    <row r="241">
      <c r="A241" s="26" t="s">
        <v>1047</v>
      </c>
      <c r="B241" s="26" t="s">
        <v>1048</v>
      </c>
      <c r="C241" s="26" t="s">
        <v>589</v>
      </c>
      <c r="D241" s="26" t="s">
        <v>635</v>
      </c>
      <c r="E241" s="28" t="s">
        <v>1049</v>
      </c>
      <c r="F241" s="29"/>
      <c r="G241" s="13"/>
      <c r="H241" s="10"/>
      <c r="I241" s="7"/>
      <c r="J241" s="7"/>
      <c r="K241" s="7"/>
      <c r="L241" s="7"/>
      <c r="M241" s="7"/>
      <c r="N241" s="7">
        <f t="shared" si="2"/>
        <v>0</v>
      </c>
      <c r="O241" s="7"/>
    </row>
    <row r="242">
      <c r="A242" s="26" t="s">
        <v>1050</v>
      </c>
      <c r="B242" s="26" t="s">
        <v>1051</v>
      </c>
      <c r="C242" s="26" t="s">
        <v>589</v>
      </c>
      <c r="D242" s="27"/>
      <c r="E242" s="28" t="s">
        <v>1052</v>
      </c>
      <c r="F242" s="30" t="s">
        <v>1053</v>
      </c>
      <c r="G242" s="13"/>
      <c r="H242" s="10"/>
      <c r="I242" s="7"/>
      <c r="J242" s="7"/>
      <c r="K242" s="7"/>
      <c r="L242" s="7"/>
      <c r="M242" s="7"/>
      <c r="N242" s="7">
        <f t="shared" si="2"/>
        <v>1</v>
      </c>
      <c r="O242" s="7"/>
    </row>
    <row r="243">
      <c r="A243" s="26" t="s">
        <v>1054</v>
      </c>
      <c r="B243" s="26" t="s">
        <v>1055</v>
      </c>
      <c r="C243" s="26" t="s">
        <v>589</v>
      </c>
      <c r="D243" s="27"/>
      <c r="E243" s="28" t="s">
        <v>1056</v>
      </c>
      <c r="F243" s="29"/>
      <c r="G243" s="13"/>
      <c r="H243" s="10"/>
      <c r="I243" s="7"/>
      <c r="J243" s="7"/>
      <c r="K243" s="7"/>
      <c r="L243" s="7"/>
      <c r="M243" s="7"/>
      <c r="N243" s="7">
        <f t="shared" si="2"/>
        <v>0</v>
      </c>
      <c r="O243" s="7"/>
    </row>
    <row r="244">
      <c r="A244" s="26" t="s">
        <v>1057</v>
      </c>
      <c r="B244" s="26" t="s">
        <v>1058</v>
      </c>
      <c r="C244" s="26" t="s">
        <v>1059</v>
      </c>
      <c r="D244" s="26" t="s">
        <v>635</v>
      </c>
      <c r="E244" s="28" t="s">
        <v>1060</v>
      </c>
      <c r="F244" s="30" t="s">
        <v>1926</v>
      </c>
      <c r="G244" s="13"/>
      <c r="H244" s="10"/>
      <c r="I244" s="7"/>
      <c r="J244" s="7"/>
      <c r="K244" s="7"/>
      <c r="L244" s="7"/>
      <c r="M244" s="7"/>
      <c r="N244" s="7">
        <f t="shared" si="2"/>
        <v>1</v>
      </c>
      <c r="O244" s="7"/>
    </row>
    <row r="245">
      <c r="A245" s="26" t="s">
        <v>1062</v>
      </c>
      <c r="B245" s="26" t="s">
        <v>1063</v>
      </c>
      <c r="C245" s="26" t="s">
        <v>589</v>
      </c>
      <c r="D245" s="26" t="s">
        <v>598</v>
      </c>
      <c r="E245" s="28" t="s">
        <v>1064</v>
      </c>
      <c r="F245" s="29"/>
      <c r="G245" s="13"/>
      <c r="H245" s="10"/>
      <c r="I245" s="7"/>
      <c r="J245" s="7"/>
      <c r="K245" s="7"/>
      <c r="L245" s="7"/>
      <c r="M245" s="7"/>
      <c r="N245" s="7">
        <f t="shared" si="2"/>
        <v>0</v>
      </c>
      <c r="O245" s="7"/>
    </row>
    <row r="246">
      <c r="A246" s="26" t="s">
        <v>1065</v>
      </c>
      <c r="B246" s="26" t="s">
        <v>1066</v>
      </c>
      <c r="C246" s="26" t="s">
        <v>584</v>
      </c>
      <c r="D246" s="27"/>
      <c r="E246" s="32" t="s">
        <v>1067</v>
      </c>
      <c r="F246" s="30" t="s">
        <v>1068</v>
      </c>
      <c r="G246" s="13"/>
      <c r="H246" s="10"/>
      <c r="I246" s="7"/>
      <c r="J246" s="7"/>
      <c r="K246" s="7"/>
      <c r="L246" s="7"/>
      <c r="M246" s="7"/>
      <c r="N246" s="7">
        <f t="shared" si="2"/>
        <v>1</v>
      </c>
      <c r="O246" s="7"/>
    </row>
    <row r="247">
      <c r="A247" s="26" t="s">
        <v>1070</v>
      </c>
      <c r="B247" s="26" t="s">
        <v>1071</v>
      </c>
      <c r="C247" s="26" t="s">
        <v>589</v>
      </c>
      <c r="D247" s="26" t="s">
        <v>598</v>
      </c>
      <c r="E247" s="28" t="s">
        <v>1072</v>
      </c>
      <c r="F247" s="29"/>
      <c r="G247" s="13"/>
      <c r="H247" s="10"/>
      <c r="I247" s="7"/>
      <c r="J247" s="7"/>
      <c r="K247" s="7"/>
      <c r="L247" s="7"/>
      <c r="M247" s="7"/>
      <c r="N247" s="7">
        <f t="shared" si="2"/>
        <v>0</v>
      </c>
      <c r="O247" s="7"/>
    </row>
    <row r="248">
      <c r="A248" s="26" t="s">
        <v>1073</v>
      </c>
      <c r="B248" s="26" t="s">
        <v>1074</v>
      </c>
      <c r="C248" s="26" t="s">
        <v>835</v>
      </c>
      <c r="D248" s="27"/>
      <c r="E248" s="28" t="s">
        <v>1075</v>
      </c>
      <c r="F248" s="29"/>
      <c r="G248" s="13"/>
      <c r="H248" s="10"/>
      <c r="I248" s="7"/>
      <c r="J248" s="7"/>
      <c r="K248" s="7"/>
      <c r="L248" s="7"/>
      <c r="M248" s="7"/>
      <c r="N248" s="7">
        <f t="shared" si="2"/>
        <v>0</v>
      </c>
      <c r="O248" s="7"/>
    </row>
    <row r="249">
      <c r="A249" s="26" t="s">
        <v>1076</v>
      </c>
      <c r="B249" s="26" t="s">
        <v>1077</v>
      </c>
      <c r="C249" s="26" t="s">
        <v>589</v>
      </c>
      <c r="D249" s="26" t="s">
        <v>598</v>
      </c>
      <c r="E249" s="28" t="s">
        <v>1078</v>
      </c>
      <c r="F249" s="29"/>
      <c r="G249" s="13"/>
      <c r="H249" s="10"/>
      <c r="I249" s="7"/>
      <c r="J249" s="7"/>
      <c r="K249" s="7"/>
      <c r="L249" s="7"/>
      <c r="M249" s="7"/>
      <c r="N249" s="7">
        <f t="shared" si="2"/>
        <v>0</v>
      </c>
      <c r="O249" s="7"/>
    </row>
    <row r="250">
      <c r="A250" s="26" t="s">
        <v>1079</v>
      </c>
      <c r="B250" s="26" t="s">
        <v>1080</v>
      </c>
      <c r="C250" s="26" t="s">
        <v>584</v>
      </c>
      <c r="D250" s="27"/>
      <c r="E250" s="28" t="s">
        <v>1081</v>
      </c>
      <c r="F250" s="29"/>
      <c r="G250" s="13"/>
      <c r="H250" s="10"/>
      <c r="I250" s="7"/>
      <c r="J250" s="7"/>
      <c r="K250" s="7"/>
      <c r="L250" s="7"/>
      <c r="M250" s="7"/>
      <c r="N250" s="7">
        <f t="shared" si="2"/>
        <v>0</v>
      </c>
      <c r="O250" s="7"/>
    </row>
    <row r="251">
      <c r="A251" s="26" t="s">
        <v>1082</v>
      </c>
      <c r="B251" s="26" t="s">
        <v>1083</v>
      </c>
      <c r="C251" s="26" t="s">
        <v>589</v>
      </c>
      <c r="D251" s="27"/>
      <c r="E251" s="28" t="s">
        <v>1084</v>
      </c>
      <c r="F251" s="29"/>
      <c r="G251" s="13"/>
      <c r="H251" s="10"/>
      <c r="I251" s="7"/>
      <c r="J251" s="7"/>
      <c r="K251" s="7"/>
      <c r="L251" s="7"/>
      <c r="M251" s="7"/>
      <c r="N251" s="7">
        <f t="shared" si="2"/>
        <v>0</v>
      </c>
      <c r="O251" s="7"/>
    </row>
    <row r="252">
      <c r="A252" s="26" t="s">
        <v>1085</v>
      </c>
      <c r="B252" s="26" t="s">
        <v>1086</v>
      </c>
      <c r="C252" s="26" t="s">
        <v>589</v>
      </c>
      <c r="D252" s="26" t="s">
        <v>1087</v>
      </c>
      <c r="E252" s="28" t="s">
        <v>1088</v>
      </c>
      <c r="F252" s="30" t="s">
        <v>1089</v>
      </c>
      <c r="G252" s="13"/>
      <c r="H252" s="10"/>
      <c r="I252" s="7"/>
      <c r="J252" s="7"/>
      <c r="K252" s="7"/>
      <c r="L252" s="7"/>
      <c r="M252" s="7"/>
      <c r="N252" s="7">
        <f t="shared" si="2"/>
        <v>1</v>
      </c>
      <c r="O252" s="7"/>
    </row>
    <row r="253">
      <c r="A253" s="26" t="s">
        <v>1090</v>
      </c>
      <c r="B253" s="26" t="s">
        <v>1091</v>
      </c>
      <c r="C253" s="26" t="s">
        <v>589</v>
      </c>
      <c r="D253" s="26" t="s">
        <v>235</v>
      </c>
      <c r="E253" s="28" t="s">
        <v>1088</v>
      </c>
      <c r="F253" s="30" t="s">
        <v>1092</v>
      </c>
      <c r="G253" s="13"/>
      <c r="H253" s="10"/>
      <c r="I253" s="7"/>
      <c r="J253" s="7"/>
      <c r="K253" s="7"/>
      <c r="L253" s="7"/>
      <c r="M253" s="7"/>
      <c r="N253" s="7">
        <f t="shared" si="2"/>
        <v>1</v>
      </c>
      <c r="O253" s="7"/>
    </row>
    <row r="254">
      <c r="A254" s="26" t="s">
        <v>1093</v>
      </c>
      <c r="B254" s="26" t="s">
        <v>1094</v>
      </c>
      <c r="C254" s="26" t="s">
        <v>589</v>
      </c>
      <c r="D254" s="26" t="s">
        <v>235</v>
      </c>
      <c r="E254" s="28" t="s">
        <v>1088</v>
      </c>
      <c r="F254" s="30" t="s">
        <v>1095</v>
      </c>
      <c r="G254" s="13"/>
      <c r="H254" s="10"/>
      <c r="I254" s="7"/>
      <c r="J254" s="7"/>
      <c r="K254" s="7"/>
      <c r="L254" s="7"/>
      <c r="M254" s="7"/>
      <c r="N254" s="7">
        <f t="shared" si="2"/>
        <v>1</v>
      </c>
      <c r="O254" s="7"/>
    </row>
    <row r="255">
      <c r="A255" s="26" t="s">
        <v>1096</v>
      </c>
      <c r="B255" s="26" t="s">
        <v>1097</v>
      </c>
      <c r="C255" s="26" t="s">
        <v>589</v>
      </c>
      <c r="D255" s="27"/>
      <c r="E255" s="32" t="s">
        <v>1098</v>
      </c>
      <c r="F255" s="30" t="s">
        <v>1099</v>
      </c>
      <c r="G255" s="13"/>
      <c r="H255" s="10"/>
      <c r="I255" s="7"/>
      <c r="J255" s="7"/>
      <c r="K255" s="7"/>
      <c r="L255" s="7"/>
      <c r="M255" s="7"/>
      <c r="N255" s="7">
        <f t="shared" si="2"/>
        <v>1</v>
      </c>
      <c r="O255" s="7"/>
    </row>
    <row r="256">
      <c r="A256" s="26" t="s">
        <v>1100</v>
      </c>
      <c r="B256" s="26" t="s">
        <v>1101</v>
      </c>
      <c r="C256" s="26" t="s">
        <v>589</v>
      </c>
      <c r="D256" s="27"/>
      <c r="E256" s="28" t="s">
        <v>1102</v>
      </c>
      <c r="F256" s="30" t="s">
        <v>1103</v>
      </c>
      <c r="G256" s="13"/>
      <c r="H256" s="10"/>
      <c r="I256" s="7"/>
      <c r="J256" s="7"/>
      <c r="K256" s="7"/>
      <c r="L256" s="7"/>
      <c r="M256" s="7"/>
      <c r="N256" s="7">
        <f t="shared" si="2"/>
        <v>1</v>
      </c>
      <c r="O256" s="7"/>
    </row>
    <row r="257">
      <c r="A257" s="26" t="s">
        <v>1104</v>
      </c>
      <c r="B257" s="26" t="s">
        <v>1105</v>
      </c>
      <c r="C257" s="26" t="s">
        <v>589</v>
      </c>
      <c r="D257" s="27"/>
      <c r="E257" s="28" t="s">
        <v>1106</v>
      </c>
      <c r="F257" s="30" t="s">
        <v>1107</v>
      </c>
      <c r="G257" s="13"/>
      <c r="H257" s="10"/>
      <c r="I257" s="7"/>
      <c r="J257" s="7"/>
      <c r="K257" s="7"/>
      <c r="L257" s="7"/>
      <c r="M257" s="7"/>
      <c r="N257" s="7">
        <f t="shared" si="2"/>
        <v>1</v>
      </c>
      <c r="O257" s="7"/>
    </row>
    <row r="258">
      <c r="A258" s="26" t="s">
        <v>1108</v>
      </c>
      <c r="B258" s="26" t="s">
        <v>1109</v>
      </c>
      <c r="C258" s="26" t="s">
        <v>648</v>
      </c>
      <c r="D258" s="26" t="s">
        <v>1026</v>
      </c>
      <c r="E258" s="27"/>
      <c r="F258" s="30" t="s">
        <v>1958</v>
      </c>
      <c r="G258" s="13"/>
      <c r="H258" s="10"/>
      <c r="I258" s="7"/>
      <c r="J258" s="7"/>
      <c r="K258" s="7"/>
      <c r="L258" s="7"/>
      <c r="M258" s="7"/>
      <c r="N258" s="7">
        <f t="shared" si="2"/>
        <v>1</v>
      </c>
      <c r="O258" s="7"/>
    </row>
    <row r="259">
      <c r="A259" s="26" t="s">
        <v>1111</v>
      </c>
      <c r="B259" s="26" t="s">
        <v>1112</v>
      </c>
      <c r="C259" s="26" t="s">
        <v>589</v>
      </c>
      <c r="D259" s="27"/>
      <c r="E259" s="28" t="s">
        <v>1113</v>
      </c>
      <c r="F259" s="29"/>
      <c r="G259" s="13"/>
      <c r="H259" s="10"/>
      <c r="I259" s="7"/>
      <c r="J259" s="7"/>
      <c r="K259" s="7"/>
      <c r="L259" s="7"/>
      <c r="M259" s="7"/>
      <c r="N259" s="7">
        <f t="shared" si="2"/>
        <v>0</v>
      </c>
      <c r="O259" s="7"/>
    </row>
    <row r="260">
      <c r="A260" s="26" t="s">
        <v>1114</v>
      </c>
      <c r="B260" s="26" t="s">
        <v>1115</v>
      </c>
      <c r="C260" s="26" t="s">
        <v>589</v>
      </c>
      <c r="D260" s="27"/>
      <c r="E260" s="28" t="s">
        <v>1116</v>
      </c>
      <c r="F260" s="29"/>
      <c r="G260" s="13"/>
      <c r="H260" s="10"/>
      <c r="I260" s="7"/>
      <c r="J260" s="7"/>
      <c r="K260" s="7"/>
      <c r="L260" s="7"/>
      <c r="M260" s="7"/>
      <c r="N260" s="7">
        <f t="shared" si="2"/>
        <v>0</v>
      </c>
      <c r="O260" s="7"/>
    </row>
    <row r="261">
      <c r="A261" s="26" t="s">
        <v>1117</v>
      </c>
      <c r="B261" s="26" t="s">
        <v>1118</v>
      </c>
      <c r="C261" s="26" t="s">
        <v>589</v>
      </c>
      <c r="D261" s="26" t="s">
        <v>598</v>
      </c>
      <c r="E261" s="28" t="s">
        <v>1119</v>
      </c>
      <c r="F261" s="29"/>
      <c r="G261" s="13"/>
      <c r="H261" s="10"/>
      <c r="I261" s="7"/>
      <c r="J261" s="7"/>
      <c r="K261" s="7"/>
      <c r="L261" s="7"/>
      <c r="M261" s="7"/>
      <c r="N261" s="7">
        <f t="shared" si="2"/>
        <v>0</v>
      </c>
      <c r="O261" s="7"/>
    </row>
    <row r="262">
      <c r="A262" s="26" t="s">
        <v>1120</v>
      </c>
      <c r="B262" s="26" t="s">
        <v>1020</v>
      </c>
      <c r="C262" s="26" t="s">
        <v>589</v>
      </c>
      <c r="D262" s="27"/>
      <c r="E262" s="28" t="s">
        <v>1121</v>
      </c>
      <c r="F262" s="30" t="s">
        <v>1962</v>
      </c>
      <c r="G262" s="13"/>
      <c r="H262" s="10"/>
      <c r="I262" s="7"/>
      <c r="J262" s="7"/>
      <c r="K262" s="7"/>
      <c r="L262" s="7"/>
      <c r="M262" s="7"/>
      <c r="N262" s="7">
        <f t="shared" si="2"/>
        <v>1</v>
      </c>
      <c r="O262" s="7"/>
    </row>
    <row r="263">
      <c r="A263" s="26" t="s">
        <v>1123</v>
      </c>
      <c r="B263" s="26" t="s">
        <v>1124</v>
      </c>
      <c r="C263" s="26" t="s">
        <v>589</v>
      </c>
      <c r="D263" s="27"/>
      <c r="E263" s="28" t="s">
        <v>1125</v>
      </c>
      <c r="F263" s="30" t="s">
        <v>1963</v>
      </c>
      <c r="G263" s="13"/>
      <c r="H263" s="10"/>
      <c r="I263" s="7"/>
      <c r="J263" s="7"/>
      <c r="K263" s="7"/>
      <c r="L263" s="7"/>
      <c r="M263" s="7"/>
      <c r="N263" s="7">
        <f t="shared" si="2"/>
        <v>1</v>
      </c>
      <c r="O263" s="7"/>
    </row>
    <row r="264">
      <c r="A264" s="26" t="s">
        <v>1127</v>
      </c>
      <c r="B264" s="26" t="s">
        <v>1128</v>
      </c>
      <c r="C264" s="26" t="s">
        <v>589</v>
      </c>
      <c r="D264" s="27"/>
      <c r="E264" s="28" t="s">
        <v>1129</v>
      </c>
      <c r="F264" s="30" t="s">
        <v>1130</v>
      </c>
      <c r="G264" s="13"/>
      <c r="H264" s="10"/>
      <c r="I264" s="7"/>
      <c r="J264" s="7"/>
      <c r="K264" s="7"/>
      <c r="L264" s="7"/>
      <c r="M264" s="7"/>
      <c r="N264" s="7">
        <f t="shared" si="2"/>
        <v>1</v>
      </c>
      <c r="O264" s="7"/>
    </row>
    <row r="265">
      <c r="A265" s="26" t="s">
        <v>1131</v>
      </c>
      <c r="B265" s="31" t="s">
        <v>1132</v>
      </c>
      <c r="C265" s="26" t="s">
        <v>589</v>
      </c>
      <c r="D265" s="26" t="s">
        <v>598</v>
      </c>
      <c r="E265" s="28" t="s">
        <v>1133</v>
      </c>
      <c r="F265" s="29"/>
      <c r="G265" s="13"/>
      <c r="H265" s="10"/>
      <c r="I265" s="7"/>
      <c r="J265" s="7"/>
      <c r="K265" s="7"/>
      <c r="L265" s="7"/>
      <c r="M265" s="7"/>
      <c r="N265" s="7">
        <f t="shared" si="2"/>
        <v>0</v>
      </c>
      <c r="O265" s="7"/>
    </row>
    <row r="266">
      <c r="A266" s="26" t="s">
        <v>1134</v>
      </c>
      <c r="B266" s="31" t="s">
        <v>1135</v>
      </c>
      <c r="C266" s="26" t="s">
        <v>589</v>
      </c>
      <c r="D266" s="27"/>
      <c r="E266" s="28" t="s">
        <v>1136</v>
      </c>
      <c r="F266" s="29"/>
      <c r="G266" s="13"/>
      <c r="H266" s="10"/>
      <c r="I266" s="7"/>
      <c r="J266" s="7"/>
      <c r="K266" s="7"/>
      <c r="L266" s="7"/>
      <c r="M266" s="7"/>
      <c r="N266" s="7">
        <f t="shared" si="2"/>
        <v>0</v>
      </c>
      <c r="O266" s="7"/>
    </row>
    <row r="267">
      <c r="A267" s="31" t="s">
        <v>1138</v>
      </c>
      <c r="B267" s="26" t="s">
        <v>1139</v>
      </c>
      <c r="C267" s="26" t="s">
        <v>589</v>
      </c>
      <c r="D267" s="26" t="s">
        <v>598</v>
      </c>
      <c r="E267" s="27"/>
      <c r="F267" s="30" t="s">
        <v>1140</v>
      </c>
      <c r="G267" s="13"/>
      <c r="H267" s="10"/>
      <c r="I267" s="7"/>
      <c r="J267" s="7"/>
      <c r="K267" s="7"/>
      <c r="L267" s="7"/>
      <c r="M267" s="7"/>
      <c r="N267" s="7">
        <f t="shared" si="2"/>
        <v>1</v>
      </c>
      <c r="O267" s="7"/>
    </row>
    <row r="268">
      <c r="A268" s="26" t="s">
        <v>1141</v>
      </c>
      <c r="B268" s="26" t="s">
        <v>1142</v>
      </c>
      <c r="C268" s="26" t="s">
        <v>589</v>
      </c>
      <c r="D268" s="27"/>
      <c r="E268" s="28" t="s">
        <v>1143</v>
      </c>
      <c r="F268" s="30" t="s">
        <v>1144</v>
      </c>
      <c r="G268" s="13"/>
      <c r="H268" s="10"/>
      <c r="I268" s="7"/>
      <c r="J268" s="7"/>
      <c r="K268" s="7"/>
      <c r="L268" s="7"/>
      <c r="M268" s="7"/>
      <c r="N268" s="7">
        <f t="shared" si="2"/>
        <v>1</v>
      </c>
      <c r="O268" s="7"/>
    </row>
    <row r="269">
      <c r="A269" s="26" t="s">
        <v>1145</v>
      </c>
      <c r="B269" s="26" t="s">
        <v>1146</v>
      </c>
      <c r="C269" s="26" t="s">
        <v>584</v>
      </c>
      <c r="D269" s="27"/>
      <c r="E269" s="33" t="s">
        <v>1966</v>
      </c>
      <c r="F269" s="30" t="s">
        <v>1148</v>
      </c>
      <c r="G269" s="13"/>
      <c r="H269" s="10"/>
      <c r="I269" s="7"/>
      <c r="J269" s="7"/>
      <c r="K269" s="7"/>
      <c r="L269" s="7"/>
      <c r="M269" s="7"/>
      <c r="N269" s="7">
        <f t="shared" si="2"/>
        <v>1</v>
      </c>
      <c r="O269" s="7"/>
    </row>
    <row r="270">
      <c r="A270" s="26" t="s">
        <v>1149</v>
      </c>
      <c r="B270" s="26" t="s">
        <v>1150</v>
      </c>
      <c r="C270" s="26" t="s">
        <v>1151</v>
      </c>
      <c r="D270" s="27"/>
      <c r="E270" s="28" t="s">
        <v>1152</v>
      </c>
      <c r="F270" s="29"/>
      <c r="G270" s="13"/>
      <c r="H270" s="10"/>
      <c r="I270" s="7"/>
      <c r="J270" s="7"/>
      <c r="K270" s="7"/>
      <c r="L270" s="7"/>
      <c r="M270" s="7"/>
      <c r="N270" s="7">
        <f t="shared" si="2"/>
        <v>0</v>
      </c>
      <c r="O270" s="7"/>
    </row>
    <row r="271">
      <c r="A271" s="31" t="s">
        <v>1153</v>
      </c>
      <c r="B271" s="26" t="s">
        <v>1154</v>
      </c>
      <c r="C271" s="26" t="s">
        <v>589</v>
      </c>
      <c r="D271" s="27"/>
      <c r="E271" s="28" t="s">
        <v>1155</v>
      </c>
      <c r="F271" s="30" t="s">
        <v>1156</v>
      </c>
      <c r="G271" s="13"/>
      <c r="H271" s="10"/>
      <c r="I271" s="7"/>
      <c r="J271" s="7"/>
      <c r="K271" s="7"/>
      <c r="L271" s="7"/>
      <c r="M271" s="7"/>
      <c r="N271" s="7">
        <f t="shared" si="2"/>
        <v>1</v>
      </c>
      <c r="O271" s="7"/>
    </row>
    <row r="272">
      <c r="A272" s="26" t="s">
        <v>1157</v>
      </c>
      <c r="B272" s="26" t="s">
        <v>1158</v>
      </c>
      <c r="C272" s="26" t="s">
        <v>584</v>
      </c>
      <c r="D272" s="27"/>
      <c r="E272" s="28" t="s">
        <v>1159</v>
      </c>
      <c r="F272" s="29"/>
      <c r="G272" s="13"/>
      <c r="H272" s="10"/>
      <c r="I272" s="7"/>
      <c r="J272" s="7"/>
      <c r="K272" s="7"/>
      <c r="L272" s="7"/>
      <c r="M272" s="7"/>
      <c r="N272" s="7">
        <f t="shared" si="2"/>
        <v>0</v>
      </c>
      <c r="O272" s="7"/>
    </row>
    <row r="273">
      <c r="A273" s="26" t="s">
        <v>1160</v>
      </c>
      <c r="B273" s="26" t="s">
        <v>1161</v>
      </c>
      <c r="C273" s="26" t="s">
        <v>1162</v>
      </c>
      <c r="D273" s="27"/>
      <c r="E273" s="28" t="s">
        <v>1163</v>
      </c>
      <c r="F273" s="29"/>
      <c r="G273" s="13"/>
      <c r="H273" s="10"/>
      <c r="I273" s="7"/>
      <c r="J273" s="7"/>
      <c r="K273" s="7"/>
      <c r="L273" s="7"/>
      <c r="M273" s="7"/>
      <c r="N273" s="7">
        <f t="shared" si="2"/>
        <v>0</v>
      </c>
      <c r="O273" s="7"/>
    </row>
    <row r="274">
      <c r="A274" s="26" t="s">
        <v>1164</v>
      </c>
      <c r="B274" s="26" t="s">
        <v>1165</v>
      </c>
      <c r="C274" s="26" t="s">
        <v>589</v>
      </c>
      <c r="D274" s="27"/>
      <c r="E274" s="28" t="s">
        <v>1166</v>
      </c>
      <c r="F274" s="30" t="s">
        <v>1167</v>
      </c>
      <c r="G274" s="13"/>
      <c r="H274" s="10"/>
      <c r="I274" s="7"/>
      <c r="J274" s="7"/>
      <c r="K274" s="7"/>
      <c r="L274" s="7"/>
      <c r="M274" s="7"/>
      <c r="N274" s="7">
        <f t="shared" si="2"/>
        <v>1</v>
      </c>
      <c r="O274" s="7"/>
    </row>
    <row r="275">
      <c r="A275" s="26" t="s">
        <v>1168</v>
      </c>
      <c r="B275" s="26" t="s">
        <v>1169</v>
      </c>
      <c r="C275" s="26" t="s">
        <v>1059</v>
      </c>
      <c r="D275" s="27"/>
      <c r="E275" s="28" t="s">
        <v>1170</v>
      </c>
      <c r="F275" s="30" t="s">
        <v>1935</v>
      </c>
      <c r="G275" s="13"/>
      <c r="H275" s="10"/>
      <c r="I275" s="7"/>
      <c r="J275" s="7"/>
      <c r="K275" s="7"/>
      <c r="L275" s="7"/>
      <c r="M275" s="7"/>
      <c r="N275" s="7">
        <f t="shared" si="2"/>
        <v>1</v>
      </c>
      <c r="O275" s="7"/>
    </row>
    <row r="276" ht="16.5" customHeight="1">
      <c r="A276" s="26" t="s">
        <v>1172</v>
      </c>
      <c r="B276" s="26" t="s">
        <v>1173</v>
      </c>
      <c r="C276" s="26" t="s">
        <v>589</v>
      </c>
      <c r="D276" s="28" t="s">
        <v>1174</v>
      </c>
      <c r="E276" s="33" t="s">
        <v>1967</v>
      </c>
      <c r="F276" s="30" t="s">
        <v>1176</v>
      </c>
      <c r="G276" s="13"/>
      <c r="H276" s="10"/>
      <c r="I276" s="7"/>
      <c r="J276" s="7"/>
      <c r="K276" s="7"/>
      <c r="L276" s="7"/>
      <c r="M276" s="7"/>
      <c r="N276" s="7">
        <f t="shared" si="2"/>
        <v>1</v>
      </c>
      <c r="O276" s="7"/>
    </row>
    <row r="277" ht="15.75" customHeight="1">
      <c r="A277" s="26" t="s">
        <v>1177</v>
      </c>
      <c r="B277" s="26" t="s">
        <v>1178</v>
      </c>
      <c r="C277" s="26" t="s">
        <v>589</v>
      </c>
      <c r="D277" s="28" t="s">
        <v>1174</v>
      </c>
      <c r="E277" s="28" t="s">
        <v>1179</v>
      </c>
      <c r="F277" s="30" t="s">
        <v>1180</v>
      </c>
      <c r="G277" s="13"/>
      <c r="H277" s="10"/>
      <c r="I277" s="7"/>
      <c r="J277" s="7"/>
      <c r="K277" s="7"/>
      <c r="L277" s="7"/>
      <c r="M277" s="7"/>
      <c r="N277" s="7">
        <f t="shared" si="2"/>
        <v>1</v>
      </c>
      <c r="O277" s="7"/>
    </row>
    <row r="278">
      <c r="A278" s="26" t="s">
        <v>1184</v>
      </c>
      <c r="B278" s="26" t="s">
        <v>1185</v>
      </c>
      <c r="C278" s="26" t="s">
        <v>835</v>
      </c>
      <c r="D278" s="26" t="s">
        <v>635</v>
      </c>
      <c r="E278" s="28" t="s">
        <v>1186</v>
      </c>
      <c r="F278" s="29"/>
      <c r="G278" s="13"/>
      <c r="H278" s="10"/>
      <c r="I278" s="7"/>
      <c r="J278" s="7"/>
      <c r="K278" s="7"/>
      <c r="L278" s="7"/>
      <c r="M278" s="7"/>
      <c r="N278" s="7">
        <f t="shared" si="2"/>
        <v>0</v>
      </c>
      <c r="O278" s="7"/>
    </row>
    <row r="279">
      <c r="A279" s="26" t="s">
        <v>1187</v>
      </c>
      <c r="B279" s="26" t="s">
        <v>1188</v>
      </c>
      <c r="C279" s="26" t="s">
        <v>589</v>
      </c>
      <c r="D279" s="27"/>
      <c r="E279" s="28" t="s">
        <v>1189</v>
      </c>
      <c r="F279" s="30" t="s">
        <v>1190</v>
      </c>
      <c r="G279" s="13"/>
      <c r="H279" s="10"/>
      <c r="I279" s="7"/>
      <c r="J279" s="7"/>
      <c r="K279" s="7"/>
      <c r="L279" s="7"/>
      <c r="M279" s="7"/>
      <c r="N279" s="7">
        <f t="shared" si="2"/>
        <v>1</v>
      </c>
      <c r="O279" s="7"/>
    </row>
    <row r="280">
      <c r="A280" s="26" t="s">
        <v>1191</v>
      </c>
      <c r="B280" s="26" t="s">
        <v>1192</v>
      </c>
      <c r="C280" s="26" t="s">
        <v>589</v>
      </c>
      <c r="D280" s="27"/>
      <c r="E280" s="28" t="s">
        <v>1193</v>
      </c>
      <c r="F280" s="30" t="s">
        <v>1194</v>
      </c>
      <c r="G280" s="13"/>
      <c r="H280" s="10"/>
      <c r="I280" s="7"/>
      <c r="J280" s="7"/>
      <c r="K280" s="7"/>
      <c r="L280" s="7"/>
      <c r="M280" s="7"/>
      <c r="N280" s="7">
        <f t="shared" si="2"/>
        <v>1</v>
      </c>
      <c r="O280" s="7"/>
    </row>
    <row r="281">
      <c r="A281" s="26" t="s">
        <v>1195</v>
      </c>
      <c r="B281" s="26" t="s">
        <v>1196</v>
      </c>
      <c r="C281" s="26" t="s">
        <v>648</v>
      </c>
      <c r="D281" s="27"/>
      <c r="E281" s="28" t="s">
        <v>1197</v>
      </c>
      <c r="F281" s="29"/>
      <c r="G281" s="13"/>
      <c r="H281" s="10"/>
      <c r="I281" s="7"/>
      <c r="J281" s="7"/>
      <c r="K281" s="7"/>
      <c r="L281" s="7"/>
      <c r="M281" s="7"/>
      <c r="N281" s="7">
        <f t="shared" si="2"/>
        <v>0</v>
      </c>
      <c r="O281" s="7"/>
    </row>
    <row r="282">
      <c r="A282" s="26" t="s">
        <v>1198</v>
      </c>
      <c r="B282" s="26" t="s">
        <v>1199</v>
      </c>
      <c r="C282" s="26" t="s">
        <v>589</v>
      </c>
      <c r="D282" s="27"/>
      <c r="E282" s="32" t="s">
        <v>1200</v>
      </c>
      <c r="F282" s="30" t="s">
        <v>1968</v>
      </c>
      <c r="G282" s="13"/>
      <c r="H282" s="10"/>
      <c r="I282" s="7"/>
      <c r="J282" s="7"/>
      <c r="K282" s="7"/>
      <c r="L282" s="7"/>
      <c r="M282" s="7"/>
      <c r="N282" s="7">
        <f t="shared" si="2"/>
        <v>1</v>
      </c>
      <c r="O282" s="7"/>
    </row>
    <row r="283">
      <c r="A283" s="26" t="s">
        <v>1202</v>
      </c>
      <c r="B283" s="26" t="s">
        <v>1203</v>
      </c>
      <c r="C283" s="26" t="s">
        <v>1204</v>
      </c>
      <c r="D283" s="27"/>
      <c r="E283" s="28" t="s">
        <v>1205</v>
      </c>
      <c r="F283" s="30" t="s">
        <v>1206</v>
      </c>
      <c r="G283" s="13"/>
      <c r="H283" s="10"/>
      <c r="I283" s="7"/>
      <c r="J283" s="7"/>
      <c r="K283" s="7"/>
      <c r="L283" s="7"/>
      <c r="M283" s="7"/>
      <c r="N283" s="7">
        <f t="shared" si="2"/>
        <v>1</v>
      </c>
      <c r="O283" s="7"/>
    </row>
    <row r="284">
      <c r="A284" s="26" t="s">
        <v>1207</v>
      </c>
      <c r="B284" s="26" t="s">
        <v>1208</v>
      </c>
      <c r="C284" s="26" t="s">
        <v>589</v>
      </c>
      <c r="D284" s="27"/>
      <c r="E284" s="28" t="s">
        <v>1209</v>
      </c>
      <c r="F284" s="30" t="s">
        <v>1210</v>
      </c>
      <c r="G284" s="13"/>
      <c r="H284" s="10"/>
      <c r="I284" s="7"/>
      <c r="J284" s="7"/>
      <c r="K284" s="7"/>
      <c r="L284" s="7"/>
      <c r="M284" s="7"/>
      <c r="N284" s="7">
        <f t="shared" si="2"/>
        <v>1</v>
      </c>
      <c r="O284" s="7"/>
    </row>
    <row r="285">
      <c r="A285" s="31" t="s">
        <v>1212</v>
      </c>
      <c r="B285" s="26" t="s">
        <v>1213</v>
      </c>
      <c r="C285" s="26" t="s">
        <v>589</v>
      </c>
      <c r="D285" s="26" t="s">
        <v>598</v>
      </c>
      <c r="E285" s="28" t="s">
        <v>1214</v>
      </c>
      <c r="F285" s="30" t="s">
        <v>1215</v>
      </c>
      <c r="G285" s="13"/>
      <c r="H285" s="10"/>
      <c r="I285" s="7"/>
      <c r="J285" s="7"/>
      <c r="K285" s="7"/>
      <c r="L285" s="7"/>
      <c r="M285" s="7"/>
      <c r="N285" s="7">
        <f t="shared" si="2"/>
        <v>1</v>
      </c>
      <c r="O285" s="7"/>
    </row>
    <row r="286">
      <c r="A286" s="26" t="s">
        <v>1216</v>
      </c>
      <c r="B286" s="26" t="s">
        <v>1217</v>
      </c>
      <c r="C286" s="26" t="s">
        <v>584</v>
      </c>
      <c r="D286" s="26" t="s">
        <v>635</v>
      </c>
      <c r="E286" s="28" t="s">
        <v>1218</v>
      </c>
      <c r="F286" s="29"/>
      <c r="G286" s="13"/>
      <c r="H286" s="10"/>
      <c r="I286" s="7"/>
      <c r="J286" s="7"/>
      <c r="K286" s="7"/>
      <c r="L286" s="7"/>
      <c r="M286" s="7"/>
      <c r="N286" s="7">
        <f t="shared" si="2"/>
        <v>0</v>
      </c>
      <c r="O286" s="7"/>
    </row>
    <row r="287">
      <c r="A287" s="26" t="s">
        <v>1219</v>
      </c>
      <c r="B287" s="26" t="s">
        <v>1220</v>
      </c>
      <c r="C287" s="26" t="s">
        <v>584</v>
      </c>
      <c r="D287" s="27"/>
      <c r="E287" s="28" t="s">
        <v>1221</v>
      </c>
      <c r="F287" s="29"/>
      <c r="G287" s="13"/>
      <c r="H287" s="10"/>
      <c r="I287" s="7"/>
      <c r="J287" s="7"/>
      <c r="K287" s="7"/>
      <c r="L287" s="7"/>
      <c r="M287" s="7"/>
      <c r="N287" s="7">
        <f t="shared" si="2"/>
        <v>0</v>
      </c>
      <c r="O287" s="7"/>
    </row>
    <row r="288">
      <c r="A288" s="26" t="s">
        <v>1223</v>
      </c>
      <c r="B288" s="31" t="s">
        <v>1224</v>
      </c>
      <c r="C288" s="26" t="s">
        <v>589</v>
      </c>
      <c r="D288" s="26" t="s">
        <v>635</v>
      </c>
      <c r="E288" s="28" t="s">
        <v>1225</v>
      </c>
      <c r="F288" s="30" t="s">
        <v>1226</v>
      </c>
      <c r="G288" s="13"/>
      <c r="H288" s="10"/>
      <c r="I288" s="7"/>
      <c r="J288" s="7"/>
      <c r="K288" s="7"/>
      <c r="L288" s="7"/>
      <c r="M288" s="7"/>
      <c r="N288" s="7">
        <f t="shared" si="2"/>
        <v>1</v>
      </c>
      <c r="O288" s="7"/>
    </row>
    <row r="289">
      <c r="A289" s="26" t="s">
        <v>1227</v>
      </c>
      <c r="B289" s="26" t="s">
        <v>1228</v>
      </c>
      <c r="C289" s="26" t="s">
        <v>589</v>
      </c>
      <c r="D289" s="27"/>
      <c r="E289" s="28" t="s">
        <v>1229</v>
      </c>
      <c r="F289" s="29"/>
      <c r="G289" s="13"/>
      <c r="H289" s="10"/>
      <c r="I289" s="7"/>
      <c r="J289" s="7"/>
      <c r="K289" s="7"/>
      <c r="L289" s="7"/>
      <c r="M289" s="7"/>
      <c r="N289" s="7">
        <f t="shared" si="2"/>
        <v>0</v>
      </c>
      <c r="O289" s="7"/>
    </row>
    <row r="290">
      <c r="A290" s="26" t="s">
        <v>1230</v>
      </c>
      <c r="B290" s="26" t="s">
        <v>1231</v>
      </c>
      <c r="C290" s="26" t="s">
        <v>589</v>
      </c>
      <c r="D290" s="26" t="s">
        <v>598</v>
      </c>
      <c r="E290" s="28" t="s">
        <v>1232</v>
      </c>
      <c r="F290" s="30" t="s">
        <v>1233</v>
      </c>
      <c r="G290" s="13"/>
      <c r="H290" s="10"/>
      <c r="I290" s="7"/>
      <c r="J290" s="7"/>
      <c r="K290" s="7"/>
      <c r="L290" s="7"/>
      <c r="M290" s="7"/>
      <c r="N290" s="7">
        <f t="shared" si="2"/>
        <v>1</v>
      </c>
      <c r="O290" s="7"/>
    </row>
    <row r="291">
      <c r="A291" s="26" t="s">
        <v>1234</v>
      </c>
      <c r="B291" s="26" t="s">
        <v>1235</v>
      </c>
      <c r="C291" s="26" t="s">
        <v>589</v>
      </c>
      <c r="D291" s="27"/>
      <c r="E291" s="28" t="s">
        <v>1236</v>
      </c>
      <c r="F291" s="30" t="s">
        <v>1237</v>
      </c>
      <c r="G291" s="13"/>
      <c r="H291" s="10"/>
      <c r="I291" s="7"/>
      <c r="J291" s="7"/>
      <c r="K291" s="7"/>
      <c r="L291" s="7"/>
      <c r="M291" s="7"/>
      <c r="N291" s="7">
        <f t="shared" si="2"/>
        <v>1</v>
      </c>
      <c r="O291" s="7"/>
    </row>
    <row r="292">
      <c r="A292" s="26" t="s">
        <v>1241</v>
      </c>
      <c r="B292" s="26" t="s">
        <v>1242</v>
      </c>
      <c r="C292" s="26" t="s">
        <v>589</v>
      </c>
      <c r="D292" s="26" t="s">
        <v>598</v>
      </c>
      <c r="E292" s="28" t="s">
        <v>1243</v>
      </c>
      <c r="F292" s="29"/>
      <c r="G292" s="13"/>
      <c r="H292" s="10"/>
      <c r="I292" s="7"/>
      <c r="J292" s="7"/>
      <c r="K292" s="7"/>
      <c r="L292" s="7"/>
      <c r="M292" s="7"/>
      <c r="N292" s="7">
        <f t="shared" si="2"/>
        <v>0</v>
      </c>
      <c r="O292" s="7"/>
    </row>
    <row r="293">
      <c r="A293" s="26" t="s">
        <v>1244</v>
      </c>
      <c r="B293" s="26" t="s">
        <v>1245</v>
      </c>
      <c r="C293" s="26" t="s">
        <v>584</v>
      </c>
      <c r="D293" s="26" t="s">
        <v>635</v>
      </c>
      <c r="E293" s="28" t="s">
        <v>1246</v>
      </c>
      <c r="F293" s="29"/>
      <c r="G293" s="13"/>
      <c r="H293" s="10"/>
      <c r="I293" s="7"/>
      <c r="J293" s="7"/>
      <c r="K293" s="7"/>
      <c r="L293" s="7"/>
      <c r="M293" s="7"/>
      <c r="N293" s="7">
        <f t="shared" si="2"/>
        <v>0</v>
      </c>
      <c r="O293" s="7"/>
    </row>
    <row r="294">
      <c r="A294" s="26" t="s">
        <v>1247</v>
      </c>
      <c r="B294" s="26" t="s">
        <v>1248</v>
      </c>
      <c r="C294" s="26" t="s">
        <v>589</v>
      </c>
      <c r="D294" s="27"/>
      <c r="E294" s="28" t="s">
        <v>1249</v>
      </c>
      <c r="F294" s="35" t="s">
        <v>166</v>
      </c>
      <c r="I294" s="7"/>
      <c r="J294" s="7"/>
      <c r="K294" s="7"/>
      <c r="L294" s="7"/>
      <c r="M294" s="7"/>
      <c r="N294" s="7">
        <f t="shared" si="2"/>
        <v>1</v>
      </c>
      <c r="O294" s="7"/>
    </row>
    <row r="295">
      <c r="A295" s="26" t="s">
        <v>1250</v>
      </c>
      <c r="B295" s="26" t="s">
        <v>1251</v>
      </c>
      <c r="C295" s="26" t="s">
        <v>589</v>
      </c>
      <c r="D295" s="27"/>
      <c r="E295" s="28" t="s">
        <v>1252</v>
      </c>
      <c r="F295" s="29"/>
      <c r="G295" s="13"/>
      <c r="H295" s="10"/>
      <c r="I295" s="7"/>
      <c r="J295" s="7"/>
      <c r="K295" s="7"/>
      <c r="L295" s="7"/>
      <c r="M295" s="7"/>
      <c r="N295" s="7">
        <f t="shared" si="2"/>
        <v>0</v>
      </c>
      <c r="O295" s="7"/>
    </row>
    <row r="296">
      <c r="A296" s="26" t="s">
        <v>1253</v>
      </c>
      <c r="B296" s="31" t="s">
        <v>1254</v>
      </c>
      <c r="C296" s="26" t="s">
        <v>589</v>
      </c>
      <c r="D296" s="26" t="s">
        <v>635</v>
      </c>
      <c r="E296" s="28" t="s">
        <v>1255</v>
      </c>
      <c r="F296" s="29"/>
      <c r="G296" s="13"/>
      <c r="H296" s="10"/>
      <c r="I296" s="7"/>
      <c r="J296" s="7"/>
      <c r="K296" s="7"/>
      <c r="L296" s="7"/>
      <c r="M296" s="7"/>
      <c r="N296" s="7">
        <f t="shared" si="2"/>
        <v>0</v>
      </c>
      <c r="O296" s="7"/>
    </row>
    <row r="297">
      <c r="A297" s="26" t="s">
        <v>1256</v>
      </c>
      <c r="B297" s="26" t="s">
        <v>1257</v>
      </c>
      <c r="C297" s="26" t="s">
        <v>589</v>
      </c>
      <c r="D297" s="26" t="s">
        <v>635</v>
      </c>
      <c r="E297" s="28" t="s">
        <v>1258</v>
      </c>
      <c r="F297" s="30" t="s">
        <v>1259</v>
      </c>
      <c r="G297" s="13"/>
      <c r="H297" s="10"/>
      <c r="I297" s="7"/>
      <c r="J297" s="7"/>
      <c r="K297" s="7"/>
      <c r="L297" s="7"/>
      <c r="M297" s="7"/>
      <c r="N297" s="7">
        <f t="shared" si="2"/>
        <v>1</v>
      </c>
      <c r="O297" s="7"/>
    </row>
    <row r="298">
      <c r="A298" s="26" t="s">
        <v>1260</v>
      </c>
      <c r="B298" s="26" t="s">
        <v>1261</v>
      </c>
      <c r="C298" s="26" t="s">
        <v>589</v>
      </c>
      <c r="D298" s="27"/>
      <c r="E298" s="28" t="s">
        <v>1262</v>
      </c>
      <c r="F298" s="29"/>
      <c r="G298" s="13"/>
      <c r="H298" s="10"/>
      <c r="I298" s="7"/>
      <c r="J298" s="7"/>
      <c r="K298" s="7"/>
      <c r="L298" s="7"/>
      <c r="M298" s="7"/>
      <c r="N298" s="7">
        <f t="shared" si="2"/>
        <v>0</v>
      </c>
      <c r="O298" s="7"/>
    </row>
    <row r="299">
      <c r="A299" s="26" t="s">
        <v>1264</v>
      </c>
      <c r="B299" s="26" t="s">
        <v>1265</v>
      </c>
      <c r="C299" s="26" t="s">
        <v>589</v>
      </c>
      <c r="D299" s="27"/>
      <c r="E299" s="28" t="s">
        <v>1266</v>
      </c>
      <c r="F299" s="30" t="s">
        <v>1972</v>
      </c>
      <c r="G299" s="13"/>
      <c r="H299" s="10"/>
      <c r="I299" s="7"/>
      <c r="J299" s="7"/>
      <c r="K299" s="7"/>
      <c r="L299" s="7"/>
      <c r="M299" s="7"/>
      <c r="N299" s="7">
        <f t="shared" si="2"/>
        <v>1</v>
      </c>
      <c r="O299" s="7"/>
    </row>
    <row r="300">
      <c r="A300" s="26" t="s">
        <v>1268</v>
      </c>
      <c r="B300" s="26" t="s">
        <v>1269</v>
      </c>
      <c r="C300" s="26" t="s">
        <v>589</v>
      </c>
      <c r="D300" s="26" t="s">
        <v>635</v>
      </c>
      <c r="E300" s="33" t="s">
        <v>1973</v>
      </c>
      <c r="F300" s="30" t="s">
        <v>1271</v>
      </c>
      <c r="G300" s="13"/>
      <c r="H300" s="10"/>
      <c r="I300" s="7"/>
      <c r="J300" s="7"/>
      <c r="K300" s="7"/>
      <c r="L300" s="7"/>
      <c r="M300" s="7"/>
      <c r="N300" s="7">
        <f t="shared" si="2"/>
        <v>1</v>
      </c>
      <c r="O300" s="7"/>
    </row>
    <row r="301">
      <c r="A301" s="26" t="s">
        <v>1272</v>
      </c>
      <c r="B301" s="31" t="s">
        <v>1273</v>
      </c>
      <c r="C301" s="26" t="s">
        <v>589</v>
      </c>
      <c r="D301" s="27"/>
      <c r="E301" s="28" t="s">
        <v>1274</v>
      </c>
      <c r="F301" s="29"/>
      <c r="G301" s="13"/>
      <c r="H301" s="10"/>
      <c r="I301" s="7"/>
      <c r="J301" s="7"/>
      <c r="K301" s="7"/>
      <c r="L301" s="7"/>
      <c r="M301" s="7"/>
      <c r="N301" s="7">
        <f t="shared" si="2"/>
        <v>0</v>
      </c>
      <c r="O301" s="7"/>
    </row>
    <row r="302">
      <c r="A302" s="26" t="s">
        <v>1275</v>
      </c>
      <c r="B302" s="26" t="s">
        <v>1276</v>
      </c>
      <c r="C302" s="26" t="s">
        <v>589</v>
      </c>
      <c r="D302" s="27"/>
      <c r="E302" s="28" t="s">
        <v>1277</v>
      </c>
      <c r="F302" s="30" t="s">
        <v>1974</v>
      </c>
      <c r="G302" s="13"/>
      <c r="H302" s="10"/>
      <c r="I302" s="7"/>
      <c r="J302" s="7"/>
      <c r="K302" s="7"/>
      <c r="L302" s="7"/>
      <c r="M302" s="7"/>
      <c r="N302" s="7">
        <f t="shared" si="2"/>
        <v>1</v>
      </c>
      <c r="O302" s="7"/>
    </row>
    <row r="303">
      <c r="A303" s="26" t="s">
        <v>1280</v>
      </c>
      <c r="B303" s="26" t="s">
        <v>1281</v>
      </c>
      <c r="C303" s="26" t="s">
        <v>584</v>
      </c>
      <c r="D303" s="26" t="s">
        <v>635</v>
      </c>
      <c r="E303" s="28" t="s">
        <v>1282</v>
      </c>
      <c r="F303" s="29"/>
      <c r="G303" s="13"/>
      <c r="H303" s="10"/>
      <c r="I303" s="7"/>
      <c r="J303" s="7"/>
      <c r="K303" s="7"/>
      <c r="L303" s="7"/>
      <c r="M303" s="7"/>
      <c r="N303" s="7">
        <f t="shared" si="2"/>
        <v>0</v>
      </c>
      <c r="O303" s="7"/>
    </row>
    <row r="304">
      <c r="A304" s="26" t="s">
        <v>1283</v>
      </c>
      <c r="B304" s="26" t="s">
        <v>1284</v>
      </c>
      <c r="C304" s="26" t="s">
        <v>589</v>
      </c>
      <c r="D304" s="27"/>
      <c r="E304" s="28" t="s">
        <v>1285</v>
      </c>
      <c r="F304" s="29"/>
      <c r="G304" s="13"/>
      <c r="H304" s="10"/>
      <c r="I304" s="7"/>
      <c r="J304" s="7"/>
      <c r="K304" s="7"/>
      <c r="L304" s="7"/>
      <c r="M304" s="7"/>
      <c r="N304" s="7">
        <f t="shared" si="2"/>
        <v>0</v>
      </c>
      <c r="O304" s="7"/>
    </row>
    <row r="305">
      <c r="A305" s="26" t="s">
        <v>1286</v>
      </c>
      <c r="B305" s="26" t="s">
        <v>1287</v>
      </c>
      <c r="C305" s="26" t="s">
        <v>584</v>
      </c>
      <c r="D305" s="27"/>
      <c r="E305" s="33" t="s">
        <v>1975</v>
      </c>
      <c r="F305" s="29"/>
      <c r="G305" s="13"/>
      <c r="H305" s="10"/>
      <c r="I305" s="7"/>
      <c r="J305" s="7"/>
      <c r="K305" s="7"/>
      <c r="L305" s="7"/>
      <c r="M305" s="7"/>
      <c r="N305" s="7">
        <f t="shared" si="2"/>
        <v>0</v>
      </c>
      <c r="O305" s="7"/>
    </row>
    <row r="306">
      <c r="A306" s="26" t="s">
        <v>1289</v>
      </c>
      <c r="B306" s="26" t="s">
        <v>1290</v>
      </c>
      <c r="C306" s="26" t="s">
        <v>589</v>
      </c>
      <c r="D306" s="26" t="s">
        <v>1026</v>
      </c>
      <c r="E306" s="27"/>
      <c r="F306" s="30" t="s">
        <v>1291</v>
      </c>
      <c r="G306" s="13"/>
      <c r="H306" s="10"/>
      <c r="I306" s="7"/>
      <c r="J306" s="7"/>
      <c r="K306" s="7"/>
      <c r="L306" s="7"/>
      <c r="M306" s="7"/>
      <c r="N306" s="7">
        <f t="shared" si="2"/>
        <v>1</v>
      </c>
      <c r="O306" s="7"/>
    </row>
    <row r="307">
      <c r="A307" s="26" t="s">
        <v>1292</v>
      </c>
      <c r="B307" s="26" t="s">
        <v>1293</v>
      </c>
      <c r="C307" s="26" t="s">
        <v>589</v>
      </c>
      <c r="D307" s="27"/>
      <c r="E307" s="28" t="s">
        <v>1294</v>
      </c>
      <c r="F307" s="29"/>
      <c r="G307" s="13"/>
      <c r="H307" s="10"/>
      <c r="I307" s="7"/>
      <c r="J307" s="7"/>
      <c r="K307" s="7"/>
      <c r="L307" s="7"/>
      <c r="M307" s="7"/>
      <c r="N307" s="7">
        <f t="shared" si="2"/>
        <v>0</v>
      </c>
      <c r="O307" s="7"/>
    </row>
    <row r="308">
      <c r="A308" s="26" t="s">
        <v>1295</v>
      </c>
      <c r="B308" s="26" t="s">
        <v>1296</v>
      </c>
      <c r="C308" s="26" t="s">
        <v>589</v>
      </c>
      <c r="D308" s="27"/>
      <c r="E308" s="28" t="s">
        <v>1297</v>
      </c>
      <c r="F308" s="29"/>
      <c r="G308" s="13"/>
      <c r="H308" s="10"/>
      <c r="I308" s="7"/>
      <c r="J308" s="7"/>
      <c r="K308" s="7"/>
      <c r="L308" s="7"/>
      <c r="M308" s="7"/>
      <c r="N308" s="7">
        <f t="shared" si="2"/>
        <v>0</v>
      </c>
      <c r="O308" s="7"/>
    </row>
    <row r="309">
      <c r="A309" s="26" t="s">
        <v>1299</v>
      </c>
      <c r="B309" s="26" t="s">
        <v>1300</v>
      </c>
      <c r="C309" s="26" t="s">
        <v>589</v>
      </c>
      <c r="D309" s="27"/>
      <c r="E309" s="28" t="s">
        <v>1301</v>
      </c>
      <c r="F309" s="29"/>
      <c r="G309" s="13"/>
      <c r="H309" s="10"/>
      <c r="I309" s="7"/>
      <c r="J309" s="7"/>
      <c r="K309" s="7"/>
      <c r="L309" s="7"/>
      <c r="M309" s="7"/>
      <c r="N309" s="7">
        <f t="shared" si="2"/>
        <v>0</v>
      </c>
      <c r="O309" s="7"/>
    </row>
    <row r="310">
      <c r="A310" s="26" t="s">
        <v>1302</v>
      </c>
      <c r="B310" s="26" t="s">
        <v>1303</v>
      </c>
      <c r="C310" s="26" t="s">
        <v>584</v>
      </c>
      <c r="D310" s="27"/>
      <c r="E310" s="28" t="s">
        <v>1304</v>
      </c>
      <c r="F310" s="29"/>
      <c r="G310" s="13"/>
      <c r="H310" s="10"/>
      <c r="I310" s="7"/>
      <c r="J310" s="7"/>
      <c r="K310" s="7"/>
      <c r="L310" s="7"/>
      <c r="M310" s="7"/>
      <c r="N310" s="7">
        <f t="shared" si="2"/>
        <v>0</v>
      </c>
      <c r="O310" s="7"/>
    </row>
    <row r="311">
      <c r="A311" s="31" t="s">
        <v>1305</v>
      </c>
      <c r="B311" s="26" t="s">
        <v>1058</v>
      </c>
      <c r="C311" s="26" t="s">
        <v>589</v>
      </c>
      <c r="D311" s="27"/>
      <c r="E311" s="28" t="s">
        <v>1306</v>
      </c>
      <c r="F311" s="30" t="s">
        <v>1947</v>
      </c>
      <c r="G311" s="13"/>
      <c r="H311" s="10"/>
      <c r="I311" s="7"/>
      <c r="J311" s="7"/>
      <c r="K311" s="7"/>
      <c r="L311" s="7"/>
      <c r="M311" s="7"/>
      <c r="N311" s="7">
        <f t="shared" si="2"/>
        <v>1</v>
      </c>
      <c r="O311" s="7"/>
    </row>
    <row r="312">
      <c r="A312" s="31" t="s">
        <v>1308</v>
      </c>
      <c r="B312" s="26" t="s">
        <v>1309</v>
      </c>
      <c r="C312" s="26" t="s">
        <v>589</v>
      </c>
      <c r="D312" s="27"/>
      <c r="E312" s="28" t="s">
        <v>1310</v>
      </c>
      <c r="F312" s="29"/>
      <c r="G312" s="13"/>
      <c r="H312" s="10"/>
      <c r="I312" s="7"/>
      <c r="J312" s="7"/>
      <c r="K312" s="7"/>
      <c r="L312" s="7"/>
      <c r="M312" s="7"/>
      <c r="N312" s="7">
        <f t="shared" si="2"/>
        <v>0</v>
      </c>
      <c r="O312" s="7"/>
    </row>
    <row r="313">
      <c r="A313" s="31" t="s">
        <v>1311</v>
      </c>
      <c r="B313" s="26" t="s">
        <v>1312</v>
      </c>
      <c r="C313" s="26" t="s">
        <v>589</v>
      </c>
      <c r="D313" s="26" t="s">
        <v>598</v>
      </c>
      <c r="E313" s="28" t="s">
        <v>1313</v>
      </c>
      <c r="F313" s="30" t="s">
        <v>1948</v>
      </c>
      <c r="G313" s="13"/>
      <c r="H313" s="10"/>
      <c r="I313" s="7"/>
      <c r="J313" s="7"/>
      <c r="K313" s="7"/>
      <c r="L313" s="7"/>
      <c r="M313" s="7"/>
      <c r="N313" s="7">
        <f t="shared" si="2"/>
        <v>1</v>
      </c>
      <c r="O313" s="7"/>
    </row>
    <row r="314">
      <c r="A314" s="26" t="s">
        <v>1315</v>
      </c>
      <c r="B314" s="26" t="s">
        <v>1316</v>
      </c>
      <c r="C314" s="26" t="s">
        <v>589</v>
      </c>
      <c r="D314" s="26" t="s">
        <v>598</v>
      </c>
      <c r="E314" s="28" t="s">
        <v>1317</v>
      </c>
      <c r="F314" s="29"/>
      <c r="G314" s="13"/>
      <c r="H314" s="10"/>
      <c r="I314" s="7"/>
      <c r="J314" s="7"/>
      <c r="K314" s="7"/>
      <c r="L314" s="7"/>
      <c r="M314" s="7"/>
      <c r="N314" s="7">
        <f t="shared" si="2"/>
        <v>0</v>
      </c>
      <c r="O314" s="7"/>
    </row>
    <row r="315">
      <c r="A315" s="26" t="s">
        <v>1319</v>
      </c>
      <c r="B315" s="26" t="s">
        <v>1320</v>
      </c>
      <c r="C315" s="26" t="s">
        <v>589</v>
      </c>
      <c r="D315" s="27"/>
      <c r="E315" s="34" t="s">
        <v>1321</v>
      </c>
      <c r="F315" s="30" t="s">
        <v>1322</v>
      </c>
      <c r="G315" s="13"/>
      <c r="H315" s="10"/>
      <c r="I315" s="7"/>
      <c r="J315" s="7"/>
      <c r="K315" s="7"/>
      <c r="L315" s="7"/>
      <c r="M315" s="7"/>
      <c r="N315" s="7">
        <f t="shared" si="2"/>
        <v>1</v>
      </c>
      <c r="O315" s="7"/>
    </row>
    <row r="316">
      <c r="A316" s="26" t="s">
        <v>1323</v>
      </c>
      <c r="B316" s="26" t="s">
        <v>1324</v>
      </c>
      <c r="C316" s="26" t="s">
        <v>589</v>
      </c>
      <c r="D316" s="26" t="s">
        <v>598</v>
      </c>
      <c r="E316" s="28" t="s">
        <v>1325</v>
      </c>
      <c r="F316" s="29"/>
      <c r="G316" s="13"/>
      <c r="H316" s="10"/>
      <c r="I316" s="7"/>
      <c r="J316" s="7"/>
      <c r="K316" s="7"/>
      <c r="L316" s="7"/>
      <c r="M316" s="7"/>
      <c r="N316" s="7">
        <f t="shared" si="2"/>
        <v>0</v>
      </c>
      <c r="O316" s="7"/>
    </row>
    <row r="317">
      <c r="A317" s="26" t="s">
        <v>1326</v>
      </c>
      <c r="B317" s="26" t="s">
        <v>1327</v>
      </c>
      <c r="C317" s="26" t="s">
        <v>589</v>
      </c>
      <c r="D317" s="27"/>
      <c r="E317" s="28" t="s">
        <v>1328</v>
      </c>
      <c r="F317" s="30" t="s">
        <v>1329</v>
      </c>
      <c r="G317" s="13"/>
      <c r="H317" s="10"/>
      <c r="I317" s="7"/>
      <c r="J317" s="7"/>
      <c r="K317" s="7"/>
      <c r="L317" s="7"/>
      <c r="M317" s="7"/>
      <c r="N317" s="7">
        <f t="shared" si="2"/>
        <v>1</v>
      </c>
      <c r="O317" s="7"/>
    </row>
    <row r="318">
      <c r="A318" s="26" t="s">
        <v>1330</v>
      </c>
      <c r="B318" s="26" t="s">
        <v>1331</v>
      </c>
      <c r="C318" s="26" t="s">
        <v>589</v>
      </c>
      <c r="D318" s="27"/>
      <c r="E318" s="32" t="s">
        <v>1332</v>
      </c>
      <c r="F318" s="30" t="s">
        <v>1333</v>
      </c>
      <c r="G318" s="13"/>
      <c r="H318" s="10"/>
      <c r="I318" s="7"/>
      <c r="J318" s="7"/>
      <c r="K318" s="7"/>
      <c r="L318" s="7"/>
      <c r="M318" s="7"/>
      <c r="N318" s="7">
        <f t="shared" si="2"/>
        <v>1</v>
      </c>
      <c r="O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f>SUM(N126:N318)</f>
        <v>112</v>
      </c>
      <c r="P320" s="7"/>
      <c r="Q320" s="7"/>
      <c r="R320" s="7"/>
      <c r="S320" s="7"/>
      <c r="T320" s="7"/>
      <c r="U320" s="7"/>
      <c r="V320" s="7"/>
      <c r="W320" s="7"/>
      <c r="X320" s="7"/>
      <c r="Y320" s="7"/>
      <c r="Z320" s="7"/>
    </row>
    <row r="321">
      <c r="A321" s="25" t="s">
        <v>1338</v>
      </c>
      <c r="B321" s="25" t="s">
        <v>577</v>
      </c>
      <c r="C321" s="25" t="s">
        <v>578</v>
      </c>
      <c r="D321" s="25" t="s">
        <v>1339</v>
      </c>
      <c r="E321" s="36" t="s">
        <v>1340</v>
      </c>
      <c r="F321" s="25" t="s">
        <v>1341</v>
      </c>
      <c r="G321" s="25" t="s">
        <v>581</v>
      </c>
      <c r="H321" s="25"/>
      <c r="I321" s="7"/>
      <c r="J321" s="7"/>
      <c r="K321" s="7"/>
      <c r="L321" s="7"/>
      <c r="M321" s="7"/>
      <c r="N321" s="7"/>
      <c r="O321" s="7"/>
    </row>
    <row r="322">
      <c r="A322" s="26" t="s">
        <v>1342</v>
      </c>
      <c r="B322" s="26" t="s">
        <v>1343</v>
      </c>
      <c r="C322" s="26" t="s">
        <v>584</v>
      </c>
      <c r="D322" s="33" t="s">
        <v>1977</v>
      </c>
      <c r="E322" s="37" t="s">
        <v>584</v>
      </c>
      <c r="F322" s="37">
        <v>1.0</v>
      </c>
      <c r="G322" s="30" t="s">
        <v>1345</v>
      </c>
      <c r="H322" s="10"/>
      <c r="I322" s="7"/>
      <c r="J322" s="7"/>
      <c r="K322" s="7"/>
      <c r="L322" s="7"/>
      <c r="M322" s="7"/>
      <c r="N322" s="7">
        <f t="shared" ref="N322:N337" si="3"> IF(ISBLANK(G322), 0, 1)</f>
        <v>1</v>
      </c>
      <c r="O322" s="7"/>
    </row>
    <row r="323">
      <c r="A323" s="26" t="s">
        <v>1346</v>
      </c>
      <c r="B323" s="26" t="s">
        <v>1347</v>
      </c>
      <c r="C323" s="26" t="s">
        <v>584</v>
      </c>
      <c r="D323" s="33" t="s">
        <v>1978</v>
      </c>
      <c r="E323" s="37" t="s">
        <v>584</v>
      </c>
      <c r="F323" s="37">
        <v>1.0</v>
      </c>
      <c r="G323" s="30" t="s">
        <v>1350</v>
      </c>
      <c r="H323" s="10"/>
      <c r="I323" s="7"/>
      <c r="J323" s="7"/>
      <c r="K323" s="7"/>
      <c r="L323" s="7"/>
      <c r="M323" s="7"/>
      <c r="N323" s="7">
        <f t="shared" si="3"/>
        <v>1</v>
      </c>
      <c r="O323" s="7"/>
    </row>
    <row r="324">
      <c r="A324" s="26" t="s">
        <v>1351</v>
      </c>
      <c r="B324" s="26" t="s">
        <v>1352</v>
      </c>
      <c r="C324" s="26" t="s">
        <v>584</v>
      </c>
      <c r="D324" s="33" t="s">
        <v>1979</v>
      </c>
      <c r="E324" s="37" t="s">
        <v>584</v>
      </c>
      <c r="F324" s="37">
        <v>1.0</v>
      </c>
      <c r="G324" s="30" t="s">
        <v>1354</v>
      </c>
      <c r="H324" s="10"/>
      <c r="I324" s="7"/>
      <c r="J324" s="7"/>
      <c r="K324" s="7"/>
      <c r="L324" s="7"/>
      <c r="M324" s="7"/>
      <c r="N324" s="7">
        <f t="shared" si="3"/>
        <v>1</v>
      </c>
      <c r="O324" s="7"/>
    </row>
    <row r="325">
      <c r="A325" s="26" t="s">
        <v>1355</v>
      </c>
      <c r="B325" s="26" t="s">
        <v>1356</v>
      </c>
      <c r="C325" s="26" t="s">
        <v>584</v>
      </c>
      <c r="D325" s="28" t="s">
        <v>1357</v>
      </c>
      <c r="E325" s="37" t="s">
        <v>584</v>
      </c>
      <c r="F325" s="37">
        <v>1.0</v>
      </c>
      <c r="G325" s="30" t="s">
        <v>1359</v>
      </c>
      <c r="H325" s="10"/>
      <c r="I325" s="7"/>
      <c r="J325" s="7"/>
      <c r="K325" s="7"/>
      <c r="L325" s="7"/>
      <c r="M325" s="7"/>
      <c r="N325" s="7">
        <f t="shared" si="3"/>
        <v>1</v>
      </c>
      <c r="O325" s="7"/>
    </row>
    <row r="326">
      <c r="A326" s="26" t="s">
        <v>1360</v>
      </c>
      <c r="B326" s="26" t="s">
        <v>1361</v>
      </c>
      <c r="C326" s="26" t="s">
        <v>584</v>
      </c>
      <c r="D326" s="33" t="s">
        <v>1980</v>
      </c>
      <c r="E326" s="37" t="s">
        <v>589</v>
      </c>
      <c r="F326" s="37">
        <v>2.0</v>
      </c>
      <c r="G326" s="30" t="s">
        <v>1363</v>
      </c>
      <c r="H326" s="10"/>
      <c r="I326" s="7"/>
      <c r="J326" s="7"/>
      <c r="K326" s="7"/>
      <c r="L326" s="7"/>
      <c r="M326" s="7"/>
      <c r="N326" s="7">
        <f t="shared" si="3"/>
        <v>1</v>
      </c>
      <c r="O326" s="7"/>
    </row>
    <row r="327">
      <c r="A327" s="26" t="s">
        <v>1364</v>
      </c>
      <c r="B327" s="26" t="s">
        <v>1365</v>
      </c>
      <c r="C327" s="26" t="s">
        <v>589</v>
      </c>
      <c r="D327" s="28" t="s">
        <v>1366</v>
      </c>
      <c r="E327" s="37" t="s">
        <v>589</v>
      </c>
      <c r="F327" s="37">
        <v>3.0</v>
      </c>
      <c r="G327" s="30" t="s">
        <v>1367</v>
      </c>
      <c r="H327" s="10"/>
      <c r="I327" s="7"/>
      <c r="J327" s="7"/>
      <c r="K327" s="7"/>
      <c r="L327" s="7"/>
      <c r="M327" s="7"/>
      <c r="N327" s="7">
        <f t="shared" si="3"/>
        <v>1</v>
      </c>
      <c r="O327" s="7"/>
    </row>
    <row r="328">
      <c r="A328" s="26" t="s">
        <v>1371</v>
      </c>
      <c r="B328" s="26" t="s">
        <v>1372</v>
      </c>
      <c r="C328" s="26" t="s">
        <v>589</v>
      </c>
      <c r="D328" s="28" t="s">
        <v>1373</v>
      </c>
      <c r="E328" s="37" t="s">
        <v>589</v>
      </c>
      <c r="F328" s="37">
        <v>2.0</v>
      </c>
      <c r="G328" s="30" t="s">
        <v>1374</v>
      </c>
      <c r="H328" s="10"/>
      <c r="I328" s="7"/>
      <c r="J328" s="7"/>
      <c r="K328" s="7"/>
      <c r="L328" s="7"/>
      <c r="M328" s="7"/>
      <c r="N328" s="7">
        <f t="shared" si="3"/>
        <v>1</v>
      </c>
      <c r="O328" s="7"/>
    </row>
    <row r="329">
      <c r="A329" s="26" t="s">
        <v>1375</v>
      </c>
      <c r="B329" s="26" t="s">
        <v>1376</v>
      </c>
      <c r="C329" s="26" t="s">
        <v>584</v>
      </c>
      <c r="D329" s="33" t="s">
        <v>1981</v>
      </c>
      <c r="E329" s="37" t="s">
        <v>589</v>
      </c>
      <c r="F329" s="37">
        <v>3.0</v>
      </c>
      <c r="G329" s="30" t="s">
        <v>1379</v>
      </c>
      <c r="H329" s="10"/>
      <c r="I329" s="7"/>
      <c r="J329" s="7"/>
      <c r="K329" s="7"/>
      <c r="L329" s="7"/>
      <c r="M329" s="7"/>
      <c r="N329" s="7">
        <f t="shared" si="3"/>
        <v>1</v>
      </c>
      <c r="O329" s="7"/>
    </row>
    <row r="330">
      <c r="A330" s="26" t="s">
        <v>1380</v>
      </c>
      <c r="B330" s="26" t="s">
        <v>1381</v>
      </c>
      <c r="C330" s="26" t="s">
        <v>584</v>
      </c>
      <c r="D330" s="28" t="s">
        <v>1382</v>
      </c>
      <c r="E330" s="37" t="s">
        <v>589</v>
      </c>
      <c r="F330" s="37">
        <v>3.0</v>
      </c>
      <c r="G330" s="30" t="s">
        <v>1383</v>
      </c>
      <c r="H330" s="10"/>
      <c r="I330" s="7"/>
      <c r="J330" s="7"/>
      <c r="K330" s="7"/>
      <c r="L330" s="7"/>
      <c r="M330" s="7"/>
      <c r="N330" s="7">
        <f t="shared" si="3"/>
        <v>1</v>
      </c>
      <c r="O330" s="7"/>
    </row>
    <row r="331">
      <c r="A331" s="26" t="s">
        <v>1384</v>
      </c>
      <c r="B331" s="26" t="s">
        <v>1385</v>
      </c>
      <c r="C331" s="26" t="s">
        <v>584</v>
      </c>
      <c r="D331" s="28" t="s">
        <v>1386</v>
      </c>
      <c r="E331" s="37" t="s">
        <v>589</v>
      </c>
      <c r="F331" s="37">
        <v>2.0</v>
      </c>
      <c r="G331" s="30" t="s">
        <v>1387</v>
      </c>
      <c r="H331" s="10"/>
      <c r="I331" s="7"/>
      <c r="J331" s="7"/>
      <c r="K331" s="7"/>
      <c r="L331" s="7"/>
      <c r="M331" s="7"/>
      <c r="N331" s="7">
        <f t="shared" si="3"/>
        <v>1</v>
      </c>
      <c r="O331" s="7"/>
    </row>
    <row r="332">
      <c r="A332" s="26" t="s">
        <v>1388</v>
      </c>
      <c r="B332" s="26" t="s">
        <v>1389</v>
      </c>
      <c r="C332" s="26" t="s">
        <v>584</v>
      </c>
      <c r="D332" s="33" t="s">
        <v>1982</v>
      </c>
      <c r="E332" s="37" t="s">
        <v>589</v>
      </c>
      <c r="F332" s="37">
        <v>2.0</v>
      </c>
      <c r="G332" s="30" t="s">
        <v>1391</v>
      </c>
      <c r="H332" s="10"/>
      <c r="I332" s="7"/>
      <c r="J332" s="7"/>
      <c r="K332" s="7"/>
      <c r="L332" s="7"/>
      <c r="M332" s="7"/>
      <c r="N332" s="7">
        <f t="shared" si="3"/>
        <v>1</v>
      </c>
      <c r="O332" s="7"/>
    </row>
    <row r="333">
      <c r="A333" s="26" t="s">
        <v>1392</v>
      </c>
      <c r="B333" s="26" t="s">
        <v>1393</v>
      </c>
      <c r="C333" s="26" t="s">
        <v>584</v>
      </c>
      <c r="D333" s="33" t="s">
        <v>1983</v>
      </c>
      <c r="E333" s="37" t="s">
        <v>589</v>
      </c>
      <c r="F333" s="37">
        <v>2.0</v>
      </c>
      <c r="G333" s="30" t="s">
        <v>1395</v>
      </c>
      <c r="H333" s="10"/>
      <c r="I333" s="7"/>
      <c r="J333" s="7"/>
      <c r="K333" s="7"/>
      <c r="L333" s="7"/>
      <c r="M333" s="7"/>
      <c r="N333" s="7">
        <f t="shared" si="3"/>
        <v>1</v>
      </c>
      <c r="O333" s="7"/>
    </row>
    <row r="334">
      <c r="A334" s="26" t="s">
        <v>1396</v>
      </c>
      <c r="B334" s="26" t="s">
        <v>1397</v>
      </c>
      <c r="C334" s="26" t="s">
        <v>589</v>
      </c>
      <c r="D334" s="28" t="s">
        <v>1088</v>
      </c>
      <c r="E334" s="37" t="s">
        <v>589</v>
      </c>
      <c r="F334" s="37">
        <v>3.0</v>
      </c>
      <c r="G334" s="30" t="s">
        <v>1984</v>
      </c>
      <c r="H334" s="10"/>
      <c r="I334" s="7"/>
      <c r="J334" s="7"/>
      <c r="K334" s="7"/>
      <c r="L334" s="7"/>
      <c r="M334" s="7"/>
      <c r="N334" s="7">
        <f t="shared" si="3"/>
        <v>1</v>
      </c>
      <c r="O334" s="7"/>
    </row>
    <row r="335">
      <c r="A335" s="26" t="s">
        <v>1399</v>
      </c>
      <c r="B335" s="26" t="s">
        <v>1397</v>
      </c>
      <c r="C335" s="26" t="s">
        <v>589</v>
      </c>
      <c r="D335" s="28" t="s">
        <v>1088</v>
      </c>
      <c r="E335" s="37" t="s">
        <v>589</v>
      </c>
      <c r="F335" s="37">
        <v>3.0</v>
      </c>
      <c r="G335" s="30" t="s">
        <v>1985</v>
      </c>
      <c r="H335" s="10"/>
      <c r="I335" s="7"/>
      <c r="J335" s="7"/>
      <c r="K335" s="7"/>
      <c r="L335" s="7"/>
      <c r="M335" s="7"/>
      <c r="N335" s="7">
        <f t="shared" si="3"/>
        <v>1</v>
      </c>
      <c r="O335" s="7"/>
    </row>
    <row r="336">
      <c r="A336" s="37" t="s">
        <v>1401</v>
      </c>
      <c r="B336" s="37" t="s">
        <v>1402</v>
      </c>
      <c r="C336" s="37" t="s">
        <v>584</v>
      </c>
      <c r="D336" s="37" t="s">
        <v>595</v>
      </c>
      <c r="E336" s="37" t="s">
        <v>589</v>
      </c>
      <c r="F336" s="37">
        <v>4.0</v>
      </c>
      <c r="G336" s="30" t="s">
        <v>1403</v>
      </c>
      <c r="H336" s="10"/>
      <c r="I336" s="7"/>
      <c r="J336" s="7"/>
      <c r="K336" s="7"/>
      <c r="L336" s="7"/>
      <c r="M336" s="7"/>
      <c r="N336" s="7">
        <f t="shared" si="3"/>
        <v>1</v>
      </c>
      <c r="O336" s="7"/>
    </row>
    <row r="337">
      <c r="A337" s="37" t="s">
        <v>1405</v>
      </c>
      <c r="B337" s="37" t="s">
        <v>1406</v>
      </c>
      <c r="C337" s="37" t="s">
        <v>589</v>
      </c>
      <c r="D337" s="37" t="s">
        <v>1407</v>
      </c>
      <c r="E337" s="37" t="s">
        <v>589</v>
      </c>
      <c r="F337" s="37">
        <v>3.0</v>
      </c>
      <c r="G337" s="30" t="s">
        <v>1408</v>
      </c>
      <c r="H337" s="10"/>
      <c r="I337" s="7"/>
      <c r="J337" s="7"/>
      <c r="K337" s="7"/>
      <c r="L337" s="7"/>
      <c r="M337" s="7"/>
      <c r="N337" s="7">
        <f t="shared" si="3"/>
        <v>1</v>
      </c>
      <c r="O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22"/>
      <c r="B339" s="7"/>
      <c r="C339" s="7"/>
      <c r="D339" s="7"/>
      <c r="E339" s="7"/>
      <c r="F339" s="7"/>
      <c r="G339" s="7"/>
      <c r="H339" s="7"/>
      <c r="I339" s="7"/>
      <c r="J339" s="7"/>
      <c r="K339" s="7"/>
      <c r="L339" s="7"/>
      <c r="M339" s="7"/>
      <c r="N339" s="7"/>
      <c r="O339" s="7">
        <f>SUM(N322:N338)</f>
        <v>16</v>
      </c>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f>SUM(O339,O320,O124)</f>
        <v>222</v>
      </c>
      <c r="O342" s="7"/>
      <c r="P342" s="7"/>
      <c r="Q342" s="7"/>
      <c r="R342" s="7"/>
      <c r="S342" s="7"/>
      <c r="T342" s="7"/>
      <c r="U342" s="7"/>
      <c r="V342" s="7"/>
      <c r="W342" s="7"/>
      <c r="X342" s="7"/>
      <c r="Y342" s="7"/>
      <c r="Z342" s="7"/>
    </row>
    <row r="343">
      <c r="A343" s="39" t="s">
        <v>1440</v>
      </c>
      <c r="B343" s="40"/>
      <c r="C343" s="41" t="s">
        <v>1441</v>
      </c>
      <c r="D343" s="42"/>
      <c r="E343" s="43" t="s">
        <v>1442</v>
      </c>
      <c r="F343" s="43" t="s">
        <v>1443</v>
      </c>
      <c r="G343" s="44" t="s">
        <v>1444</v>
      </c>
      <c r="H343" s="45"/>
      <c r="I343" s="46"/>
      <c r="J343" s="47" t="s">
        <v>1445</v>
      </c>
      <c r="K343" s="7"/>
      <c r="L343" s="7"/>
      <c r="M343" s="7"/>
      <c r="N343" s="7">
        <f>COUNT(N2:N337)</f>
        <v>331</v>
      </c>
      <c r="O343" s="22"/>
    </row>
    <row r="344">
      <c r="A344" s="48" t="s">
        <v>1446</v>
      </c>
      <c r="B344" s="10"/>
      <c r="C344" s="49" t="s">
        <v>1447</v>
      </c>
      <c r="D344" s="50"/>
      <c r="E344" s="51" t="s">
        <v>1448</v>
      </c>
      <c r="F344" s="51">
        <v>0.5</v>
      </c>
      <c r="G344" s="52"/>
      <c r="H344" s="13"/>
      <c r="I344" s="10"/>
      <c r="J344" s="6" t="s">
        <v>589</v>
      </c>
      <c r="K344" s="7"/>
      <c r="L344" s="7"/>
      <c r="M344" s="7"/>
      <c r="N344" s="7">
        <f>N342/N343</f>
        <v>0.670694864</v>
      </c>
      <c r="O344" s="7"/>
    </row>
    <row r="345">
      <c r="A345" s="53" t="s">
        <v>1452</v>
      </c>
      <c r="B345" s="54"/>
      <c r="C345" s="55" t="s">
        <v>1447</v>
      </c>
      <c r="D345" s="50"/>
      <c r="E345" s="56" t="s">
        <v>1448</v>
      </c>
      <c r="F345" s="56">
        <v>2.0</v>
      </c>
      <c r="G345" s="57"/>
      <c r="H345" s="58"/>
      <c r="I345" s="54"/>
      <c r="J345" s="6" t="s">
        <v>589</v>
      </c>
      <c r="K345" s="7"/>
      <c r="L345" s="7"/>
      <c r="M345" s="7"/>
      <c r="N345" s="7"/>
      <c r="O345" s="7"/>
    </row>
    <row r="346">
      <c r="A346" s="48" t="s">
        <v>1453</v>
      </c>
      <c r="B346" s="10"/>
      <c r="C346" s="49" t="s">
        <v>1454</v>
      </c>
      <c r="D346" s="50"/>
      <c r="E346" s="51" t="s">
        <v>1448</v>
      </c>
      <c r="F346" s="51">
        <v>10.0</v>
      </c>
      <c r="G346" s="52"/>
      <c r="H346" s="13"/>
      <c r="I346" s="10"/>
      <c r="J346" s="6" t="s">
        <v>584</v>
      </c>
      <c r="K346" s="7"/>
      <c r="L346" s="7"/>
      <c r="M346" s="7"/>
      <c r="N346" s="7"/>
      <c r="O346" s="7"/>
    </row>
    <row r="347">
      <c r="A347" s="48" t="s">
        <v>1455</v>
      </c>
      <c r="B347" s="10"/>
      <c r="C347" s="49" t="s">
        <v>1456</v>
      </c>
      <c r="D347" s="50"/>
      <c r="E347" s="51" t="s">
        <v>1448</v>
      </c>
      <c r="F347" s="51">
        <v>20.0</v>
      </c>
      <c r="G347" s="52"/>
      <c r="H347" s="13"/>
      <c r="I347" s="10"/>
      <c r="J347" s="6" t="s">
        <v>584</v>
      </c>
      <c r="K347" s="7"/>
      <c r="L347" s="7"/>
      <c r="M347" s="7"/>
      <c r="N347" s="7"/>
      <c r="O347" s="7"/>
    </row>
    <row r="348">
      <c r="A348" s="48" t="s">
        <v>1457</v>
      </c>
      <c r="B348" s="10"/>
      <c r="C348" s="49" t="s">
        <v>1456</v>
      </c>
      <c r="D348" s="50"/>
      <c r="E348" s="51" t="s">
        <v>1448</v>
      </c>
      <c r="F348" s="51">
        <v>30.0</v>
      </c>
      <c r="G348" s="52"/>
      <c r="H348" s="13"/>
      <c r="I348" s="10"/>
      <c r="J348" s="6" t="s">
        <v>584</v>
      </c>
      <c r="K348" s="7"/>
      <c r="L348" s="7"/>
      <c r="M348" s="7"/>
      <c r="N348" s="7"/>
      <c r="O348" s="7"/>
    </row>
    <row r="349">
      <c r="A349" s="48" t="s">
        <v>1458</v>
      </c>
      <c r="B349" s="10"/>
      <c r="C349" s="49" t="s">
        <v>1447</v>
      </c>
      <c r="D349" s="50"/>
      <c r="E349" s="51" t="s">
        <v>1448</v>
      </c>
      <c r="F349" s="51">
        <v>1.0</v>
      </c>
      <c r="G349" s="52"/>
      <c r="H349" s="13"/>
      <c r="I349" s="10"/>
      <c r="J349" s="6" t="s">
        <v>589</v>
      </c>
      <c r="K349" s="7"/>
      <c r="L349" s="7"/>
      <c r="M349" s="7"/>
      <c r="N349" s="7"/>
      <c r="O349" s="7"/>
    </row>
    <row r="350">
      <c r="A350" s="48" t="s">
        <v>1459</v>
      </c>
      <c r="B350" s="10"/>
      <c r="C350" s="49" t="s">
        <v>1447</v>
      </c>
      <c r="D350" s="50"/>
      <c r="E350" s="51" t="s">
        <v>1448</v>
      </c>
      <c r="F350" s="51">
        <v>4.0</v>
      </c>
      <c r="G350" s="52"/>
      <c r="H350" s="13"/>
      <c r="I350" s="10"/>
      <c r="J350" s="6" t="s">
        <v>589</v>
      </c>
      <c r="K350" s="7"/>
      <c r="L350" s="7"/>
      <c r="M350" s="7"/>
      <c r="N350" s="7"/>
      <c r="O350" s="7"/>
    </row>
    <row r="351">
      <c r="A351" s="48" t="s">
        <v>1460</v>
      </c>
      <c r="B351" s="10"/>
      <c r="C351" s="49" t="s">
        <v>1463</v>
      </c>
      <c r="D351" s="50"/>
      <c r="E351" s="51" t="s">
        <v>1448</v>
      </c>
      <c r="F351" s="51">
        <v>50.0</v>
      </c>
      <c r="G351" s="52"/>
      <c r="H351" s="13"/>
      <c r="I351" s="10"/>
      <c r="J351" s="6" t="s">
        <v>584</v>
      </c>
      <c r="K351" s="7"/>
      <c r="L351" s="7"/>
      <c r="M351" s="7"/>
      <c r="N351" s="7"/>
      <c r="O351" s="7"/>
    </row>
    <row r="352">
      <c r="A352" s="48" t="s">
        <v>1464</v>
      </c>
      <c r="B352" s="10"/>
      <c r="C352" s="49" t="s">
        <v>1447</v>
      </c>
      <c r="D352" s="50"/>
      <c r="E352" s="51" t="s">
        <v>1448</v>
      </c>
      <c r="F352" s="51">
        <v>2.0</v>
      </c>
      <c r="G352" s="52"/>
      <c r="H352" s="13"/>
      <c r="I352" s="10"/>
      <c r="J352" s="6" t="s">
        <v>589</v>
      </c>
      <c r="K352" s="7"/>
      <c r="L352" s="7"/>
      <c r="M352" s="7"/>
      <c r="N352" s="7"/>
      <c r="O352" s="7"/>
    </row>
    <row r="353">
      <c r="A353" s="48" t="s">
        <v>1180</v>
      </c>
      <c r="B353" s="10"/>
      <c r="C353" s="49"/>
      <c r="D353" s="50"/>
      <c r="E353" s="51" t="s">
        <v>1448</v>
      </c>
      <c r="F353" s="51">
        <v>50.0</v>
      </c>
      <c r="G353" s="52" t="s">
        <v>1465</v>
      </c>
      <c r="H353" s="13"/>
      <c r="I353" s="10"/>
      <c r="J353" s="6" t="s">
        <v>584</v>
      </c>
      <c r="K353" s="7"/>
      <c r="L353" s="7"/>
      <c r="M353" s="7"/>
      <c r="N353" s="7"/>
      <c r="O353" s="7"/>
    </row>
    <row r="354">
      <c r="A354" s="48" t="s">
        <v>1466</v>
      </c>
      <c r="B354" s="10"/>
      <c r="C354" s="49" t="s">
        <v>1463</v>
      </c>
      <c r="D354" s="50"/>
      <c r="E354" s="51" t="s">
        <v>1448</v>
      </c>
      <c r="F354" s="51">
        <v>30.0</v>
      </c>
      <c r="G354" s="52"/>
      <c r="H354" s="13"/>
      <c r="I354" s="10"/>
      <c r="J354" s="6" t="s">
        <v>584</v>
      </c>
      <c r="K354" s="7"/>
      <c r="L354" s="7"/>
      <c r="M354" s="7"/>
      <c r="N354" s="7"/>
      <c r="O354" s="7"/>
    </row>
    <row r="355">
      <c r="A355" s="48" t="s">
        <v>1467</v>
      </c>
      <c r="B355" s="10"/>
      <c r="C355" s="49" t="s">
        <v>1447</v>
      </c>
      <c r="D355" s="50"/>
      <c r="E355" s="51" t="s">
        <v>1448</v>
      </c>
      <c r="F355" s="51">
        <v>3.0</v>
      </c>
      <c r="G355" s="52"/>
      <c r="H355" s="13"/>
      <c r="I355" s="10"/>
      <c r="J355" s="6" t="s">
        <v>584</v>
      </c>
      <c r="K355" s="7"/>
      <c r="L355" s="7"/>
      <c r="M355" s="7"/>
      <c r="N355" s="7"/>
      <c r="O355" s="7"/>
    </row>
    <row r="356">
      <c r="A356" s="48" t="s">
        <v>1468</v>
      </c>
      <c r="B356" s="10"/>
      <c r="C356" s="59"/>
      <c r="D356" s="50"/>
      <c r="E356" s="51" t="s">
        <v>1469</v>
      </c>
      <c r="F356" s="51" t="s">
        <v>1470</v>
      </c>
      <c r="G356" s="52" t="s">
        <v>1471</v>
      </c>
      <c r="H356" s="13"/>
      <c r="I356" s="10"/>
      <c r="J356" s="6" t="s">
        <v>589</v>
      </c>
      <c r="K356" s="7"/>
      <c r="L356" s="7"/>
      <c r="M356" s="7"/>
      <c r="N356" s="7"/>
      <c r="O356" s="7"/>
    </row>
    <row r="357">
      <c r="A357" s="48" t="s">
        <v>1472</v>
      </c>
      <c r="B357" s="10"/>
      <c r="C357" s="59"/>
      <c r="D357" s="50"/>
      <c r="E357" s="51" t="s">
        <v>1473</v>
      </c>
      <c r="F357" s="51" t="s">
        <v>1474</v>
      </c>
      <c r="G357" s="52" t="s">
        <v>1475</v>
      </c>
      <c r="H357" s="13"/>
      <c r="I357" s="10"/>
      <c r="J357" s="6" t="s">
        <v>1450</v>
      </c>
      <c r="K357" s="7"/>
      <c r="L357" s="7"/>
      <c r="M357" s="7"/>
      <c r="N357" s="7"/>
      <c r="O357" s="7"/>
    </row>
    <row r="358">
      <c r="A358" s="48" t="s">
        <v>1476</v>
      </c>
      <c r="B358" s="10"/>
      <c r="C358" s="59"/>
      <c r="D358" s="50"/>
      <c r="E358" s="51" t="s">
        <v>1477</v>
      </c>
      <c r="F358" s="51" t="s">
        <v>710</v>
      </c>
      <c r="G358" s="52" t="s">
        <v>1478</v>
      </c>
      <c r="H358" s="13"/>
      <c r="I358" s="10"/>
      <c r="J358" s="6" t="s">
        <v>584</v>
      </c>
      <c r="K358" s="7"/>
      <c r="L358" s="7"/>
      <c r="M358" s="7"/>
      <c r="N358" s="7"/>
      <c r="O358" s="7"/>
    </row>
    <row r="359">
      <c r="A359" s="48" t="s">
        <v>1479</v>
      </c>
      <c r="B359" s="10"/>
      <c r="C359" s="49" t="s">
        <v>1480</v>
      </c>
      <c r="D359" s="50"/>
      <c r="E359" s="51" t="s">
        <v>1482</v>
      </c>
      <c r="F359" s="51">
        <v>0.03</v>
      </c>
      <c r="G359" s="52" t="s">
        <v>1483</v>
      </c>
      <c r="H359" s="13"/>
      <c r="I359" s="10"/>
      <c r="J359" s="6" t="s">
        <v>589</v>
      </c>
      <c r="K359" s="7"/>
      <c r="L359" s="7"/>
      <c r="M359" s="7"/>
      <c r="N359" s="7"/>
      <c r="O359" s="7"/>
    </row>
    <row r="360">
      <c r="A360" s="48" t="s">
        <v>1484</v>
      </c>
      <c r="B360" s="10"/>
      <c r="C360" s="49" t="s">
        <v>1485</v>
      </c>
      <c r="D360" s="60"/>
      <c r="E360" s="51" t="s">
        <v>1486</v>
      </c>
      <c r="F360" s="51">
        <v>20.0</v>
      </c>
      <c r="G360" s="52" t="s">
        <v>1487</v>
      </c>
      <c r="H360" s="13"/>
      <c r="I360" s="10"/>
      <c r="J360" s="6" t="s">
        <v>584</v>
      </c>
      <c r="K360" s="7"/>
      <c r="L360" s="7"/>
      <c r="M360" s="7"/>
      <c r="N360" s="7"/>
      <c r="O360" s="7"/>
    </row>
    <row r="361">
      <c r="A361" s="48" t="s">
        <v>1488</v>
      </c>
      <c r="B361" s="10"/>
      <c r="C361" s="49" t="s">
        <v>1447</v>
      </c>
      <c r="D361" s="60"/>
      <c r="E361" s="51" t="s">
        <v>1489</v>
      </c>
      <c r="F361" s="51">
        <v>20.0</v>
      </c>
      <c r="G361" s="52" t="s">
        <v>1490</v>
      </c>
      <c r="H361" s="13"/>
      <c r="I361" s="10"/>
      <c r="J361" s="6" t="s">
        <v>1450</v>
      </c>
      <c r="K361" s="7"/>
      <c r="L361" s="7"/>
      <c r="M361" s="7"/>
      <c r="N361" s="7"/>
      <c r="O361" s="7"/>
    </row>
    <row r="362">
      <c r="A362" s="48" t="s">
        <v>1491</v>
      </c>
      <c r="B362" s="10"/>
      <c r="C362" s="49" t="s">
        <v>1447</v>
      </c>
      <c r="D362" s="60"/>
      <c r="E362" s="51" t="s">
        <v>1492</v>
      </c>
      <c r="F362" s="51">
        <v>30.0</v>
      </c>
      <c r="G362" s="52" t="s">
        <v>1493</v>
      </c>
      <c r="H362" s="13"/>
      <c r="I362" s="10"/>
      <c r="J362" s="6" t="s">
        <v>1450</v>
      </c>
      <c r="K362" s="7"/>
      <c r="L362" s="7"/>
      <c r="M362" s="7"/>
      <c r="N362" s="7"/>
      <c r="O362" s="7"/>
    </row>
    <row r="363">
      <c r="A363" s="48" t="s">
        <v>1494</v>
      </c>
      <c r="B363" s="10"/>
      <c r="C363" s="59"/>
      <c r="D363" s="60"/>
      <c r="E363" s="51" t="s">
        <v>1495</v>
      </c>
      <c r="F363" s="51" t="s">
        <v>1496</v>
      </c>
      <c r="G363" s="52" t="s">
        <v>1497</v>
      </c>
      <c r="H363" s="13"/>
      <c r="I363" s="10"/>
      <c r="J363" s="6" t="s">
        <v>1450</v>
      </c>
      <c r="K363" s="7"/>
      <c r="L363" s="7"/>
      <c r="M363" s="7"/>
      <c r="N363" s="7"/>
      <c r="O363" s="7"/>
    </row>
    <row r="364">
      <c r="A364" s="48" t="s">
        <v>188</v>
      </c>
      <c r="B364" s="10"/>
      <c r="C364" s="59"/>
      <c r="D364" s="60"/>
      <c r="E364" s="51" t="s">
        <v>1498</v>
      </c>
      <c r="F364" s="51" t="s">
        <v>1470</v>
      </c>
      <c r="G364" s="52" t="s">
        <v>1986</v>
      </c>
      <c r="H364" s="13"/>
      <c r="I364" s="10"/>
      <c r="J364" s="6" t="s">
        <v>1450</v>
      </c>
      <c r="K364" s="7"/>
      <c r="L364" s="7"/>
      <c r="M364" s="7"/>
      <c r="N364" s="7"/>
      <c r="O364" s="7"/>
    </row>
    <row r="365">
      <c r="A365" s="48" t="s">
        <v>1500</v>
      </c>
      <c r="B365" s="10"/>
      <c r="C365" s="59"/>
      <c r="D365" s="60"/>
      <c r="E365" s="51" t="s">
        <v>1501</v>
      </c>
      <c r="F365" s="51" t="s">
        <v>1470</v>
      </c>
      <c r="G365" s="52" t="s">
        <v>1502</v>
      </c>
      <c r="H365" s="13"/>
      <c r="I365" s="10"/>
      <c r="J365" s="6" t="s">
        <v>589</v>
      </c>
      <c r="K365" s="7"/>
      <c r="L365" s="7"/>
      <c r="M365" s="7"/>
      <c r="N365" s="7"/>
      <c r="O365" s="7"/>
    </row>
    <row r="366">
      <c r="A366" s="48" t="s">
        <v>1144</v>
      </c>
      <c r="B366" s="10"/>
      <c r="C366" s="59"/>
      <c r="D366" s="60"/>
      <c r="E366" s="51" t="s">
        <v>1501</v>
      </c>
      <c r="F366" s="51" t="s">
        <v>1503</v>
      </c>
      <c r="G366" s="61"/>
      <c r="H366" s="58"/>
      <c r="I366" s="54"/>
      <c r="J366" s="6" t="s">
        <v>589</v>
      </c>
      <c r="K366" s="7"/>
      <c r="L366" s="7"/>
      <c r="M366" s="7"/>
      <c r="N366" s="7"/>
      <c r="O366" s="7"/>
    </row>
    <row r="367">
      <c r="A367" s="48" t="s">
        <v>1504</v>
      </c>
      <c r="B367" s="10"/>
      <c r="C367" s="49" t="s">
        <v>1505</v>
      </c>
      <c r="D367" s="60"/>
      <c r="E367" s="51" t="s">
        <v>1506</v>
      </c>
      <c r="F367" s="51">
        <v>1.2</v>
      </c>
      <c r="G367" s="52" t="s">
        <v>1507</v>
      </c>
      <c r="H367" s="13"/>
      <c r="I367" s="10"/>
      <c r="J367" s="6" t="s">
        <v>589</v>
      </c>
      <c r="K367" s="7"/>
      <c r="L367" s="7"/>
      <c r="M367" s="7"/>
      <c r="N367" s="7"/>
      <c r="O367" s="7"/>
    </row>
    <row r="368">
      <c r="A368" s="48" t="s">
        <v>1987</v>
      </c>
      <c r="B368" s="10"/>
      <c r="C368" s="49" t="s">
        <v>1447</v>
      </c>
      <c r="D368" s="60"/>
      <c r="E368" s="51" t="s">
        <v>1489</v>
      </c>
      <c r="F368" s="51">
        <v>50.0</v>
      </c>
      <c r="G368" s="52"/>
      <c r="H368" s="13"/>
      <c r="I368" s="10"/>
      <c r="J368" s="6" t="s">
        <v>1450</v>
      </c>
      <c r="K368" s="7"/>
      <c r="L368" s="7"/>
      <c r="M368" s="7"/>
      <c r="N368" s="7"/>
      <c r="O368" s="7"/>
    </row>
    <row r="369">
      <c r="A369" s="48" t="s">
        <v>1988</v>
      </c>
      <c r="B369" s="10"/>
      <c r="C369" s="49" t="s">
        <v>1447</v>
      </c>
      <c r="D369" s="60"/>
      <c r="E369" s="51" t="s">
        <v>1492</v>
      </c>
      <c r="F369" s="51">
        <v>60.0</v>
      </c>
      <c r="G369" s="52"/>
      <c r="H369" s="13"/>
      <c r="I369" s="10"/>
      <c r="J369" s="6" t="s">
        <v>1450</v>
      </c>
      <c r="K369" s="7"/>
      <c r="L369" s="7"/>
      <c r="M369" s="7"/>
      <c r="N369" s="7"/>
      <c r="O369" s="7"/>
    </row>
    <row r="370">
      <c r="A370" s="48" t="s">
        <v>1419</v>
      </c>
      <c r="B370" s="10"/>
      <c r="C370" s="59"/>
      <c r="D370" s="60"/>
      <c r="E370" s="51" t="s">
        <v>1501</v>
      </c>
      <c r="F370" s="51" t="s">
        <v>1496</v>
      </c>
      <c r="G370" s="52" t="s">
        <v>1508</v>
      </c>
      <c r="H370" s="13"/>
      <c r="I370" s="10"/>
      <c r="J370" s="6" t="s">
        <v>584</v>
      </c>
      <c r="K370" s="7"/>
      <c r="L370" s="7"/>
      <c r="M370" s="7"/>
      <c r="N370" s="7"/>
      <c r="O370" s="7"/>
    </row>
    <row r="371">
      <c r="A371" s="48" t="s">
        <v>1509</v>
      </c>
      <c r="B371" s="10"/>
      <c r="C371" s="49" t="s">
        <v>1969</v>
      </c>
      <c r="D371" s="60"/>
      <c r="E371" s="51" t="s">
        <v>1501</v>
      </c>
      <c r="F371" s="51"/>
      <c r="G371" s="52" t="s">
        <v>1970</v>
      </c>
      <c r="H371" s="13"/>
      <c r="I371" s="10"/>
      <c r="J371" s="6" t="s">
        <v>1450</v>
      </c>
      <c r="K371" s="7"/>
      <c r="L371" s="7"/>
      <c r="M371" s="7"/>
      <c r="N371" s="7"/>
      <c r="O371" s="7"/>
    </row>
    <row r="372">
      <c r="A372" s="48" t="s">
        <v>1511</v>
      </c>
      <c r="B372" s="10"/>
      <c r="C372" s="49" t="s">
        <v>1512</v>
      </c>
      <c r="D372" s="60"/>
      <c r="E372" s="51" t="s">
        <v>1513</v>
      </c>
      <c r="F372" s="51">
        <v>10.0</v>
      </c>
      <c r="G372" s="52" t="s">
        <v>1514</v>
      </c>
      <c r="H372" s="13"/>
      <c r="I372" s="10"/>
      <c r="J372" s="6" t="s">
        <v>584</v>
      </c>
      <c r="K372" s="7"/>
      <c r="L372" s="7"/>
      <c r="M372" s="7"/>
      <c r="N372" s="7"/>
      <c r="O372" s="7"/>
    </row>
    <row r="373">
      <c r="A373" s="48" t="s">
        <v>1515</v>
      </c>
      <c r="B373" s="10"/>
      <c r="C373" s="49" t="s">
        <v>1516</v>
      </c>
      <c r="D373" s="50" t="s">
        <v>1517</v>
      </c>
      <c r="E373" s="51" t="s">
        <v>1482</v>
      </c>
      <c r="F373" s="51" t="s">
        <v>1519</v>
      </c>
      <c r="G373" s="52" t="s">
        <v>1520</v>
      </c>
      <c r="H373" s="13"/>
      <c r="I373" s="10"/>
      <c r="J373" s="6" t="s">
        <v>589</v>
      </c>
      <c r="K373" s="7"/>
      <c r="L373" s="7"/>
      <c r="M373" s="7"/>
      <c r="N373" s="7"/>
      <c r="O373" s="7"/>
    </row>
    <row r="374">
      <c r="A374" s="48" t="s">
        <v>1521</v>
      </c>
      <c r="B374" s="10"/>
      <c r="C374" s="49" t="s">
        <v>1522</v>
      </c>
      <c r="D374" s="62" t="s">
        <v>1523</v>
      </c>
      <c r="E374" s="51" t="s">
        <v>1501</v>
      </c>
      <c r="F374" s="51" t="s">
        <v>1524</v>
      </c>
      <c r="G374" s="52"/>
      <c r="H374" s="13"/>
      <c r="I374" s="10"/>
      <c r="J374" s="6" t="s">
        <v>584</v>
      </c>
      <c r="K374" s="7"/>
      <c r="L374" s="7"/>
      <c r="M374" s="7"/>
      <c r="N374" s="7"/>
      <c r="O374" s="7"/>
    </row>
    <row r="375">
      <c r="A375" s="48" t="s">
        <v>1525</v>
      </c>
      <c r="B375" s="10"/>
      <c r="C375" s="49" t="s">
        <v>1526</v>
      </c>
      <c r="D375" s="60"/>
      <c r="E375" s="51" t="s">
        <v>1527</v>
      </c>
      <c r="F375" s="51" t="s">
        <v>1528</v>
      </c>
      <c r="G375" s="52" t="s">
        <v>1529</v>
      </c>
      <c r="H375" s="13"/>
      <c r="I375" s="10"/>
      <c r="J375" s="6" t="s">
        <v>1450</v>
      </c>
      <c r="K375" s="7"/>
      <c r="L375" s="7"/>
      <c r="M375" s="7"/>
      <c r="N375" s="7"/>
      <c r="O375" s="7"/>
    </row>
    <row r="376">
      <c r="A376" s="48" t="s">
        <v>1530</v>
      </c>
      <c r="B376" s="10"/>
      <c r="C376" s="49" t="s">
        <v>1526</v>
      </c>
      <c r="D376" s="60"/>
      <c r="E376" s="51" t="s">
        <v>1527</v>
      </c>
      <c r="F376" s="51" t="s">
        <v>1531</v>
      </c>
      <c r="G376" s="52" t="s">
        <v>1532</v>
      </c>
      <c r="H376" s="13"/>
      <c r="I376" s="10"/>
      <c r="J376" s="6" t="s">
        <v>1450</v>
      </c>
      <c r="K376" s="7"/>
      <c r="L376" s="7"/>
      <c r="M376" s="7"/>
      <c r="N376" s="7"/>
      <c r="O376" s="7"/>
    </row>
    <row r="377">
      <c r="A377" s="48" t="s">
        <v>1533</v>
      </c>
      <c r="B377" s="10"/>
      <c r="C377" s="49" t="s">
        <v>1534</v>
      </c>
      <c r="D377" s="60"/>
      <c r="E377" s="51" t="s">
        <v>1535</v>
      </c>
      <c r="F377" s="51">
        <v>3.0</v>
      </c>
      <c r="G377" s="52" t="s">
        <v>1536</v>
      </c>
      <c r="H377" s="13"/>
      <c r="I377" s="10"/>
      <c r="J377" s="6" t="s">
        <v>584</v>
      </c>
      <c r="K377" s="7"/>
      <c r="L377" s="7"/>
      <c r="M377" s="7"/>
      <c r="N377" s="7"/>
      <c r="O377" s="7"/>
    </row>
    <row r="378">
      <c r="A378" s="48" t="s">
        <v>1537</v>
      </c>
      <c r="B378" s="10"/>
      <c r="C378" s="49" t="s">
        <v>1538</v>
      </c>
      <c r="D378" s="60"/>
      <c r="E378" s="51" t="s">
        <v>1539</v>
      </c>
      <c r="F378" s="51">
        <v>8.0</v>
      </c>
      <c r="G378" s="52" t="s">
        <v>1540</v>
      </c>
      <c r="H378" s="13"/>
      <c r="I378" s="10"/>
      <c r="J378" s="6" t="s">
        <v>584</v>
      </c>
      <c r="K378" s="7"/>
      <c r="L378" s="7"/>
      <c r="M378" s="7"/>
      <c r="N378" s="7"/>
      <c r="O378" s="7"/>
    </row>
    <row r="379">
      <c r="A379" s="48" t="s">
        <v>1541</v>
      </c>
      <c r="B379" s="10"/>
      <c r="C379" s="49" t="s">
        <v>1542</v>
      </c>
      <c r="D379" s="60"/>
      <c r="E379" s="51" t="s">
        <v>1543</v>
      </c>
      <c r="F379" s="51">
        <v>2.0</v>
      </c>
      <c r="G379" s="52" t="s">
        <v>1544</v>
      </c>
      <c r="H379" s="13"/>
      <c r="I379" s="10"/>
      <c r="J379" s="6" t="s">
        <v>584</v>
      </c>
      <c r="K379" s="7"/>
      <c r="L379" s="7"/>
      <c r="M379" s="7"/>
      <c r="N379" s="7"/>
      <c r="O379" s="7"/>
    </row>
    <row r="380">
      <c r="A380" s="48" t="s">
        <v>1545</v>
      </c>
      <c r="B380" s="10"/>
      <c r="C380" s="49" t="s">
        <v>1546</v>
      </c>
      <c r="D380" s="60"/>
      <c r="E380" s="51" t="s">
        <v>1547</v>
      </c>
      <c r="F380" s="51">
        <v>5.0</v>
      </c>
      <c r="G380" s="52" t="s">
        <v>1548</v>
      </c>
      <c r="H380" s="13"/>
      <c r="I380" s="10"/>
      <c r="J380" s="6" t="s">
        <v>584</v>
      </c>
      <c r="K380" s="7"/>
      <c r="L380" s="7"/>
      <c r="M380" s="7"/>
      <c r="N380" s="7"/>
      <c r="O380" s="7"/>
    </row>
    <row r="381">
      <c r="A381" s="48" t="s">
        <v>1549</v>
      </c>
      <c r="B381" s="10"/>
      <c r="C381" s="49" t="s">
        <v>1550</v>
      </c>
      <c r="D381" s="60"/>
      <c r="E381" s="51" t="s">
        <v>1551</v>
      </c>
      <c r="F381" s="51">
        <v>14.0</v>
      </c>
      <c r="G381" s="52" t="s">
        <v>1552</v>
      </c>
      <c r="H381" s="13"/>
      <c r="I381" s="10"/>
      <c r="J381" s="6" t="s">
        <v>584</v>
      </c>
      <c r="K381" s="7"/>
      <c r="L381" s="7"/>
      <c r="M381" s="7"/>
      <c r="N381" s="7"/>
      <c r="O381" s="7"/>
    </row>
    <row r="382">
      <c r="A382" s="48" t="s">
        <v>1140</v>
      </c>
      <c r="B382" s="10"/>
      <c r="C382" s="59"/>
      <c r="D382" s="50" t="s">
        <v>166</v>
      </c>
      <c r="E382" s="51" t="s">
        <v>1553</v>
      </c>
      <c r="F382" s="51" t="s">
        <v>1554</v>
      </c>
      <c r="G382" s="52" t="s">
        <v>1555</v>
      </c>
      <c r="H382" s="13"/>
      <c r="I382" s="10"/>
      <c r="J382" s="6" t="s">
        <v>584</v>
      </c>
      <c r="K382" s="7"/>
      <c r="L382" s="7"/>
      <c r="M382" s="7"/>
      <c r="N382" s="7"/>
      <c r="O382" s="7"/>
    </row>
    <row r="383">
      <c r="A383" s="48" t="s">
        <v>1556</v>
      </c>
      <c r="B383" s="10"/>
      <c r="C383" s="49" t="s">
        <v>1485</v>
      </c>
      <c r="D383" s="60"/>
      <c r="E383" s="51" t="s">
        <v>1557</v>
      </c>
      <c r="F383" s="51">
        <v>5.0</v>
      </c>
      <c r="G383" s="52" t="s">
        <v>1558</v>
      </c>
      <c r="H383" s="13"/>
      <c r="I383" s="10"/>
      <c r="J383" s="6" t="s">
        <v>584</v>
      </c>
      <c r="K383" s="7"/>
      <c r="L383" s="7"/>
      <c r="M383" s="7"/>
      <c r="N383" s="7"/>
      <c r="O383" s="7"/>
    </row>
    <row r="384">
      <c r="A384" s="48" t="s">
        <v>912</v>
      </c>
      <c r="B384" s="10"/>
      <c r="C384" s="59"/>
      <c r="D384" s="60"/>
      <c r="E384" s="51" t="s">
        <v>1559</v>
      </c>
      <c r="F384" s="51" t="s">
        <v>1554</v>
      </c>
      <c r="G384" s="52" t="s">
        <v>1560</v>
      </c>
      <c r="H384" s="13"/>
      <c r="I384" s="10"/>
      <c r="J384" s="6" t="s">
        <v>584</v>
      </c>
      <c r="K384" s="7"/>
      <c r="L384" s="7"/>
      <c r="M384" s="7"/>
      <c r="N384" s="7"/>
      <c r="O384" s="7"/>
    </row>
    <row r="385">
      <c r="A385" s="48" t="s">
        <v>154</v>
      </c>
      <c r="B385" s="10"/>
      <c r="C385" s="59"/>
      <c r="D385" s="60"/>
      <c r="E385" s="51" t="s">
        <v>1561</v>
      </c>
      <c r="F385" s="51" t="s">
        <v>710</v>
      </c>
      <c r="G385" s="52" t="s">
        <v>1562</v>
      </c>
      <c r="H385" s="13"/>
      <c r="I385" s="10"/>
      <c r="J385" s="6" t="s">
        <v>584</v>
      </c>
      <c r="K385" s="7"/>
      <c r="L385" s="7"/>
      <c r="M385" s="7"/>
      <c r="N385" s="7"/>
      <c r="O385" s="7"/>
    </row>
    <row r="386">
      <c r="A386" s="48" t="s">
        <v>1563</v>
      </c>
      <c r="B386" s="10"/>
      <c r="C386" s="59"/>
      <c r="D386" s="60"/>
      <c r="E386" s="51" t="s">
        <v>1561</v>
      </c>
      <c r="F386" s="51" t="s">
        <v>710</v>
      </c>
      <c r="G386" s="52" t="s">
        <v>1564</v>
      </c>
      <c r="H386" s="13"/>
      <c r="I386" s="10"/>
      <c r="J386" s="6" t="s">
        <v>584</v>
      </c>
      <c r="K386" s="7"/>
      <c r="L386" s="7"/>
      <c r="M386" s="7"/>
      <c r="N386" s="7"/>
      <c r="O386" s="7"/>
    </row>
    <row r="387">
      <c r="A387" s="48" t="s">
        <v>1176</v>
      </c>
      <c r="B387" s="10"/>
      <c r="C387" s="59"/>
      <c r="D387" s="60"/>
      <c r="E387" s="51" t="s">
        <v>1989</v>
      </c>
      <c r="F387" s="51" t="s">
        <v>710</v>
      </c>
      <c r="G387" s="52" t="s">
        <v>1566</v>
      </c>
      <c r="H387" s="13"/>
      <c r="I387" s="10"/>
      <c r="J387" s="6" t="s">
        <v>584</v>
      </c>
      <c r="K387" s="7"/>
      <c r="L387" s="7"/>
      <c r="M387" s="7"/>
      <c r="N387" s="7"/>
      <c r="O387" s="7"/>
    </row>
    <row r="388">
      <c r="A388" s="48" t="s">
        <v>1567</v>
      </c>
      <c r="B388" s="10"/>
      <c r="C388" s="59"/>
      <c r="D388" s="60"/>
      <c r="E388" s="51" t="s">
        <v>1568</v>
      </c>
      <c r="F388" s="51" t="s">
        <v>1554</v>
      </c>
      <c r="G388" s="52" t="s">
        <v>1971</v>
      </c>
      <c r="H388" s="13"/>
      <c r="I388" s="10"/>
      <c r="J388" s="6" t="s">
        <v>584</v>
      </c>
      <c r="K388" s="7"/>
      <c r="L388" s="7"/>
      <c r="M388" s="7"/>
      <c r="N388" s="7"/>
      <c r="O388" s="7"/>
    </row>
    <row r="389">
      <c r="A389" s="48" t="s">
        <v>31</v>
      </c>
      <c r="B389" s="10"/>
      <c r="C389" s="59"/>
      <c r="D389" s="60"/>
      <c r="E389" s="51" t="s">
        <v>1570</v>
      </c>
      <c r="F389" s="51"/>
      <c r="G389" s="52" t="s">
        <v>1571</v>
      </c>
      <c r="H389" s="13"/>
      <c r="I389" s="10"/>
      <c r="J389" s="6" t="s">
        <v>584</v>
      </c>
      <c r="K389" s="7"/>
      <c r="L389" s="7"/>
      <c r="M389" s="7"/>
      <c r="N389" s="7"/>
      <c r="O389" s="7"/>
    </row>
    <row r="390">
      <c r="A390" s="48" t="s">
        <v>722</v>
      </c>
      <c r="B390" s="10"/>
      <c r="C390" s="59"/>
      <c r="D390" s="60"/>
      <c r="E390" s="51" t="s">
        <v>1572</v>
      </c>
      <c r="F390" s="51" t="s">
        <v>1573</v>
      </c>
      <c r="G390" s="52" t="s">
        <v>1574</v>
      </c>
      <c r="H390" s="13"/>
      <c r="I390" s="10"/>
      <c r="J390" s="6" t="s">
        <v>584</v>
      </c>
      <c r="K390" s="7"/>
      <c r="L390" s="7"/>
      <c r="M390" s="7"/>
      <c r="N390" s="7"/>
      <c r="O390" s="7"/>
    </row>
    <row r="391">
      <c r="A391" s="48" t="s">
        <v>1575</v>
      </c>
      <c r="B391" s="10"/>
      <c r="C391" s="49" t="s">
        <v>1576</v>
      </c>
      <c r="D391" s="60"/>
      <c r="E391" s="51" t="s">
        <v>1501</v>
      </c>
      <c r="F391" s="51"/>
      <c r="G391" s="52" t="s">
        <v>1577</v>
      </c>
      <c r="H391" s="13"/>
      <c r="I391" s="10"/>
      <c r="J391" s="6" t="s">
        <v>1450</v>
      </c>
      <c r="K391" s="7"/>
      <c r="L391" s="7"/>
      <c r="M391" s="7"/>
      <c r="N391" s="7"/>
      <c r="O391" s="7"/>
    </row>
    <row r="392">
      <c r="A392" s="63" t="s">
        <v>1578</v>
      </c>
      <c r="B392" s="10"/>
      <c r="C392" s="49" t="s">
        <v>1580</v>
      </c>
      <c r="D392" s="60"/>
      <c r="E392" s="51" t="s">
        <v>1581</v>
      </c>
      <c r="F392" s="51"/>
      <c r="G392" s="52" t="s">
        <v>1582</v>
      </c>
      <c r="H392" s="13"/>
      <c r="I392" s="10"/>
      <c r="J392" s="6" t="s">
        <v>584</v>
      </c>
      <c r="K392" s="7"/>
      <c r="L392" s="7"/>
      <c r="M392" s="7"/>
      <c r="N392" s="7"/>
      <c r="O392" s="7"/>
    </row>
    <row r="393">
      <c r="A393" s="63" t="s">
        <v>1583</v>
      </c>
      <c r="B393" s="10"/>
      <c r="C393" s="49"/>
      <c r="D393" s="60"/>
      <c r="E393" s="51" t="s">
        <v>1501</v>
      </c>
      <c r="F393" s="51"/>
      <c r="G393" s="52" t="s">
        <v>1584</v>
      </c>
      <c r="H393" s="13"/>
      <c r="I393" s="10"/>
      <c r="J393" s="6" t="s">
        <v>584</v>
      </c>
      <c r="K393" s="7"/>
      <c r="L393" s="7"/>
      <c r="M393" s="7"/>
      <c r="N393" s="7"/>
      <c r="O393" s="7"/>
    </row>
    <row r="394">
      <c r="A394" s="63" t="s">
        <v>1585</v>
      </c>
      <c r="B394" s="10"/>
      <c r="C394" s="49"/>
      <c r="D394" s="60"/>
      <c r="E394" s="51" t="s">
        <v>1501</v>
      </c>
      <c r="F394" s="51"/>
      <c r="G394" s="52" t="s">
        <v>1586</v>
      </c>
      <c r="H394" s="13"/>
      <c r="I394" s="10"/>
      <c r="J394" s="6" t="s">
        <v>584</v>
      </c>
      <c r="K394" s="7"/>
      <c r="L394" s="7"/>
      <c r="M394" s="7"/>
      <c r="N394" s="7"/>
      <c r="O394" s="7"/>
    </row>
    <row r="395">
      <c r="A395" s="63" t="s">
        <v>111</v>
      </c>
      <c r="B395" s="10"/>
      <c r="C395" s="49"/>
      <c r="D395" s="60"/>
      <c r="E395" s="51" t="s">
        <v>1501</v>
      </c>
      <c r="F395" s="51"/>
      <c r="G395" s="52" t="s">
        <v>1587</v>
      </c>
      <c r="H395" s="13"/>
      <c r="I395" s="10"/>
      <c r="J395" s="6" t="s">
        <v>584</v>
      </c>
      <c r="K395" s="7"/>
      <c r="L395" s="7"/>
      <c r="M395" s="7"/>
      <c r="N395" s="7"/>
      <c r="O395" s="7"/>
    </row>
    <row r="396">
      <c r="A396" s="63" t="s">
        <v>1588</v>
      </c>
      <c r="B396" s="10"/>
      <c r="C396" s="49"/>
      <c r="D396" s="60"/>
      <c r="E396" s="51" t="s">
        <v>1501</v>
      </c>
      <c r="F396" s="51"/>
      <c r="G396" s="52" t="s">
        <v>1590</v>
      </c>
      <c r="H396" s="13"/>
      <c r="I396" s="10"/>
      <c r="J396" s="6" t="s">
        <v>584</v>
      </c>
      <c r="K396" s="7"/>
      <c r="L396" s="7"/>
      <c r="M396" s="7"/>
      <c r="N396" s="7"/>
      <c r="O396" s="7"/>
    </row>
    <row r="397">
      <c r="A397" s="63" t="s">
        <v>1591</v>
      </c>
      <c r="B397" s="10"/>
      <c r="C397" s="49"/>
      <c r="D397" s="60"/>
      <c r="E397" s="51" t="s">
        <v>1501</v>
      </c>
      <c r="F397" s="51"/>
      <c r="G397" s="52" t="s">
        <v>1592</v>
      </c>
      <c r="H397" s="13"/>
      <c r="I397" s="10"/>
      <c r="J397" s="6" t="s">
        <v>584</v>
      </c>
      <c r="K397" s="7"/>
      <c r="L397" s="7"/>
      <c r="M397" s="7"/>
      <c r="N397" s="7"/>
      <c r="O397" s="7"/>
    </row>
    <row r="398">
      <c r="A398" s="63" t="s">
        <v>1594</v>
      </c>
      <c r="B398" s="10"/>
      <c r="C398" s="49"/>
      <c r="D398" s="60"/>
      <c r="E398" s="51" t="s">
        <v>1501</v>
      </c>
      <c r="F398" s="51"/>
      <c r="G398" s="52" t="s">
        <v>1595</v>
      </c>
      <c r="H398" s="13"/>
      <c r="I398" s="10"/>
      <c r="J398" s="6" t="s">
        <v>584</v>
      </c>
      <c r="K398" s="7"/>
      <c r="L398" s="7"/>
      <c r="M398" s="7"/>
      <c r="N398" s="7"/>
      <c r="O398" s="7"/>
    </row>
    <row r="399">
      <c r="A399" s="63" t="s">
        <v>1597</v>
      </c>
      <c r="B399" s="10"/>
      <c r="C399" s="49"/>
      <c r="D399" s="60"/>
      <c r="E399" s="51" t="s">
        <v>1501</v>
      </c>
      <c r="F399" s="51"/>
      <c r="G399" s="52" t="s">
        <v>1598</v>
      </c>
      <c r="H399" s="13"/>
      <c r="I399" s="10"/>
      <c r="J399" s="6" t="s">
        <v>584</v>
      </c>
      <c r="K399" s="7"/>
      <c r="L399" s="7"/>
      <c r="M399" s="7"/>
      <c r="N399" s="7"/>
      <c r="O399" s="7"/>
    </row>
    <row r="400">
      <c r="A400" s="63" t="s">
        <v>1600</v>
      </c>
      <c r="B400" s="10"/>
      <c r="C400" s="49"/>
      <c r="D400" s="60"/>
      <c r="E400" s="51" t="s">
        <v>1501</v>
      </c>
      <c r="F400" s="51"/>
      <c r="G400" s="52" t="s">
        <v>1601</v>
      </c>
      <c r="H400" s="13"/>
      <c r="I400" s="10"/>
      <c r="J400" s="6" t="s">
        <v>584</v>
      </c>
      <c r="K400" s="7"/>
      <c r="L400" s="7"/>
      <c r="M400" s="7"/>
      <c r="N400" s="7"/>
      <c r="O400" s="7"/>
    </row>
    <row r="401">
      <c r="A401" s="63" t="s">
        <v>1612</v>
      </c>
      <c r="B401" s="10"/>
      <c r="C401" s="49"/>
      <c r="D401" s="60"/>
      <c r="E401" s="51" t="s">
        <v>1501</v>
      </c>
      <c r="F401" s="51"/>
      <c r="G401" s="52" t="s">
        <v>1613</v>
      </c>
      <c r="H401" s="13"/>
      <c r="I401" s="10"/>
      <c r="J401" s="6" t="s">
        <v>584</v>
      </c>
      <c r="K401" s="7"/>
      <c r="L401" s="7"/>
      <c r="M401" s="7"/>
      <c r="N401" s="7"/>
      <c r="O401" s="7"/>
    </row>
    <row r="402">
      <c r="A402" s="68" t="s">
        <v>1619</v>
      </c>
      <c r="B402" s="10"/>
      <c r="C402" s="69"/>
      <c r="D402" s="70"/>
      <c r="E402" s="47" t="s">
        <v>1620</v>
      </c>
      <c r="F402" s="47"/>
      <c r="G402" s="71"/>
      <c r="H402" s="13"/>
      <c r="I402" s="10"/>
      <c r="J402" s="72"/>
      <c r="K402" s="7"/>
      <c r="L402" s="7"/>
      <c r="M402" s="7"/>
      <c r="N402" s="7"/>
      <c r="O402" s="7"/>
    </row>
    <row r="403">
      <c r="A403" s="48" t="s">
        <v>1621</v>
      </c>
      <c r="B403" s="10"/>
      <c r="C403" s="59"/>
      <c r="D403" s="60"/>
      <c r="E403" s="51"/>
      <c r="F403" s="51"/>
      <c r="G403" s="52" t="s">
        <v>1622</v>
      </c>
      <c r="H403" s="13"/>
      <c r="I403" s="10"/>
      <c r="J403" s="6" t="s">
        <v>584</v>
      </c>
      <c r="K403" s="7"/>
      <c r="L403" s="7"/>
      <c r="M403" s="7"/>
      <c r="N403" s="7"/>
      <c r="O403" s="7"/>
    </row>
    <row r="404">
      <c r="A404" s="48" t="s">
        <v>1623</v>
      </c>
      <c r="B404" s="10"/>
      <c r="C404" s="59"/>
      <c r="D404" s="60"/>
      <c r="E404" s="51"/>
      <c r="F404" s="51"/>
      <c r="G404" s="52" t="s">
        <v>1624</v>
      </c>
      <c r="H404" s="13"/>
      <c r="I404" s="10"/>
      <c r="J404" s="6" t="s">
        <v>1450</v>
      </c>
      <c r="K404" s="7"/>
      <c r="L404" s="7"/>
      <c r="M404" s="7"/>
      <c r="N404" s="7"/>
      <c r="O404" s="7"/>
    </row>
    <row r="405">
      <c r="A405" s="48" t="s">
        <v>1625</v>
      </c>
      <c r="B405" s="10"/>
      <c r="C405" s="59"/>
      <c r="D405" s="60"/>
      <c r="E405" s="51"/>
      <c r="F405" s="51"/>
      <c r="G405" s="52" t="s">
        <v>1626</v>
      </c>
      <c r="H405" s="13"/>
      <c r="I405" s="10"/>
      <c r="J405" s="6" t="s">
        <v>1450</v>
      </c>
      <c r="K405" s="7"/>
      <c r="L405" s="7"/>
      <c r="M405" s="7"/>
      <c r="N405" s="7"/>
      <c r="O405" s="7"/>
    </row>
    <row r="406">
      <c r="A406" s="48" t="s">
        <v>1627</v>
      </c>
      <c r="B406" s="10"/>
      <c r="C406" s="59"/>
      <c r="D406" s="60"/>
      <c r="E406" s="51"/>
      <c r="F406" s="51"/>
      <c r="G406" s="52" t="s">
        <v>1628</v>
      </c>
      <c r="H406" s="13"/>
      <c r="I406" s="10"/>
      <c r="J406" s="6" t="s">
        <v>584</v>
      </c>
      <c r="K406" s="7"/>
      <c r="L406" s="7"/>
      <c r="M406" s="7"/>
      <c r="N406" s="7"/>
      <c r="O406" s="7"/>
    </row>
    <row r="407">
      <c r="A407" s="48" t="s">
        <v>1629</v>
      </c>
      <c r="B407" s="10"/>
      <c r="C407" s="59"/>
      <c r="D407" s="60"/>
      <c r="E407" s="51"/>
      <c r="F407" s="51"/>
      <c r="G407" s="52" t="s">
        <v>1630</v>
      </c>
      <c r="H407" s="13"/>
      <c r="I407" s="10"/>
      <c r="J407" s="6" t="s">
        <v>584</v>
      </c>
      <c r="K407" s="7"/>
      <c r="L407" s="7"/>
      <c r="M407" s="7"/>
      <c r="N407" s="7"/>
      <c r="O407" s="7"/>
    </row>
    <row r="408">
      <c r="A408" s="48" t="s">
        <v>1631</v>
      </c>
      <c r="B408" s="10"/>
      <c r="C408" s="59"/>
      <c r="D408" s="60"/>
      <c r="E408" s="51"/>
      <c r="F408" s="51"/>
      <c r="G408" s="52" t="s">
        <v>1632</v>
      </c>
      <c r="H408" s="13"/>
      <c r="I408" s="10"/>
      <c r="J408" s="6" t="s">
        <v>584</v>
      </c>
      <c r="K408" s="7"/>
      <c r="L408" s="7"/>
      <c r="M408" s="7"/>
      <c r="N408" s="7"/>
      <c r="O408" s="7"/>
    </row>
    <row r="409">
      <c r="A409" s="48" t="s">
        <v>1633</v>
      </c>
      <c r="B409" s="10"/>
      <c r="C409" s="59"/>
      <c r="D409" s="60"/>
      <c r="E409" s="51"/>
      <c r="F409" s="51"/>
      <c r="G409" s="52" t="s">
        <v>1634</v>
      </c>
      <c r="H409" s="13"/>
      <c r="I409" s="10"/>
      <c r="J409" s="6" t="s">
        <v>584</v>
      </c>
      <c r="K409" s="7"/>
      <c r="L409" s="7"/>
      <c r="M409" s="7"/>
      <c r="N409" s="7"/>
      <c r="O409" s="7"/>
    </row>
    <row r="410">
      <c r="A410" s="73"/>
      <c r="B410" s="74"/>
      <c r="C410" s="74"/>
      <c r="D410" s="73"/>
      <c r="E410" s="22"/>
      <c r="F410" s="22"/>
      <c r="G410" s="22"/>
      <c r="H410" s="7"/>
      <c r="I410" s="7"/>
      <c r="J410" s="7">
        <f>COUNTIFS(J344:J409,"Yes")</f>
        <v>41</v>
      </c>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f>COUNTIF(J344:J409,"Changes")</f>
        <v>13</v>
      </c>
      <c r="K411" s="7"/>
      <c r="L411" s="7"/>
      <c r="M411" s="7"/>
      <c r="N411" s="7"/>
      <c r="O411" s="7"/>
      <c r="P411" s="7"/>
      <c r="Q411" s="7"/>
      <c r="R411" s="7"/>
      <c r="S411" s="7"/>
      <c r="T411" s="7"/>
      <c r="U411" s="7"/>
      <c r="V411" s="7"/>
      <c r="W411" s="7"/>
      <c r="X411" s="7"/>
      <c r="Y411" s="7"/>
      <c r="Z411" s="7"/>
    </row>
    <row r="412">
      <c r="A412" s="78" t="s">
        <v>1692</v>
      </c>
      <c r="B412" s="79"/>
      <c r="C412" s="79"/>
      <c r="D412" s="79"/>
      <c r="E412" s="79"/>
      <c r="F412" s="79"/>
      <c r="G412" s="79"/>
      <c r="H412" s="80"/>
      <c r="I412" s="7"/>
      <c r="J412" s="7">
        <f>COUNTIF(J344:J409, "No")</f>
        <v>11</v>
      </c>
      <c r="K412" s="7"/>
      <c r="L412" s="7"/>
      <c r="M412" s="7"/>
      <c r="N412" s="7"/>
      <c r="O412" s="7"/>
    </row>
    <row r="413">
      <c r="A413" s="81" t="s">
        <v>1693</v>
      </c>
      <c r="B413" s="82" t="s">
        <v>1694</v>
      </c>
      <c r="C413" s="82" t="s">
        <v>1695</v>
      </c>
      <c r="D413" s="83"/>
      <c r="E413" s="83"/>
      <c r="F413" s="83"/>
      <c r="G413" s="83"/>
      <c r="H413" s="83"/>
      <c r="I413" s="7"/>
      <c r="J413" s="7">
        <f>J410+J411+J412</f>
        <v>65</v>
      </c>
      <c r="K413" s="7"/>
      <c r="L413" s="7"/>
      <c r="M413" s="7"/>
      <c r="N413" s="7"/>
      <c r="O413" s="7"/>
    </row>
    <row r="414">
      <c r="A414" s="81" t="s">
        <v>1696</v>
      </c>
      <c r="B414" s="84" t="s">
        <v>1697</v>
      </c>
      <c r="C414" s="79"/>
      <c r="D414" s="79"/>
      <c r="E414" s="79"/>
      <c r="F414" s="79"/>
      <c r="G414" s="79"/>
      <c r="H414" s="80"/>
      <c r="I414" s="7"/>
      <c r="J414" s="7"/>
      <c r="K414" s="7"/>
      <c r="L414" s="7"/>
      <c r="M414" s="7"/>
      <c r="N414" s="7"/>
      <c r="O414" s="7"/>
    </row>
    <row r="415">
      <c r="A415" s="81" t="s">
        <v>1698</v>
      </c>
      <c r="B415" s="84" t="s">
        <v>1699</v>
      </c>
      <c r="C415" s="79"/>
      <c r="D415" s="79"/>
      <c r="E415" s="79"/>
      <c r="F415" s="79"/>
      <c r="G415" s="79"/>
      <c r="H415" s="80"/>
      <c r="I415" s="7"/>
      <c r="J415" s="7"/>
      <c r="K415" s="7"/>
      <c r="L415" s="7"/>
      <c r="M415" s="7"/>
      <c r="N415" s="7"/>
      <c r="O415" s="7"/>
    </row>
    <row r="416">
      <c r="A416" s="81" t="s">
        <v>1700</v>
      </c>
      <c r="B416" s="84" t="s">
        <v>1702</v>
      </c>
      <c r="C416" s="79"/>
      <c r="D416" s="79"/>
      <c r="E416" s="79"/>
      <c r="F416" s="79"/>
      <c r="G416" s="79"/>
      <c r="H416" s="80"/>
      <c r="I416" s="7"/>
      <c r="J416" s="7"/>
      <c r="K416" s="7"/>
      <c r="L416" s="7"/>
      <c r="M416" s="7"/>
      <c r="N416" s="7"/>
      <c r="O416" s="7"/>
    </row>
    <row r="417">
      <c r="A417" s="81" t="s">
        <v>1703</v>
      </c>
      <c r="B417" s="84" t="s">
        <v>1704</v>
      </c>
      <c r="C417" s="79"/>
      <c r="D417" s="79"/>
      <c r="E417" s="79"/>
      <c r="F417" s="79"/>
      <c r="G417" s="79"/>
      <c r="H417" s="80"/>
      <c r="I417" s="7"/>
      <c r="J417" s="7"/>
      <c r="K417" s="7"/>
      <c r="L417" s="7"/>
      <c r="M417" s="7"/>
      <c r="N417" s="7"/>
      <c r="O417" s="7"/>
    </row>
    <row r="418">
      <c r="A418" s="81" t="s">
        <v>1705</v>
      </c>
      <c r="B418" s="84" t="s">
        <v>1706</v>
      </c>
      <c r="C418" s="79"/>
      <c r="D418" s="79"/>
      <c r="E418" s="79"/>
      <c r="F418" s="79"/>
      <c r="G418" s="79"/>
      <c r="H418" s="80"/>
      <c r="I418" s="7"/>
      <c r="J418" s="7"/>
      <c r="K418" s="7"/>
      <c r="L418" s="7"/>
      <c r="M418" s="7"/>
      <c r="N418" s="7"/>
      <c r="O418" s="7"/>
    </row>
    <row r="419">
      <c r="A419" s="81" t="s">
        <v>1707</v>
      </c>
      <c r="B419" s="84" t="s">
        <v>1708</v>
      </c>
      <c r="C419" s="79"/>
      <c r="D419" s="79"/>
      <c r="E419" s="79"/>
      <c r="F419" s="79"/>
      <c r="G419" s="79"/>
      <c r="H419" s="80"/>
      <c r="I419" s="7"/>
      <c r="J419" s="7"/>
      <c r="K419" s="7"/>
      <c r="L419" s="7"/>
      <c r="M419" s="7"/>
      <c r="N419" s="7"/>
      <c r="O419" s="7"/>
    </row>
    <row r="420">
      <c r="A420" s="81" t="s">
        <v>1709</v>
      </c>
      <c r="B420" s="84" t="s">
        <v>1710</v>
      </c>
      <c r="C420" s="79"/>
      <c r="D420" s="79"/>
      <c r="E420" s="79"/>
      <c r="F420" s="79"/>
      <c r="G420" s="79"/>
      <c r="H420" s="80"/>
      <c r="I420" s="7"/>
      <c r="J420" s="7"/>
      <c r="K420" s="7"/>
      <c r="L420" s="7"/>
      <c r="M420" s="7"/>
      <c r="N420" s="7"/>
      <c r="O420" s="7"/>
    </row>
    <row r="421">
      <c r="A421" s="81" t="s">
        <v>1711</v>
      </c>
      <c r="B421" s="84" t="s">
        <v>1712</v>
      </c>
      <c r="C421" s="79"/>
      <c r="D421" s="79"/>
      <c r="E421" s="79"/>
      <c r="F421" s="79"/>
      <c r="G421" s="79"/>
      <c r="H421" s="80"/>
      <c r="I421" s="7"/>
      <c r="J421" s="7"/>
      <c r="K421" s="7"/>
      <c r="L421" s="7"/>
      <c r="M421" s="7"/>
      <c r="N421" s="7"/>
      <c r="O421" s="7"/>
    </row>
    <row r="422">
      <c r="A422" s="81" t="s">
        <v>1713</v>
      </c>
      <c r="B422" s="84" t="s">
        <v>1714</v>
      </c>
      <c r="C422" s="79"/>
      <c r="D422" s="79"/>
      <c r="E422" s="79"/>
      <c r="F422" s="79"/>
      <c r="G422" s="79"/>
      <c r="H422" s="80"/>
      <c r="I422" s="7"/>
      <c r="J422" s="7"/>
      <c r="K422" s="7"/>
      <c r="L422" s="7"/>
      <c r="M422" s="7"/>
      <c r="N422" s="7"/>
      <c r="O422" s="7"/>
    </row>
    <row r="423">
      <c r="A423" s="78" t="s">
        <v>1715</v>
      </c>
      <c r="B423" s="79"/>
      <c r="C423" s="79"/>
      <c r="D423" s="79"/>
      <c r="E423" s="79"/>
      <c r="F423" s="79"/>
      <c r="G423" s="79"/>
      <c r="H423" s="80"/>
      <c r="I423" s="7"/>
      <c r="J423" s="7"/>
      <c r="K423" s="7"/>
      <c r="L423" s="7"/>
      <c r="M423" s="7"/>
      <c r="N423" s="7"/>
      <c r="O423" s="7"/>
    </row>
    <row r="424">
      <c r="A424" s="85" t="s">
        <v>1716</v>
      </c>
      <c r="B424" s="79"/>
      <c r="C424" s="79"/>
      <c r="D424" s="79"/>
      <c r="E424" s="79"/>
      <c r="F424" s="79"/>
      <c r="G424" s="79"/>
      <c r="H424" s="80"/>
      <c r="I424" s="7"/>
      <c r="J424" s="7"/>
      <c r="K424" s="7"/>
      <c r="L424" s="7"/>
      <c r="M424" s="7"/>
      <c r="N424" s="7"/>
      <c r="O424" s="7"/>
    </row>
    <row r="425">
      <c r="A425" s="78" t="s">
        <v>1717</v>
      </c>
      <c r="B425" s="79"/>
      <c r="C425" s="79"/>
      <c r="D425" s="79"/>
      <c r="E425" s="79"/>
      <c r="F425" s="79"/>
      <c r="G425" s="79"/>
      <c r="H425" s="80"/>
      <c r="I425" s="7"/>
      <c r="J425" s="7"/>
      <c r="K425" s="7"/>
      <c r="L425" s="7"/>
      <c r="M425" s="7"/>
      <c r="N425" s="7"/>
      <c r="O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I455" s="7"/>
      <c r="J455" s="7"/>
      <c r="K455" s="7"/>
      <c r="L455" s="7"/>
      <c r="M455" s="7"/>
      <c r="N455" s="7"/>
      <c r="O455" s="7"/>
    </row>
    <row r="456">
      <c r="I456" s="7"/>
      <c r="J456" s="7"/>
      <c r="K456" s="7"/>
      <c r="L456" s="7"/>
      <c r="M456" s="7"/>
      <c r="N456" s="7"/>
      <c r="O456" s="7"/>
    </row>
    <row r="457">
      <c r="I457" s="7"/>
      <c r="J457" s="7"/>
      <c r="K457" s="7"/>
      <c r="L457" s="7"/>
      <c r="M457" s="7"/>
      <c r="N457" s="7"/>
      <c r="O457" s="7"/>
    </row>
    <row r="458">
      <c r="I458" s="7"/>
      <c r="J458" s="7"/>
      <c r="K458" s="7"/>
      <c r="L458" s="7"/>
      <c r="M458" s="7"/>
      <c r="N458" s="7"/>
      <c r="O458" s="7"/>
    </row>
    <row r="459">
      <c r="I459" s="7"/>
      <c r="J459" s="7"/>
      <c r="K459" s="7"/>
      <c r="L459" s="7"/>
      <c r="M459" s="7"/>
      <c r="N459" s="7"/>
      <c r="O459" s="7"/>
    </row>
    <row r="460">
      <c r="I460" s="7"/>
      <c r="J460" s="7"/>
      <c r="K460" s="7"/>
      <c r="L460" s="7"/>
      <c r="M460" s="7"/>
      <c r="N460" s="7"/>
      <c r="O460" s="7"/>
    </row>
    <row r="461">
      <c r="I461" s="7"/>
      <c r="J461" s="7"/>
      <c r="K461" s="7"/>
      <c r="L461" s="7"/>
      <c r="M461" s="7"/>
      <c r="N461" s="7"/>
      <c r="O461" s="7"/>
    </row>
    <row r="462">
      <c r="I462" s="7"/>
      <c r="J462" s="7"/>
      <c r="K462" s="7"/>
      <c r="L462" s="7"/>
      <c r="M462" s="7"/>
      <c r="N462" s="7"/>
      <c r="O462" s="7"/>
    </row>
    <row r="463">
      <c r="I463" s="7"/>
      <c r="J463" s="7"/>
      <c r="K463" s="7"/>
      <c r="L463" s="7"/>
      <c r="M463" s="7"/>
      <c r="N463" s="7"/>
      <c r="O463" s="7"/>
    </row>
    <row r="464">
      <c r="I464" s="7"/>
      <c r="J464" s="7"/>
      <c r="K464" s="7"/>
      <c r="L464" s="7"/>
      <c r="M464" s="7"/>
      <c r="N464" s="7"/>
      <c r="O464" s="7"/>
    </row>
    <row r="465">
      <c r="I465" s="7"/>
      <c r="J465" s="7"/>
      <c r="K465" s="7"/>
      <c r="L465" s="7"/>
      <c r="M465" s="7"/>
      <c r="N465" s="7"/>
      <c r="O465" s="7"/>
    </row>
    <row r="466">
      <c r="I466" s="7"/>
      <c r="J466" s="7"/>
      <c r="K466" s="7"/>
      <c r="L466" s="7"/>
      <c r="M466" s="7"/>
      <c r="N466" s="7"/>
      <c r="O466" s="7"/>
    </row>
    <row r="467">
      <c r="I467" s="7"/>
      <c r="J467" s="7"/>
      <c r="K467" s="7"/>
      <c r="L467" s="7"/>
      <c r="M467" s="7"/>
      <c r="N467" s="7"/>
      <c r="O467" s="7"/>
    </row>
    <row r="468">
      <c r="I468" s="7"/>
      <c r="J468" s="7"/>
      <c r="K468" s="7"/>
      <c r="L468" s="7"/>
      <c r="M468" s="7"/>
      <c r="N468" s="7"/>
      <c r="O468" s="7"/>
    </row>
    <row r="469">
      <c r="I469" s="7"/>
      <c r="J469" s="7"/>
      <c r="K469" s="7"/>
      <c r="L469" s="7"/>
      <c r="M469" s="7"/>
      <c r="N469" s="7"/>
      <c r="O469" s="7"/>
    </row>
    <row r="470">
      <c r="I470" s="7"/>
      <c r="J470" s="7"/>
      <c r="K470" s="7"/>
      <c r="L470" s="7"/>
      <c r="M470" s="7"/>
      <c r="N470" s="7"/>
      <c r="O470" s="7"/>
    </row>
    <row r="471">
      <c r="I471" s="7"/>
      <c r="J471" s="7"/>
      <c r="K471" s="7"/>
      <c r="L471" s="7"/>
      <c r="M471" s="7"/>
      <c r="N471" s="7"/>
      <c r="O471" s="7"/>
    </row>
    <row r="472">
      <c r="I472" s="7"/>
      <c r="J472" s="7"/>
      <c r="K472" s="7"/>
      <c r="L472" s="7"/>
      <c r="M472" s="7"/>
      <c r="N472" s="7"/>
      <c r="O472" s="7"/>
    </row>
    <row r="473">
      <c r="I473" s="7"/>
      <c r="J473" s="7"/>
      <c r="K473" s="7"/>
      <c r="L473" s="7"/>
      <c r="M473" s="7"/>
      <c r="N473" s="7"/>
      <c r="O473" s="7"/>
    </row>
    <row r="474">
      <c r="I474" s="7"/>
      <c r="J474" s="7"/>
      <c r="K474" s="7"/>
      <c r="L474" s="7"/>
      <c r="M474" s="7"/>
      <c r="N474" s="7"/>
      <c r="O474" s="7"/>
    </row>
    <row r="475">
      <c r="I475" s="7"/>
      <c r="J475" s="7"/>
      <c r="K475" s="7"/>
      <c r="L475" s="7"/>
      <c r="M475" s="7"/>
      <c r="N475" s="7"/>
      <c r="O475" s="7"/>
    </row>
    <row r="476">
      <c r="I476" s="7"/>
      <c r="J476" s="7"/>
      <c r="K476" s="7"/>
      <c r="L476" s="7"/>
      <c r="M476" s="7"/>
      <c r="N476" s="7"/>
      <c r="O476" s="7"/>
    </row>
    <row r="477">
      <c r="I477" s="7"/>
      <c r="J477" s="7"/>
      <c r="K477" s="7"/>
      <c r="L477" s="7"/>
      <c r="M477" s="7"/>
      <c r="N477" s="7"/>
      <c r="O477" s="7"/>
    </row>
    <row r="478">
      <c r="I478" s="7"/>
      <c r="J478" s="7"/>
      <c r="K478" s="7"/>
      <c r="L478" s="7"/>
      <c r="M478" s="7"/>
      <c r="N478" s="7"/>
      <c r="O478" s="7"/>
    </row>
    <row r="479">
      <c r="I479" s="7"/>
      <c r="J479" s="7"/>
      <c r="K479" s="7"/>
      <c r="L479" s="7"/>
      <c r="M479" s="7"/>
      <c r="N479" s="7"/>
      <c r="O479" s="7"/>
    </row>
    <row r="480">
      <c r="I480" s="7"/>
      <c r="J480" s="7"/>
      <c r="K480" s="7"/>
      <c r="L480" s="7"/>
      <c r="M480" s="7"/>
      <c r="N480" s="7"/>
      <c r="O480" s="7"/>
    </row>
    <row r="481">
      <c r="I481" s="7"/>
      <c r="J481" s="7"/>
      <c r="K481" s="7"/>
      <c r="L481" s="7"/>
      <c r="M481" s="7"/>
      <c r="N481" s="7"/>
      <c r="O481" s="7"/>
    </row>
    <row r="482">
      <c r="I482" s="7"/>
      <c r="J482" s="7"/>
      <c r="K482" s="7"/>
      <c r="L482" s="7"/>
      <c r="M482" s="7"/>
      <c r="N482" s="7"/>
      <c r="O482" s="7"/>
    </row>
    <row r="483">
      <c r="I483" s="7"/>
      <c r="J483" s="7"/>
      <c r="K483" s="7"/>
      <c r="L483" s="7"/>
      <c r="M483" s="7"/>
      <c r="N483" s="7"/>
      <c r="O483" s="7"/>
    </row>
    <row r="484">
      <c r="I484" s="7"/>
      <c r="J484" s="7"/>
      <c r="K484" s="7"/>
      <c r="L484" s="7"/>
      <c r="M484" s="7"/>
      <c r="N484" s="7"/>
      <c r="O484" s="7"/>
    </row>
    <row r="485">
      <c r="I485" s="7"/>
      <c r="J485" s="7"/>
      <c r="K485" s="7"/>
      <c r="L485" s="7"/>
      <c r="M485" s="7"/>
      <c r="N485" s="7"/>
      <c r="O485" s="7"/>
    </row>
    <row r="486">
      <c r="I486" s="7"/>
      <c r="J486" s="7"/>
      <c r="K486" s="7"/>
      <c r="L486" s="7"/>
      <c r="M486" s="7"/>
      <c r="N486" s="7"/>
      <c r="O486" s="7"/>
    </row>
    <row r="487">
      <c r="I487" s="7"/>
      <c r="J487" s="7"/>
      <c r="K487" s="7"/>
      <c r="L487" s="7"/>
      <c r="M487" s="7"/>
      <c r="N487" s="7"/>
      <c r="O487" s="7"/>
    </row>
    <row r="488">
      <c r="I488" s="7"/>
      <c r="J488" s="7"/>
      <c r="K488" s="7"/>
      <c r="L488" s="7"/>
      <c r="M488" s="7"/>
      <c r="N488" s="7"/>
      <c r="O488" s="7"/>
    </row>
    <row r="489">
      <c r="I489" s="7"/>
      <c r="J489" s="7"/>
      <c r="K489" s="7"/>
      <c r="L489" s="7"/>
      <c r="M489" s="7"/>
      <c r="N489" s="7"/>
      <c r="O489" s="7"/>
    </row>
    <row r="490">
      <c r="I490" s="7"/>
      <c r="J490" s="7"/>
      <c r="K490" s="7"/>
      <c r="L490" s="7"/>
      <c r="M490" s="7"/>
      <c r="N490" s="7"/>
      <c r="O490" s="7"/>
    </row>
    <row r="491">
      <c r="I491" s="7"/>
      <c r="J491" s="7"/>
      <c r="K491" s="7"/>
      <c r="L491" s="7"/>
      <c r="M491" s="7"/>
      <c r="N491" s="7"/>
      <c r="O491" s="7"/>
    </row>
    <row r="492">
      <c r="I492" s="7"/>
      <c r="J492" s="7"/>
      <c r="K492" s="7"/>
      <c r="L492" s="7"/>
      <c r="M492" s="7"/>
      <c r="N492" s="7"/>
      <c r="O492" s="7"/>
    </row>
    <row r="493">
      <c r="I493" s="7"/>
      <c r="J493" s="7"/>
      <c r="K493" s="7"/>
      <c r="L493" s="7"/>
      <c r="M493" s="7"/>
      <c r="N493" s="7"/>
      <c r="O493" s="7"/>
    </row>
    <row r="494">
      <c r="I494" s="7"/>
      <c r="J494" s="7"/>
      <c r="K494" s="7"/>
      <c r="L494" s="7"/>
      <c r="M494" s="7"/>
      <c r="N494" s="7"/>
      <c r="O494" s="7"/>
    </row>
    <row r="495">
      <c r="I495" s="7"/>
      <c r="J495" s="7"/>
      <c r="K495" s="7"/>
      <c r="L495" s="7"/>
      <c r="M495" s="7"/>
      <c r="N495" s="7"/>
      <c r="O495" s="7"/>
    </row>
    <row r="496">
      <c r="I496" s="7"/>
      <c r="J496" s="7"/>
      <c r="K496" s="7"/>
      <c r="L496" s="7"/>
      <c r="M496" s="7"/>
      <c r="N496" s="7"/>
      <c r="O496" s="7"/>
    </row>
    <row r="497">
      <c r="I497" s="7"/>
      <c r="J497" s="7"/>
      <c r="K497" s="7"/>
      <c r="L497" s="7"/>
      <c r="M497" s="7"/>
      <c r="N497" s="7"/>
      <c r="O497" s="7"/>
    </row>
    <row r="498">
      <c r="I498" s="7"/>
      <c r="J498" s="7"/>
      <c r="K498" s="7"/>
      <c r="L498" s="7"/>
      <c r="M498" s="7"/>
      <c r="N498" s="7"/>
      <c r="O498" s="7"/>
    </row>
    <row r="499">
      <c r="I499" s="7"/>
      <c r="J499" s="7"/>
      <c r="K499" s="7"/>
      <c r="L499" s="7"/>
      <c r="M499" s="7"/>
      <c r="N499" s="7"/>
      <c r="O499" s="7"/>
    </row>
    <row r="500">
      <c r="I500" s="7"/>
      <c r="J500" s="7"/>
      <c r="K500" s="7"/>
      <c r="L500" s="7"/>
      <c r="M500" s="7"/>
      <c r="N500" s="7"/>
      <c r="O500" s="7"/>
    </row>
    <row r="501">
      <c r="I501" s="7"/>
      <c r="J501" s="7"/>
      <c r="K501" s="7"/>
      <c r="L501" s="7"/>
      <c r="M501" s="7"/>
      <c r="N501" s="7"/>
      <c r="O501" s="7"/>
    </row>
    <row r="502">
      <c r="I502" s="7"/>
      <c r="J502" s="7"/>
      <c r="K502" s="7"/>
      <c r="L502" s="7"/>
      <c r="M502" s="7"/>
      <c r="N502" s="7"/>
      <c r="O502" s="7"/>
    </row>
    <row r="503">
      <c r="I503" s="7"/>
      <c r="J503" s="7"/>
      <c r="K503" s="7"/>
      <c r="L503" s="7"/>
      <c r="M503" s="7"/>
      <c r="N503" s="7"/>
      <c r="O503" s="7"/>
    </row>
    <row r="504">
      <c r="I504" s="7"/>
      <c r="J504" s="7"/>
      <c r="K504" s="7"/>
      <c r="L504" s="7"/>
      <c r="M504" s="7"/>
      <c r="N504" s="7"/>
      <c r="O504" s="7"/>
    </row>
    <row r="505">
      <c r="I505" s="7"/>
      <c r="J505" s="7"/>
      <c r="K505" s="7"/>
      <c r="L505" s="7"/>
      <c r="M505" s="7"/>
      <c r="N505" s="7"/>
      <c r="O505" s="7"/>
    </row>
    <row r="506">
      <c r="I506" s="7"/>
      <c r="J506" s="7"/>
      <c r="K506" s="7"/>
      <c r="L506" s="7"/>
      <c r="M506" s="7"/>
      <c r="N506" s="7"/>
      <c r="O506" s="7"/>
    </row>
    <row r="507">
      <c r="I507" s="7"/>
      <c r="J507" s="7"/>
      <c r="K507" s="7"/>
      <c r="L507" s="7"/>
      <c r="M507" s="7"/>
      <c r="N507" s="7"/>
      <c r="O507" s="7"/>
    </row>
    <row r="508">
      <c r="I508" s="7"/>
      <c r="J508" s="7"/>
      <c r="K508" s="7"/>
      <c r="L508" s="7"/>
      <c r="M508" s="7"/>
      <c r="N508" s="7"/>
      <c r="O508" s="7"/>
    </row>
    <row r="509">
      <c r="I509" s="7"/>
      <c r="J509" s="7"/>
      <c r="K509" s="7"/>
      <c r="L509" s="7"/>
      <c r="M509" s="7"/>
      <c r="N509" s="7"/>
      <c r="O509" s="7"/>
    </row>
    <row r="510">
      <c r="I510" s="7"/>
      <c r="J510" s="7"/>
      <c r="K510" s="7"/>
      <c r="L510" s="7"/>
      <c r="M510" s="7"/>
      <c r="N510" s="7"/>
      <c r="O510" s="7"/>
    </row>
    <row r="511">
      <c r="I511" s="7"/>
      <c r="J511" s="7"/>
      <c r="K511" s="7"/>
      <c r="L511" s="7"/>
      <c r="M511" s="7"/>
      <c r="N511" s="7"/>
      <c r="O511" s="7"/>
    </row>
    <row r="512">
      <c r="I512" s="7"/>
      <c r="J512" s="7"/>
      <c r="K512" s="7"/>
      <c r="L512" s="7"/>
      <c r="M512" s="7"/>
      <c r="N512" s="7"/>
      <c r="O512" s="7"/>
    </row>
    <row r="513">
      <c r="I513" s="7"/>
      <c r="J513" s="7"/>
      <c r="K513" s="7"/>
      <c r="L513" s="7"/>
      <c r="M513" s="7"/>
      <c r="N513" s="7"/>
      <c r="O513" s="7"/>
    </row>
    <row r="514">
      <c r="I514" s="7"/>
      <c r="J514" s="7"/>
      <c r="K514" s="7"/>
      <c r="L514" s="7"/>
      <c r="M514" s="7"/>
      <c r="N514" s="7"/>
      <c r="O514" s="7"/>
    </row>
    <row r="515">
      <c r="I515" s="7"/>
      <c r="J515" s="7"/>
      <c r="K515" s="7"/>
      <c r="L515" s="7"/>
      <c r="M515" s="7"/>
      <c r="N515" s="7"/>
      <c r="O515" s="7"/>
    </row>
    <row r="516">
      <c r="I516" s="7"/>
      <c r="J516" s="7"/>
      <c r="K516" s="7"/>
      <c r="L516" s="7"/>
      <c r="M516" s="7"/>
      <c r="N516" s="7"/>
      <c r="O516" s="7"/>
    </row>
    <row r="517">
      <c r="I517" s="7"/>
      <c r="J517" s="7"/>
      <c r="K517" s="7"/>
      <c r="L517" s="7"/>
      <c r="M517" s="7"/>
      <c r="N517" s="7"/>
      <c r="O517" s="7"/>
    </row>
    <row r="518">
      <c r="I518" s="7"/>
      <c r="J518" s="7"/>
      <c r="K518" s="7"/>
      <c r="L518" s="7"/>
      <c r="M518" s="7"/>
      <c r="N518" s="7"/>
      <c r="O518" s="7"/>
    </row>
    <row r="519">
      <c r="I519" s="7"/>
      <c r="J519" s="7"/>
      <c r="K519" s="7"/>
      <c r="L519" s="7"/>
      <c r="M519" s="7"/>
      <c r="N519" s="7"/>
      <c r="O519" s="7"/>
    </row>
    <row r="520">
      <c r="I520" s="7"/>
      <c r="J520" s="7"/>
      <c r="K520" s="7"/>
      <c r="L520" s="7"/>
      <c r="M520" s="7"/>
      <c r="N520" s="7"/>
      <c r="O520" s="7"/>
    </row>
    <row r="521">
      <c r="I521" s="7"/>
      <c r="J521" s="7"/>
      <c r="K521" s="7"/>
      <c r="L521" s="7"/>
      <c r="M521" s="7"/>
      <c r="N521" s="7"/>
      <c r="O521" s="7"/>
    </row>
    <row r="522">
      <c r="I522" s="7"/>
      <c r="J522" s="7"/>
      <c r="K522" s="7"/>
      <c r="L522" s="7"/>
      <c r="M522" s="7"/>
      <c r="N522" s="7"/>
      <c r="O522" s="7"/>
    </row>
    <row r="523">
      <c r="I523" s="7"/>
      <c r="J523" s="7"/>
      <c r="K523" s="7"/>
      <c r="L523" s="7"/>
      <c r="M523" s="7"/>
      <c r="N523" s="7"/>
      <c r="O523" s="7"/>
    </row>
    <row r="524">
      <c r="I524" s="7"/>
      <c r="J524" s="7"/>
      <c r="K524" s="7"/>
      <c r="L524" s="7"/>
      <c r="M524" s="7"/>
      <c r="N524" s="7"/>
      <c r="O524" s="7"/>
    </row>
    <row r="525">
      <c r="I525" s="7"/>
      <c r="J525" s="7"/>
      <c r="K525" s="7"/>
      <c r="L525" s="7"/>
      <c r="M525" s="7"/>
      <c r="N525" s="7"/>
      <c r="O525" s="7"/>
    </row>
    <row r="526">
      <c r="I526" s="7"/>
      <c r="J526" s="7"/>
      <c r="K526" s="7"/>
      <c r="L526" s="7"/>
      <c r="M526" s="7"/>
      <c r="N526" s="7"/>
      <c r="O526" s="7"/>
    </row>
    <row r="527">
      <c r="I527" s="7"/>
      <c r="J527" s="7"/>
      <c r="K527" s="7"/>
      <c r="L527" s="7"/>
      <c r="M527" s="7"/>
      <c r="N527" s="7"/>
      <c r="O527" s="7"/>
    </row>
    <row r="528">
      <c r="I528" s="7"/>
      <c r="J528" s="7"/>
      <c r="K528" s="7"/>
      <c r="L528" s="7"/>
      <c r="M528" s="7"/>
      <c r="N528" s="7"/>
      <c r="O528" s="7"/>
    </row>
    <row r="529">
      <c r="I529" s="7"/>
      <c r="J529" s="7"/>
      <c r="K529" s="7"/>
      <c r="L529" s="7"/>
      <c r="M529" s="7"/>
      <c r="N529" s="7"/>
      <c r="O529" s="7"/>
    </row>
    <row r="530">
      <c r="I530" s="7"/>
      <c r="J530" s="7"/>
      <c r="K530" s="7"/>
      <c r="L530" s="7"/>
      <c r="M530" s="7"/>
      <c r="N530" s="7"/>
      <c r="O530" s="7"/>
    </row>
    <row r="531">
      <c r="I531" s="7"/>
      <c r="J531" s="7"/>
      <c r="K531" s="7"/>
      <c r="L531" s="7"/>
      <c r="M531" s="7"/>
      <c r="N531" s="7"/>
      <c r="O531" s="7"/>
    </row>
    <row r="532">
      <c r="I532" s="7"/>
      <c r="J532" s="7"/>
      <c r="K532" s="7"/>
      <c r="L532" s="7"/>
      <c r="M532" s="7"/>
      <c r="N532" s="7"/>
      <c r="O532" s="7"/>
    </row>
    <row r="533">
      <c r="I533" s="7"/>
      <c r="J533" s="7"/>
      <c r="K533" s="7"/>
      <c r="L533" s="7"/>
      <c r="M533" s="7"/>
      <c r="N533" s="7"/>
      <c r="O533" s="7"/>
    </row>
    <row r="534">
      <c r="I534" s="7"/>
      <c r="J534" s="7"/>
      <c r="K534" s="7"/>
      <c r="L534" s="7"/>
      <c r="M534" s="7"/>
      <c r="N534" s="7"/>
      <c r="O534" s="7"/>
    </row>
    <row r="535">
      <c r="I535" s="7"/>
      <c r="J535" s="7"/>
      <c r="K535" s="7"/>
      <c r="L535" s="7"/>
      <c r="M535" s="7"/>
      <c r="N535" s="7"/>
      <c r="O535" s="7"/>
    </row>
    <row r="536">
      <c r="I536" s="7"/>
      <c r="J536" s="7"/>
      <c r="K536" s="7"/>
      <c r="L536" s="7"/>
      <c r="M536" s="7"/>
      <c r="N536" s="7"/>
      <c r="O536" s="7"/>
    </row>
    <row r="537">
      <c r="I537" s="7"/>
      <c r="J537" s="7"/>
      <c r="K537" s="7"/>
      <c r="L537" s="7"/>
      <c r="M537" s="7"/>
      <c r="N537" s="7"/>
      <c r="O537" s="7"/>
    </row>
    <row r="538">
      <c r="I538" s="7"/>
      <c r="J538" s="7"/>
      <c r="K538" s="7"/>
      <c r="L538" s="7"/>
      <c r="M538" s="7"/>
      <c r="N538" s="7"/>
      <c r="O538" s="7"/>
    </row>
    <row r="539">
      <c r="I539" s="7"/>
      <c r="J539" s="7"/>
      <c r="K539" s="7"/>
      <c r="L539" s="7"/>
      <c r="M539" s="7"/>
      <c r="N539" s="7"/>
      <c r="O539" s="7"/>
    </row>
    <row r="540">
      <c r="I540" s="7"/>
      <c r="J540" s="7"/>
      <c r="K540" s="7"/>
      <c r="L540" s="7"/>
      <c r="M540" s="7"/>
      <c r="N540" s="7"/>
      <c r="O540" s="7"/>
    </row>
    <row r="541">
      <c r="I541" s="7"/>
      <c r="J541" s="7"/>
      <c r="K541" s="7"/>
      <c r="L541" s="7"/>
      <c r="M541" s="7"/>
      <c r="N541" s="7"/>
      <c r="O541" s="7"/>
    </row>
    <row r="542">
      <c r="I542" s="7"/>
      <c r="J542" s="7"/>
      <c r="K542" s="7"/>
      <c r="L542" s="7"/>
      <c r="M542" s="7"/>
      <c r="N542" s="7"/>
      <c r="O542" s="7"/>
    </row>
    <row r="543">
      <c r="I543" s="7"/>
      <c r="J543" s="7"/>
      <c r="K543" s="7"/>
      <c r="L543" s="7"/>
      <c r="M543" s="7"/>
      <c r="N543" s="7"/>
      <c r="O543" s="7"/>
    </row>
    <row r="544">
      <c r="I544" s="7"/>
      <c r="J544" s="7"/>
      <c r="K544" s="7"/>
      <c r="L544" s="7"/>
      <c r="M544" s="7"/>
      <c r="N544" s="7"/>
      <c r="O544" s="7"/>
    </row>
    <row r="545">
      <c r="I545" s="7"/>
      <c r="J545" s="7"/>
      <c r="K545" s="7"/>
      <c r="L545" s="7"/>
      <c r="M545" s="7"/>
      <c r="N545" s="7"/>
      <c r="O545" s="7"/>
    </row>
    <row r="546">
      <c r="I546" s="7"/>
      <c r="J546" s="7"/>
      <c r="K546" s="7"/>
      <c r="L546" s="7"/>
      <c r="M546" s="7"/>
      <c r="N546" s="7"/>
      <c r="O546" s="7"/>
    </row>
    <row r="547">
      <c r="I547" s="7"/>
      <c r="J547" s="7"/>
      <c r="K547" s="7"/>
      <c r="L547" s="7"/>
      <c r="M547" s="7"/>
      <c r="N547" s="7"/>
      <c r="O547" s="7"/>
    </row>
    <row r="548">
      <c r="I548" s="7"/>
      <c r="J548" s="7"/>
      <c r="K548" s="7"/>
      <c r="L548" s="7"/>
      <c r="M548" s="7"/>
      <c r="N548" s="7"/>
      <c r="O548" s="7"/>
    </row>
    <row r="549">
      <c r="I549" s="7"/>
      <c r="J549" s="7"/>
      <c r="K549" s="7"/>
      <c r="L549" s="7"/>
      <c r="M549" s="7"/>
      <c r="N549" s="7"/>
      <c r="O549" s="7"/>
    </row>
    <row r="550">
      <c r="I550" s="7"/>
      <c r="J550" s="7"/>
      <c r="K550" s="7"/>
      <c r="L550" s="7"/>
      <c r="M550" s="7"/>
      <c r="N550" s="7"/>
      <c r="O550" s="7"/>
    </row>
    <row r="551">
      <c r="I551" s="7"/>
      <c r="J551" s="7"/>
      <c r="K551" s="7"/>
      <c r="L551" s="7"/>
      <c r="M551" s="7"/>
      <c r="N551" s="7"/>
      <c r="O551" s="7"/>
    </row>
    <row r="552">
      <c r="I552" s="7"/>
      <c r="J552" s="7"/>
      <c r="K552" s="7"/>
      <c r="L552" s="7"/>
      <c r="M552" s="7"/>
      <c r="N552" s="7"/>
      <c r="O552" s="7"/>
    </row>
    <row r="553">
      <c r="I553" s="7"/>
      <c r="J553" s="7"/>
      <c r="K553" s="7"/>
      <c r="L553" s="7"/>
      <c r="M553" s="7"/>
      <c r="N553" s="7"/>
      <c r="O553" s="7"/>
    </row>
    <row r="554">
      <c r="I554" s="7"/>
      <c r="J554" s="7"/>
      <c r="K554" s="7"/>
      <c r="L554" s="7"/>
      <c r="M554" s="7"/>
      <c r="N554" s="7"/>
      <c r="O554" s="7"/>
    </row>
    <row r="555">
      <c r="I555" s="7"/>
      <c r="J555" s="7"/>
      <c r="K555" s="7"/>
      <c r="L555" s="7"/>
      <c r="M555" s="7"/>
      <c r="N555" s="7"/>
      <c r="O555" s="7"/>
    </row>
    <row r="556">
      <c r="I556" s="7"/>
      <c r="J556" s="7"/>
      <c r="K556" s="7"/>
      <c r="L556" s="7"/>
      <c r="M556" s="7"/>
      <c r="N556" s="7"/>
      <c r="O556" s="7"/>
    </row>
    <row r="557">
      <c r="I557" s="7"/>
      <c r="J557" s="7"/>
      <c r="K557" s="7"/>
      <c r="L557" s="7"/>
      <c r="M557" s="7"/>
      <c r="N557" s="7"/>
      <c r="O557" s="7"/>
    </row>
    <row r="558">
      <c r="I558" s="7"/>
      <c r="J558" s="7"/>
      <c r="K558" s="7"/>
      <c r="L558" s="7"/>
      <c r="M558" s="7"/>
      <c r="N558" s="7"/>
      <c r="O558" s="7"/>
    </row>
    <row r="559">
      <c r="I559" s="7"/>
      <c r="J559" s="7"/>
      <c r="K559" s="7"/>
      <c r="L559" s="7"/>
      <c r="M559" s="7"/>
      <c r="N559" s="7"/>
      <c r="O559" s="7"/>
    </row>
    <row r="560">
      <c r="I560" s="7"/>
      <c r="J560" s="7"/>
      <c r="K560" s="7"/>
      <c r="L560" s="7"/>
      <c r="M560" s="7"/>
      <c r="N560" s="7"/>
      <c r="O560" s="7"/>
    </row>
    <row r="561">
      <c r="I561" s="7"/>
      <c r="J561" s="7"/>
      <c r="K561" s="7"/>
      <c r="L561" s="7"/>
      <c r="M561" s="7"/>
      <c r="N561" s="7"/>
      <c r="O561" s="7"/>
    </row>
    <row r="562">
      <c r="I562" s="7"/>
      <c r="J562" s="7"/>
      <c r="K562" s="7"/>
      <c r="L562" s="7"/>
      <c r="M562" s="7"/>
      <c r="N562" s="7"/>
      <c r="O562" s="7"/>
    </row>
    <row r="563">
      <c r="I563" s="7"/>
      <c r="J563" s="7"/>
      <c r="K563" s="7"/>
      <c r="L563" s="7"/>
      <c r="M563" s="7"/>
      <c r="N563" s="7"/>
      <c r="O563" s="7"/>
    </row>
    <row r="564">
      <c r="I564" s="7"/>
      <c r="J564" s="7"/>
      <c r="K564" s="7"/>
      <c r="L564" s="7"/>
      <c r="M564" s="7"/>
      <c r="N564" s="7"/>
      <c r="O564" s="7"/>
    </row>
    <row r="565">
      <c r="I565" s="7"/>
      <c r="J565" s="7"/>
      <c r="K565" s="7"/>
      <c r="L565" s="7"/>
      <c r="M565" s="7"/>
      <c r="N565" s="7"/>
      <c r="O565" s="7"/>
    </row>
    <row r="566">
      <c r="I566" s="7"/>
      <c r="J566" s="7"/>
      <c r="K566" s="7"/>
      <c r="L566" s="7"/>
      <c r="M566" s="7"/>
      <c r="N566" s="7"/>
      <c r="O566" s="7"/>
    </row>
    <row r="567">
      <c r="I567" s="7"/>
      <c r="J567" s="7"/>
      <c r="K567" s="7"/>
      <c r="L567" s="7"/>
      <c r="M567" s="7"/>
      <c r="N567" s="7"/>
      <c r="O567" s="7"/>
    </row>
    <row r="568">
      <c r="I568" s="7"/>
      <c r="J568" s="7"/>
      <c r="K568" s="7"/>
      <c r="L568" s="7"/>
      <c r="M568" s="7"/>
      <c r="N568" s="7"/>
      <c r="O568" s="7"/>
    </row>
    <row r="569">
      <c r="I569" s="7"/>
      <c r="J569" s="7"/>
      <c r="K569" s="7"/>
      <c r="L569" s="7"/>
      <c r="M569" s="7"/>
      <c r="N569" s="7"/>
      <c r="O569" s="7"/>
    </row>
    <row r="570">
      <c r="I570" s="7"/>
      <c r="J570" s="7"/>
      <c r="K570" s="7"/>
      <c r="L570" s="7"/>
      <c r="M570" s="7"/>
      <c r="N570" s="7"/>
      <c r="O570" s="7"/>
    </row>
    <row r="571">
      <c r="I571" s="7"/>
      <c r="J571" s="7"/>
      <c r="K571" s="7"/>
      <c r="L571" s="7"/>
      <c r="M571" s="7"/>
      <c r="N571" s="7"/>
      <c r="O571" s="7"/>
    </row>
    <row r="572">
      <c r="I572" s="7"/>
      <c r="J572" s="7"/>
      <c r="K572" s="7"/>
      <c r="L572" s="7"/>
      <c r="M572" s="7"/>
      <c r="N572" s="7"/>
      <c r="O572" s="7"/>
    </row>
    <row r="573">
      <c r="I573" s="7"/>
      <c r="J573" s="7"/>
      <c r="K573" s="7"/>
      <c r="L573" s="7"/>
      <c r="M573" s="7"/>
      <c r="N573" s="7"/>
      <c r="O573" s="7"/>
    </row>
    <row r="574">
      <c r="I574" s="7"/>
      <c r="J574" s="7"/>
      <c r="K574" s="7"/>
      <c r="L574" s="7"/>
      <c r="M574" s="7"/>
      <c r="N574" s="7"/>
      <c r="O574" s="7"/>
    </row>
    <row r="575">
      <c r="I575" s="7"/>
      <c r="J575" s="7"/>
      <c r="K575" s="7"/>
      <c r="L575" s="7"/>
      <c r="M575" s="7"/>
      <c r="N575" s="7"/>
      <c r="O575" s="7"/>
    </row>
    <row r="576">
      <c r="I576" s="7"/>
      <c r="J576" s="7"/>
      <c r="K576" s="7"/>
      <c r="L576" s="7"/>
      <c r="M576" s="7"/>
      <c r="N576" s="7"/>
      <c r="O576" s="7"/>
    </row>
    <row r="577">
      <c r="I577" s="7"/>
      <c r="J577" s="7"/>
      <c r="K577" s="7"/>
      <c r="L577" s="7"/>
      <c r="M577" s="7"/>
      <c r="N577" s="7"/>
      <c r="O577" s="7"/>
    </row>
    <row r="578">
      <c r="I578" s="7"/>
      <c r="J578" s="7"/>
      <c r="K578" s="7"/>
      <c r="L578" s="7"/>
      <c r="M578" s="7"/>
      <c r="N578" s="7"/>
      <c r="O578" s="7"/>
    </row>
    <row r="579">
      <c r="I579" s="7"/>
      <c r="J579" s="7"/>
      <c r="K579" s="7"/>
      <c r="L579" s="7"/>
      <c r="M579" s="7"/>
      <c r="N579" s="7"/>
      <c r="O579" s="7"/>
    </row>
    <row r="580">
      <c r="I580" s="7"/>
      <c r="J580" s="7"/>
      <c r="K580" s="7"/>
      <c r="L580" s="7"/>
      <c r="M580" s="7"/>
      <c r="N580" s="7"/>
      <c r="O580" s="7"/>
    </row>
    <row r="581">
      <c r="I581" s="7"/>
      <c r="J581" s="7"/>
      <c r="K581" s="7"/>
      <c r="L581" s="7"/>
      <c r="M581" s="7"/>
      <c r="N581" s="7"/>
      <c r="O581" s="7"/>
    </row>
    <row r="582">
      <c r="I582" s="7"/>
      <c r="J582" s="7"/>
      <c r="K582" s="7"/>
      <c r="L582" s="7"/>
      <c r="M582" s="7"/>
      <c r="N582" s="7"/>
      <c r="O582" s="7"/>
    </row>
    <row r="583">
      <c r="I583" s="7"/>
      <c r="J583" s="7"/>
      <c r="K583" s="7"/>
      <c r="L583" s="7"/>
      <c r="M583" s="7"/>
      <c r="N583" s="7"/>
      <c r="O583" s="7"/>
    </row>
    <row r="584">
      <c r="I584" s="7"/>
      <c r="J584" s="7"/>
      <c r="K584" s="7"/>
      <c r="L584" s="7"/>
      <c r="M584" s="7"/>
      <c r="N584" s="7"/>
      <c r="O584" s="7"/>
    </row>
    <row r="585">
      <c r="I585" s="7"/>
      <c r="J585" s="7"/>
      <c r="K585" s="7"/>
      <c r="L585" s="7"/>
      <c r="M585" s="7"/>
      <c r="N585" s="7"/>
      <c r="O585" s="7"/>
    </row>
    <row r="586">
      <c r="I586" s="7"/>
      <c r="J586" s="7"/>
      <c r="K586" s="7"/>
      <c r="L586" s="7"/>
      <c r="M586" s="7"/>
      <c r="N586" s="7"/>
      <c r="O586" s="7"/>
    </row>
    <row r="587">
      <c r="I587" s="7"/>
      <c r="J587" s="7"/>
      <c r="K587" s="7"/>
      <c r="L587" s="7"/>
      <c r="M587" s="7"/>
      <c r="N587" s="7"/>
      <c r="O587" s="7"/>
    </row>
    <row r="588">
      <c r="I588" s="7"/>
      <c r="J588" s="7"/>
      <c r="K588" s="7"/>
      <c r="L588" s="7"/>
      <c r="M588" s="7"/>
      <c r="N588" s="7"/>
      <c r="O588" s="7"/>
    </row>
    <row r="589">
      <c r="I589" s="7"/>
      <c r="J589" s="7"/>
      <c r="K589" s="7"/>
      <c r="L589" s="7"/>
      <c r="M589" s="7"/>
      <c r="N589" s="7"/>
      <c r="O589" s="7"/>
    </row>
    <row r="590">
      <c r="I590" s="7"/>
      <c r="J590" s="7"/>
      <c r="K590" s="7"/>
      <c r="L590" s="7"/>
      <c r="M590" s="7"/>
      <c r="N590" s="7"/>
      <c r="O590" s="7"/>
    </row>
    <row r="591">
      <c r="I591" s="7"/>
      <c r="J591" s="7"/>
      <c r="K591" s="7"/>
      <c r="L591" s="7"/>
      <c r="M591" s="7"/>
      <c r="N591" s="7"/>
      <c r="O591" s="7"/>
    </row>
    <row r="592">
      <c r="I592" s="7"/>
      <c r="J592" s="7"/>
      <c r="K592" s="7"/>
      <c r="L592" s="7"/>
      <c r="M592" s="7"/>
      <c r="N592" s="7"/>
      <c r="O592" s="7"/>
    </row>
    <row r="593">
      <c r="I593" s="7"/>
      <c r="J593" s="7"/>
      <c r="K593" s="7"/>
      <c r="L593" s="7"/>
      <c r="M593" s="7"/>
      <c r="N593" s="7"/>
      <c r="O593" s="7"/>
    </row>
    <row r="594">
      <c r="I594" s="7"/>
      <c r="J594" s="7"/>
      <c r="K594" s="7"/>
      <c r="L594" s="7"/>
      <c r="M594" s="7"/>
      <c r="N594" s="7"/>
      <c r="O594" s="7"/>
    </row>
    <row r="595">
      <c r="I595" s="7"/>
      <c r="J595" s="7"/>
      <c r="K595" s="7"/>
      <c r="L595" s="7"/>
      <c r="M595" s="7"/>
      <c r="N595" s="7"/>
      <c r="O595" s="7"/>
    </row>
    <row r="596">
      <c r="I596" s="7"/>
      <c r="J596" s="7"/>
      <c r="K596" s="7"/>
      <c r="L596" s="7"/>
      <c r="M596" s="7"/>
      <c r="N596" s="7"/>
      <c r="O596" s="7"/>
    </row>
    <row r="597">
      <c r="I597" s="7"/>
      <c r="J597" s="7"/>
      <c r="K597" s="7"/>
      <c r="L597" s="7"/>
      <c r="M597" s="7"/>
      <c r="N597" s="7"/>
      <c r="O597" s="7"/>
    </row>
    <row r="598">
      <c r="I598" s="7"/>
      <c r="J598" s="7"/>
      <c r="K598" s="7"/>
      <c r="L598" s="7"/>
      <c r="M598" s="7"/>
      <c r="N598" s="7"/>
      <c r="O598" s="7"/>
    </row>
    <row r="599">
      <c r="I599" s="7"/>
      <c r="J599" s="7"/>
      <c r="K599" s="7"/>
      <c r="L599" s="7"/>
      <c r="M599" s="7"/>
      <c r="N599" s="7"/>
      <c r="O599" s="7"/>
    </row>
    <row r="600">
      <c r="I600" s="7"/>
      <c r="J600" s="7"/>
      <c r="K600" s="7"/>
      <c r="L600" s="7"/>
      <c r="M600" s="7"/>
      <c r="N600" s="7"/>
      <c r="O600" s="7"/>
    </row>
    <row r="601">
      <c r="I601" s="7"/>
      <c r="J601" s="7"/>
      <c r="K601" s="7"/>
      <c r="L601" s="7"/>
      <c r="M601" s="7"/>
      <c r="N601" s="7"/>
      <c r="O601" s="7"/>
    </row>
    <row r="602">
      <c r="I602" s="7"/>
      <c r="J602" s="7"/>
      <c r="K602" s="7"/>
      <c r="L602" s="7"/>
      <c r="M602" s="7"/>
      <c r="N602" s="7"/>
      <c r="O602" s="7"/>
    </row>
    <row r="603">
      <c r="I603" s="7"/>
      <c r="J603" s="7"/>
      <c r="K603" s="7"/>
      <c r="L603" s="7"/>
      <c r="M603" s="7"/>
      <c r="N603" s="7"/>
      <c r="O603" s="7"/>
    </row>
    <row r="604">
      <c r="I604" s="7"/>
      <c r="J604" s="7"/>
      <c r="K604" s="7"/>
      <c r="L604" s="7"/>
      <c r="M604" s="7"/>
      <c r="N604" s="7"/>
      <c r="O604" s="7"/>
    </row>
    <row r="605">
      <c r="I605" s="7"/>
      <c r="J605" s="7"/>
      <c r="K605" s="7"/>
      <c r="L605" s="7"/>
      <c r="M605" s="7"/>
      <c r="N605" s="7"/>
      <c r="O605" s="7"/>
    </row>
    <row r="606">
      <c r="I606" s="7"/>
      <c r="J606" s="7"/>
      <c r="K606" s="7"/>
      <c r="L606" s="7"/>
      <c r="M606" s="7"/>
      <c r="N606" s="7"/>
      <c r="O606" s="7"/>
    </row>
    <row r="607">
      <c r="I607" s="7"/>
      <c r="J607" s="7"/>
      <c r="K607" s="7"/>
      <c r="L607" s="7"/>
      <c r="M607" s="7"/>
      <c r="N607" s="7"/>
      <c r="O607" s="7"/>
    </row>
    <row r="608">
      <c r="I608" s="7"/>
      <c r="J608" s="7"/>
      <c r="K608" s="7"/>
      <c r="L608" s="7"/>
      <c r="M608" s="7"/>
      <c r="N608" s="7"/>
      <c r="O608" s="7"/>
    </row>
    <row r="609">
      <c r="I609" s="7"/>
      <c r="J609" s="7"/>
      <c r="K609" s="7"/>
      <c r="L609" s="7"/>
      <c r="M609" s="7"/>
      <c r="N609" s="7"/>
      <c r="O609" s="7"/>
    </row>
    <row r="610">
      <c r="I610" s="7"/>
      <c r="J610" s="7"/>
      <c r="K610" s="7"/>
      <c r="L610" s="7"/>
      <c r="M610" s="7"/>
      <c r="N610" s="7"/>
      <c r="O610" s="7"/>
    </row>
    <row r="611">
      <c r="I611" s="7"/>
      <c r="J611" s="7"/>
      <c r="K611" s="7"/>
      <c r="L611" s="7"/>
      <c r="M611" s="7"/>
      <c r="N611" s="7"/>
      <c r="O611" s="7"/>
    </row>
    <row r="612">
      <c r="I612" s="7"/>
      <c r="J612" s="7"/>
      <c r="K612" s="7"/>
      <c r="L612" s="7"/>
      <c r="M612" s="7"/>
      <c r="N612" s="7"/>
      <c r="O612" s="7"/>
    </row>
    <row r="613">
      <c r="I613" s="7"/>
      <c r="J613" s="7"/>
      <c r="K613" s="7"/>
      <c r="L613" s="7"/>
      <c r="M613" s="7"/>
      <c r="N613" s="7"/>
      <c r="O613" s="7"/>
    </row>
    <row r="614">
      <c r="I614" s="7"/>
      <c r="J614" s="7"/>
      <c r="K614" s="7"/>
      <c r="L614" s="7"/>
      <c r="M614" s="7"/>
      <c r="N614" s="7"/>
      <c r="O614" s="7"/>
    </row>
    <row r="615">
      <c r="I615" s="7"/>
      <c r="J615" s="7"/>
      <c r="K615" s="7"/>
      <c r="L615" s="7"/>
      <c r="M615" s="7"/>
      <c r="N615" s="7"/>
      <c r="O615" s="7"/>
    </row>
    <row r="616">
      <c r="I616" s="7"/>
      <c r="J616" s="7"/>
      <c r="K616" s="7"/>
      <c r="L616" s="7"/>
      <c r="M616" s="7"/>
      <c r="N616" s="7"/>
      <c r="O616" s="7"/>
    </row>
    <row r="617">
      <c r="I617" s="7"/>
      <c r="J617" s="7"/>
      <c r="K617" s="7"/>
      <c r="L617" s="7"/>
      <c r="M617" s="7"/>
      <c r="N617" s="7"/>
      <c r="O617" s="7"/>
    </row>
    <row r="618">
      <c r="I618" s="7"/>
      <c r="J618" s="7"/>
      <c r="K618" s="7"/>
      <c r="L618" s="7"/>
      <c r="M618" s="7"/>
      <c r="N618" s="7"/>
      <c r="O618" s="7"/>
    </row>
    <row r="619">
      <c r="I619" s="7"/>
      <c r="J619" s="7"/>
      <c r="K619" s="7"/>
      <c r="L619" s="7"/>
      <c r="M619" s="7"/>
      <c r="N619" s="7"/>
      <c r="O619" s="7"/>
    </row>
    <row r="620">
      <c r="I620" s="7"/>
      <c r="J620" s="7"/>
      <c r="K620" s="7"/>
      <c r="L620" s="7"/>
      <c r="M620" s="7"/>
      <c r="N620" s="7"/>
      <c r="O620" s="7"/>
    </row>
    <row r="621">
      <c r="I621" s="7"/>
      <c r="J621" s="7"/>
      <c r="K621" s="7"/>
      <c r="L621" s="7"/>
      <c r="M621" s="7"/>
      <c r="N621" s="7"/>
      <c r="O621" s="7"/>
    </row>
    <row r="622">
      <c r="I622" s="7"/>
      <c r="J622" s="7"/>
      <c r="K622" s="7"/>
      <c r="L622" s="7"/>
      <c r="M622" s="7"/>
      <c r="N622" s="7"/>
      <c r="O622" s="7"/>
    </row>
    <row r="623">
      <c r="I623" s="7"/>
      <c r="J623" s="7"/>
      <c r="K623" s="7"/>
      <c r="L623" s="7"/>
      <c r="M623" s="7"/>
      <c r="N623" s="7"/>
      <c r="O623" s="7"/>
    </row>
    <row r="624">
      <c r="I624" s="7"/>
      <c r="J624" s="7"/>
      <c r="K624" s="7"/>
      <c r="L624" s="7"/>
      <c r="M624" s="7"/>
      <c r="N624" s="7"/>
      <c r="O624" s="7"/>
    </row>
    <row r="625">
      <c r="I625" s="7"/>
      <c r="J625" s="7"/>
      <c r="K625" s="7"/>
      <c r="L625" s="7"/>
      <c r="M625" s="7"/>
      <c r="N625" s="7"/>
      <c r="O625" s="7"/>
    </row>
    <row r="626">
      <c r="I626" s="7"/>
      <c r="J626" s="7"/>
      <c r="K626" s="7"/>
      <c r="L626" s="7"/>
      <c r="M626" s="7"/>
      <c r="N626" s="7"/>
      <c r="O626" s="7"/>
    </row>
    <row r="627">
      <c r="I627" s="7"/>
      <c r="J627" s="7"/>
      <c r="K627" s="7"/>
      <c r="L627" s="7"/>
      <c r="M627" s="7"/>
      <c r="N627" s="7"/>
      <c r="O627" s="7"/>
    </row>
    <row r="628">
      <c r="I628" s="7"/>
      <c r="J628" s="7"/>
      <c r="K628" s="7"/>
      <c r="L628" s="7"/>
      <c r="M628" s="7"/>
      <c r="N628" s="7"/>
      <c r="O628" s="7"/>
    </row>
    <row r="629">
      <c r="I629" s="7"/>
      <c r="J629" s="7"/>
      <c r="K629" s="7"/>
      <c r="L629" s="7"/>
      <c r="M629" s="7"/>
      <c r="N629" s="7"/>
      <c r="O629" s="7"/>
    </row>
    <row r="630">
      <c r="I630" s="7"/>
      <c r="J630" s="7"/>
      <c r="K630" s="7"/>
      <c r="L630" s="7"/>
      <c r="M630" s="7"/>
      <c r="N630" s="7"/>
      <c r="O630" s="7"/>
    </row>
    <row r="631">
      <c r="I631" s="7"/>
      <c r="J631" s="7"/>
      <c r="K631" s="7"/>
      <c r="L631" s="7"/>
      <c r="M631" s="7"/>
      <c r="N631" s="7"/>
      <c r="O631" s="7"/>
    </row>
    <row r="632">
      <c r="I632" s="7"/>
      <c r="J632" s="7"/>
      <c r="K632" s="7"/>
      <c r="L632" s="7"/>
      <c r="M632" s="7"/>
      <c r="N632" s="7"/>
      <c r="O632" s="7"/>
    </row>
    <row r="633">
      <c r="I633" s="7"/>
      <c r="J633" s="7"/>
      <c r="K633" s="7"/>
      <c r="L633" s="7"/>
      <c r="M633" s="7"/>
      <c r="N633" s="7"/>
      <c r="O633" s="7"/>
    </row>
    <row r="634">
      <c r="I634" s="7"/>
      <c r="J634" s="7"/>
      <c r="K634" s="7"/>
      <c r="L634" s="7"/>
      <c r="M634" s="7"/>
      <c r="N634" s="7"/>
      <c r="O634" s="7"/>
    </row>
    <row r="635">
      <c r="I635" s="7"/>
      <c r="J635" s="7"/>
      <c r="K635" s="7"/>
      <c r="L635" s="7"/>
      <c r="M635" s="7"/>
      <c r="N635" s="7"/>
      <c r="O635" s="7"/>
    </row>
    <row r="636">
      <c r="I636" s="7"/>
      <c r="J636" s="7"/>
      <c r="K636" s="7"/>
      <c r="L636" s="7"/>
      <c r="M636" s="7"/>
      <c r="N636" s="7"/>
      <c r="O636" s="7"/>
    </row>
    <row r="637">
      <c r="I637" s="7"/>
      <c r="J637" s="7"/>
      <c r="K637" s="7"/>
      <c r="L637" s="7"/>
      <c r="M637" s="7"/>
      <c r="N637" s="7"/>
      <c r="O637" s="7"/>
    </row>
    <row r="638">
      <c r="I638" s="7"/>
      <c r="J638" s="7"/>
      <c r="K638" s="7"/>
      <c r="L638" s="7"/>
      <c r="M638" s="7"/>
      <c r="N638" s="7"/>
      <c r="O638" s="7"/>
    </row>
    <row r="639">
      <c r="I639" s="7"/>
      <c r="J639" s="7"/>
      <c r="K639" s="7"/>
      <c r="L639" s="7"/>
      <c r="M639" s="7"/>
      <c r="N639" s="7"/>
      <c r="O639" s="7"/>
    </row>
    <row r="640">
      <c r="I640" s="7"/>
      <c r="J640" s="7"/>
      <c r="K640" s="7"/>
      <c r="L640" s="7"/>
      <c r="M640" s="7"/>
      <c r="N640" s="7"/>
      <c r="O640" s="7"/>
    </row>
    <row r="641">
      <c r="I641" s="7"/>
      <c r="J641" s="7"/>
      <c r="K641" s="7"/>
      <c r="L641" s="7"/>
      <c r="M641" s="7"/>
      <c r="N641" s="7"/>
      <c r="O641" s="7"/>
    </row>
    <row r="642">
      <c r="I642" s="7"/>
      <c r="J642" s="7"/>
      <c r="K642" s="7"/>
      <c r="L642" s="7"/>
      <c r="M642" s="7"/>
      <c r="N642" s="7"/>
      <c r="O642" s="7"/>
    </row>
    <row r="643">
      <c r="I643" s="7"/>
      <c r="J643" s="7"/>
      <c r="K643" s="7"/>
      <c r="L643" s="7"/>
      <c r="M643" s="7"/>
      <c r="N643" s="7"/>
      <c r="O643" s="7"/>
    </row>
    <row r="644">
      <c r="I644" s="7"/>
      <c r="J644" s="7"/>
      <c r="K644" s="7"/>
      <c r="L644" s="7"/>
      <c r="M644" s="7"/>
      <c r="N644" s="7"/>
      <c r="O644" s="7"/>
    </row>
    <row r="645">
      <c r="I645" s="7"/>
      <c r="J645" s="7"/>
      <c r="K645" s="7"/>
      <c r="L645" s="7"/>
      <c r="M645" s="7"/>
      <c r="N645" s="7"/>
      <c r="O645" s="7"/>
    </row>
    <row r="646">
      <c r="I646" s="7"/>
      <c r="J646" s="7"/>
      <c r="K646" s="7"/>
      <c r="L646" s="7"/>
      <c r="M646" s="7"/>
      <c r="N646" s="7"/>
      <c r="O646" s="7"/>
    </row>
    <row r="647">
      <c r="I647" s="7"/>
      <c r="J647" s="7"/>
      <c r="K647" s="7"/>
      <c r="L647" s="7"/>
      <c r="M647" s="7"/>
      <c r="N647" s="7"/>
      <c r="O647" s="7"/>
    </row>
    <row r="648">
      <c r="I648" s="7"/>
      <c r="J648" s="7"/>
      <c r="K648" s="7"/>
      <c r="L648" s="7"/>
      <c r="M648" s="7"/>
      <c r="N648" s="7"/>
      <c r="O648" s="7"/>
    </row>
    <row r="649">
      <c r="I649" s="7"/>
      <c r="J649" s="7"/>
      <c r="K649" s="7"/>
      <c r="L649" s="7"/>
      <c r="M649" s="7"/>
      <c r="N649" s="7"/>
      <c r="O649" s="7"/>
    </row>
    <row r="650">
      <c r="I650" s="7"/>
      <c r="J650" s="7"/>
      <c r="K650" s="7"/>
      <c r="L650" s="7"/>
      <c r="M650" s="7"/>
      <c r="N650" s="7"/>
      <c r="O650" s="7"/>
    </row>
    <row r="651">
      <c r="I651" s="7"/>
      <c r="J651" s="7"/>
      <c r="K651" s="7"/>
      <c r="L651" s="7"/>
      <c r="M651" s="7"/>
      <c r="N651" s="7"/>
      <c r="O651" s="7"/>
    </row>
    <row r="652">
      <c r="I652" s="7"/>
      <c r="J652" s="7"/>
      <c r="K652" s="7"/>
      <c r="L652" s="7"/>
      <c r="M652" s="7"/>
      <c r="N652" s="7"/>
      <c r="O652" s="7"/>
    </row>
    <row r="653">
      <c r="I653" s="7"/>
      <c r="J653" s="7"/>
      <c r="K653" s="7"/>
      <c r="L653" s="7"/>
      <c r="M653" s="7"/>
      <c r="N653" s="7"/>
      <c r="O653" s="7"/>
    </row>
    <row r="654">
      <c r="I654" s="7"/>
      <c r="J654" s="7"/>
      <c r="K654" s="7"/>
      <c r="L654" s="7"/>
      <c r="M654" s="7"/>
      <c r="N654" s="7"/>
      <c r="O654" s="7"/>
    </row>
    <row r="655">
      <c r="I655" s="7"/>
      <c r="J655" s="7"/>
      <c r="K655" s="7"/>
      <c r="L655" s="7"/>
      <c r="M655" s="7"/>
      <c r="N655" s="7"/>
      <c r="O655" s="7"/>
    </row>
    <row r="656">
      <c r="I656" s="7"/>
      <c r="J656" s="7"/>
      <c r="K656" s="7"/>
      <c r="L656" s="7"/>
      <c r="M656" s="7"/>
      <c r="N656" s="7"/>
      <c r="O656" s="7"/>
    </row>
    <row r="657">
      <c r="I657" s="7"/>
      <c r="J657" s="7"/>
      <c r="K657" s="7"/>
      <c r="L657" s="7"/>
      <c r="M657" s="7"/>
      <c r="N657" s="7"/>
      <c r="O657" s="7"/>
    </row>
    <row r="658">
      <c r="I658" s="7"/>
      <c r="J658" s="7"/>
      <c r="K658" s="7"/>
      <c r="L658" s="7"/>
      <c r="M658" s="7"/>
      <c r="N658" s="7"/>
      <c r="O658" s="7"/>
    </row>
    <row r="659">
      <c r="I659" s="7"/>
      <c r="J659" s="7"/>
      <c r="K659" s="7"/>
      <c r="L659" s="7"/>
      <c r="M659" s="7"/>
      <c r="N659" s="7"/>
      <c r="O659" s="7"/>
    </row>
    <row r="660">
      <c r="I660" s="7"/>
      <c r="J660" s="7"/>
      <c r="K660" s="7"/>
      <c r="L660" s="7"/>
      <c r="M660" s="7"/>
      <c r="N660" s="7"/>
      <c r="O660" s="7"/>
    </row>
    <row r="661">
      <c r="I661" s="7"/>
      <c r="J661" s="7"/>
      <c r="K661" s="7"/>
      <c r="L661" s="7"/>
      <c r="M661" s="7"/>
      <c r="N661" s="7"/>
      <c r="O661" s="7"/>
    </row>
    <row r="662">
      <c r="I662" s="7"/>
      <c r="J662" s="7"/>
      <c r="K662" s="7"/>
      <c r="L662" s="7"/>
      <c r="M662" s="7"/>
      <c r="N662" s="7"/>
      <c r="O662" s="7"/>
    </row>
    <row r="663">
      <c r="I663" s="7"/>
      <c r="J663" s="7"/>
      <c r="K663" s="7"/>
      <c r="L663" s="7"/>
      <c r="M663" s="7"/>
      <c r="N663" s="7"/>
      <c r="O663" s="7"/>
    </row>
    <row r="664">
      <c r="I664" s="7"/>
      <c r="J664" s="7"/>
      <c r="K664" s="7"/>
      <c r="L664" s="7"/>
      <c r="M664" s="7"/>
      <c r="N664" s="7"/>
      <c r="O664" s="7"/>
    </row>
    <row r="665">
      <c r="I665" s="7"/>
      <c r="J665" s="7"/>
      <c r="K665" s="7"/>
      <c r="L665" s="7"/>
      <c r="M665" s="7"/>
      <c r="N665" s="7"/>
      <c r="O665" s="7"/>
    </row>
    <row r="666">
      <c r="I666" s="7"/>
      <c r="J666" s="7"/>
      <c r="K666" s="7"/>
      <c r="L666" s="7"/>
      <c r="M666" s="7"/>
      <c r="N666" s="7"/>
      <c r="O666" s="7"/>
    </row>
    <row r="667">
      <c r="I667" s="7"/>
      <c r="J667" s="7"/>
      <c r="K667" s="7"/>
      <c r="L667" s="7"/>
      <c r="M667" s="7"/>
      <c r="N667" s="7"/>
      <c r="O667" s="7"/>
    </row>
    <row r="668">
      <c r="I668" s="7"/>
      <c r="J668" s="7"/>
      <c r="K668" s="7"/>
      <c r="L668" s="7"/>
      <c r="M668" s="7"/>
      <c r="N668" s="7"/>
      <c r="O668" s="7"/>
    </row>
    <row r="669">
      <c r="I669" s="7"/>
      <c r="J669" s="7"/>
      <c r="K669" s="7"/>
      <c r="L669" s="7"/>
      <c r="M669" s="7"/>
      <c r="N669" s="7"/>
      <c r="O669" s="7"/>
    </row>
    <row r="670">
      <c r="I670" s="7"/>
      <c r="J670" s="7"/>
      <c r="K670" s="7"/>
      <c r="L670" s="7"/>
      <c r="M670" s="7"/>
      <c r="N670" s="7"/>
      <c r="O670" s="7"/>
    </row>
    <row r="671">
      <c r="I671" s="7"/>
      <c r="J671" s="7"/>
      <c r="K671" s="7"/>
      <c r="L671" s="7"/>
      <c r="M671" s="7"/>
      <c r="N671" s="7"/>
      <c r="O671" s="7"/>
    </row>
    <row r="672">
      <c r="I672" s="7"/>
      <c r="J672" s="7"/>
      <c r="K672" s="7"/>
      <c r="L672" s="7"/>
      <c r="M672" s="7"/>
      <c r="N672" s="7"/>
      <c r="O672" s="7"/>
    </row>
    <row r="673">
      <c r="I673" s="7"/>
      <c r="J673" s="7"/>
      <c r="K673" s="7"/>
      <c r="L673" s="7"/>
      <c r="M673" s="7"/>
      <c r="N673" s="7"/>
      <c r="O673" s="7"/>
    </row>
    <row r="674">
      <c r="I674" s="7"/>
      <c r="J674" s="7"/>
      <c r="K674" s="7"/>
      <c r="L674" s="7"/>
      <c r="M674" s="7"/>
      <c r="N674" s="7"/>
      <c r="O674" s="7"/>
    </row>
    <row r="675">
      <c r="I675" s="7"/>
      <c r="J675" s="7"/>
      <c r="K675" s="7"/>
      <c r="L675" s="7"/>
      <c r="M675" s="7"/>
      <c r="N675" s="7"/>
      <c r="O675" s="7"/>
    </row>
    <row r="676">
      <c r="I676" s="7"/>
      <c r="J676" s="7"/>
      <c r="K676" s="7"/>
      <c r="L676" s="7"/>
      <c r="M676" s="7"/>
      <c r="N676" s="7"/>
      <c r="O676" s="7"/>
    </row>
    <row r="677">
      <c r="I677" s="7"/>
      <c r="J677" s="7"/>
      <c r="K677" s="7"/>
      <c r="L677" s="7"/>
      <c r="M677" s="7"/>
      <c r="N677" s="7"/>
      <c r="O677" s="7"/>
    </row>
    <row r="678">
      <c r="I678" s="7"/>
      <c r="J678" s="7"/>
      <c r="K678" s="7"/>
      <c r="L678" s="7"/>
      <c r="M678" s="7"/>
      <c r="N678" s="7"/>
      <c r="O678" s="7"/>
    </row>
    <row r="679">
      <c r="I679" s="7"/>
      <c r="J679" s="7"/>
      <c r="K679" s="7"/>
      <c r="L679" s="7"/>
      <c r="M679" s="7"/>
      <c r="N679" s="7"/>
      <c r="O679" s="7"/>
    </row>
    <row r="680">
      <c r="I680" s="7"/>
      <c r="J680" s="7"/>
      <c r="K680" s="7"/>
      <c r="L680" s="7"/>
      <c r="M680" s="7"/>
      <c r="N680" s="7"/>
      <c r="O680" s="7"/>
    </row>
    <row r="681">
      <c r="I681" s="7"/>
      <c r="J681" s="7"/>
      <c r="K681" s="7"/>
      <c r="L681" s="7"/>
      <c r="M681" s="7"/>
      <c r="N681" s="7"/>
      <c r="O681" s="7"/>
    </row>
    <row r="682">
      <c r="I682" s="7"/>
      <c r="J682" s="7"/>
      <c r="K682" s="7"/>
      <c r="L682" s="7"/>
      <c r="M682" s="7"/>
      <c r="N682" s="7"/>
      <c r="O682" s="7"/>
    </row>
    <row r="683">
      <c r="I683" s="7"/>
      <c r="J683" s="7"/>
      <c r="K683" s="7"/>
      <c r="L683" s="7"/>
      <c r="M683" s="7"/>
      <c r="N683" s="7"/>
      <c r="O683" s="7"/>
    </row>
    <row r="684">
      <c r="I684" s="7"/>
      <c r="J684" s="7"/>
      <c r="K684" s="7"/>
      <c r="L684" s="7"/>
      <c r="M684" s="7"/>
      <c r="N684" s="7"/>
      <c r="O684" s="7"/>
    </row>
    <row r="685">
      <c r="I685" s="7"/>
      <c r="J685" s="7"/>
      <c r="K685" s="7"/>
      <c r="L685" s="7"/>
      <c r="M685" s="7"/>
      <c r="N685" s="7"/>
      <c r="O685" s="7"/>
    </row>
    <row r="686">
      <c r="I686" s="7"/>
      <c r="J686" s="7"/>
      <c r="K686" s="7"/>
      <c r="L686" s="7"/>
      <c r="M686" s="7"/>
      <c r="N686" s="7"/>
      <c r="O686" s="7"/>
    </row>
    <row r="687">
      <c r="I687" s="7"/>
      <c r="J687" s="7"/>
      <c r="K687" s="7"/>
      <c r="L687" s="7"/>
      <c r="M687" s="7"/>
      <c r="N687" s="7"/>
      <c r="O687" s="7"/>
    </row>
    <row r="688">
      <c r="I688" s="7"/>
      <c r="J688" s="7"/>
      <c r="K688" s="7"/>
      <c r="L688" s="7"/>
      <c r="M688" s="7"/>
      <c r="N688" s="7"/>
      <c r="O688" s="7"/>
    </row>
    <row r="689">
      <c r="I689" s="7"/>
      <c r="J689" s="7"/>
      <c r="K689" s="7"/>
      <c r="L689" s="7"/>
      <c r="M689" s="7"/>
      <c r="N689" s="7"/>
      <c r="O689" s="7"/>
    </row>
    <row r="690">
      <c r="I690" s="7"/>
      <c r="J690" s="7"/>
      <c r="K690" s="7"/>
      <c r="L690" s="7"/>
      <c r="M690" s="7"/>
      <c r="N690" s="7"/>
      <c r="O690" s="7"/>
    </row>
    <row r="691">
      <c r="I691" s="7"/>
      <c r="J691" s="7"/>
      <c r="K691" s="7"/>
      <c r="L691" s="7"/>
      <c r="M691" s="7"/>
      <c r="N691" s="7"/>
      <c r="O691" s="7"/>
    </row>
    <row r="692">
      <c r="I692" s="7"/>
      <c r="J692" s="7"/>
      <c r="K692" s="7"/>
      <c r="L692" s="7"/>
      <c r="M692" s="7"/>
      <c r="N692" s="7"/>
      <c r="O692" s="7"/>
    </row>
    <row r="693">
      <c r="I693" s="7"/>
      <c r="J693" s="7"/>
      <c r="K693" s="7"/>
      <c r="L693" s="7"/>
      <c r="M693" s="7"/>
      <c r="N693" s="7"/>
      <c r="O693" s="7"/>
    </row>
    <row r="694">
      <c r="I694" s="7"/>
      <c r="J694" s="7"/>
      <c r="K694" s="7"/>
      <c r="L694" s="7"/>
      <c r="M694" s="7"/>
      <c r="N694" s="7"/>
      <c r="O694" s="7"/>
    </row>
    <row r="695">
      <c r="I695" s="7"/>
      <c r="J695" s="7"/>
      <c r="K695" s="7"/>
      <c r="L695" s="7"/>
      <c r="M695" s="7"/>
      <c r="N695" s="7"/>
      <c r="O695" s="7"/>
    </row>
    <row r="696">
      <c r="I696" s="7"/>
      <c r="J696" s="7"/>
      <c r="K696" s="7"/>
      <c r="L696" s="7"/>
      <c r="M696" s="7"/>
      <c r="N696" s="7"/>
      <c r="O696" s="7"/>
    </row>
    <row r="697">
      <c r="I697" s="7"/>
      <c r="J697" s="7"/>
      <c r="K697" s="7"/>
      <c r="L697" s="7"/>
      <c r="M697" s="7"/>
      <c r="N697" s="7"/>
      <c r="O697" s="7"/>
    </row>
    <row r="698">
      <c r="I698" s="7"/>
      <c r="J698" s="7"/>
      <c r="K698" s="7"/>
      <c r="L698" s="7"/>
      <c r="M698" s="7"/>
      <c r="N698" s="7"/>
      <c r="O698" s="7"/>
    </row>
    <row r="699">
      <c r="I699" s="7"/>
      <c r="J699" s="7"/>
      <c r="K699" s="7"/>
      <c r="L699" s="7"/>
      <c r="M699" s="7"/>
      <c r="N699" s="7"/>
      <c r="O699" s="7"/>
    </row>
    <row r="700">
      <c r="I700" s="7"/>
      <c r="J700" s="7"/>
      <c r="K700" s="7"/>
      <c r="L700" s="7"/>
      <c r="M700" s="7"/>
      <c r="N700" s="7"/>
      <c r="O700" s="7"/>
    </row>
    <row r="701">
      <c r="I701" s="7"/>
      <c r="J701" s="7"/>
      <c r="K701" s="7"/>
      <c r="L701" s="7"/>
      <c r="M701" s="7"/>
      <c r="N701" s="7"/>
      <c r="O701" s="7"/>
    </row>
    <row r="702">
      <c r="I702" s="7"/>
      <c r="J702" s="7"/>
      <c r="K702" s="7"/>
      <c r="L702" s="7"/>
      <c r="M702" s="7"/>
      <c r="N702" s="7"/>
      <c r="O702" s="7"/>
    </row>
    <row r="703">
      <c r="I703" s="7"/>
      <c r="J703" s="7"/>
      <c r="K703" s="7"/>
      <c r="L703" s="7"/>
      <c r="M703" s="7"/>
      <c r="N703" s="7"/>
      <c r="O703" s="7"/>
    </row>
    <row r="704">
      <c r="I704" s="7"/>
      <c r="J704" s="7"/>
      <c r="K704" s="7"/>
      <c r="L704" s="7"/>
      <c r="M704" s="7"/>
      <c r="N704" s="7"/>
      <c r="O704" s="7"/>
    </row>
    <row r="705">
      <c r="I705" s="7"/>
      <c r="J705" s="7"/>
      <c r="K705" s="7"/>
      <c r="L705" s="7"/>
      <c r="M705" s="7"/>
      <c r="N705" s="7"/>
      <c r="O705" s="7"/>
    </row>
    <row r="706">
      <c r="I706" s="7"/>
      <c r="J706" s="7"/>
      <c r="K706" s="7"/>
      <c r="L706" s="7"/>
      <c r="M706" s="7"/>
      <c r="N706" s="7"/>
      <c r="O706" s="7"/>
    </row>
    <row r="707">
      <c r="I707" s="7"/>
      <c r="J707" s="7"/>
      <c r="K707" s="7"/>
      <c r="L707" s="7"/>
      <c r="M707" s="7"/>
      <c r="N707" s="7"/>
      <c r="O707" s="7"/>
    </row>
    <row r="708">
      <c r="I708" s="7"/>
      <c r="J708" s="7"/>
      <c r="K708" s="7"/>
      <c r="L708" s="7"/>
      <c r="M708" s="7"/>
      <c r="N708" s="7"/>
      <c r="O708" s="7"/>
    </row>
    <row r="709">
      <c r="I709" s="7"/>
      <c r="J709" s="7"/>
      <c r="K709" s="7"/>
      <c r="L709" s="7"/>
      <c r="M709" s="7"/>
      <c r="N709" s="7"/>
      <c r="O709" s="7"/>
    </row>
    <row r="710">
      <c r="I710" s="7"/>
      <c r="J710" s="7"/>
      <c r="K710" s="7"/>
      <c r="L710" s="7"/>
      <c r="M710" s="7"/>
      <c r="N710" s="7"/>
      <c r="O710" s="7"/>
    </row>
    <row r="711">
      <c r="I711" s="7"/>
      <c r="J711" s="7"/>
      <c r="K711" s="7"/>
      <c r="L711" s="7"/>
      <c r="M711" s="7"/>
      <c r="N711" s="7"/>
      <c r="O711" s="7"/>
    </row>
    <row r="712">
      <c r="I712" s="7"/>
      <c r="J712" s="7"/>
      <c r="K712" s="7"/>
      <c r="L712" s="7"/>
      <c r="M712" s="7"/>
      <c r="N712" s="7"/>
      <c r="O712" s="7"/>
    </row>
    <row r="713">
      <c r="I713" s="7"/>
      <c r="J713" s="7"/>
      <c r="K713" s="7"/>
      <c r="L713" s="7"/>
      <c r="M713" s="7"/>
      <c r="N713" s="7"/>
      <c r="O713" s="7"/>
    </row>
    <row r="714">
      <c r="I714" s="7"/>
      <c r="J714" s="7"/>
      <c r="K714" s="7"/>
      <c r="L714" s="7"/>
      <c r="M714" s="7"/>
      <c r="N714" s="7"/>
      <c r="O714" s="7"/>
    </row>
    <row r="715">
      <c r="I715" s="7"/>
      <c r="J715" s="7"/>
      <c r="K715" s="7"/>
      <c r="L715" s="7"/>
      <c r="M715" s="7"/>
      <c r="N715" s="7"/>
      <c r="O715" s="7"/>
    </row>
    <row r="716">
      <c r="I716" s="7"/>
      <c r="J716" s="7"/>
      <c r="K716" s="7"/>
      <c r="L716" s="7"/>
      <c r="M716" s="7"/>
      <c r="N716" s="7"/>
      <c r="O716" s="7"/>
    </row>
    <row r="717">
      <c r="I717" s="7"/>
      <c r="J717" s="7"/>
      <c r="K717" s="7"/>
      <c r="L717" s="7"/>
      <c r="M717" s="7"/>
      <c r="N717" s="7"/>
      <c r="O717" s="7"/>
    </row>
    <row r="718">
      <c r="I718" s="7"/>
      <c r="J718" s="7"/>
      <c r="K718" s="7"/>
      <c r="L718" s="7"/>
      <c r="M718" s="7"/>
      <c r="N718" s="7"/>
      <c r="O718" s="7"/>
    </row>
    <row r="719">
      <c r="I719" s="7"/>
      <c r="J719" s="7"/>
      <c r="K719" s="7"/>
      <c r="L719" s="7"/>
      <c r="M719" s="7"/>
      <c r="N719" s="7"/>
      <c r="O719" s="7"/>
    </row>
    <row r="720">
      <c r="I720" s="7"/>
      <c r="J720" s="7"/>
      <c r="K720" s="7"/>
      <c r="L720" s="7"/>
      <c r="M720" s="7"/>
      <c r="N720" s="7"/>
      <c r="O720" s="7"/>
    </row>
    <row r="721">
      <c r="I721" s="7"/>
      <c r="J721" s="7"/>
      <c r="K721" s="7"/>
      <c r="L721" s="7"/>
      <c r="M721" s="7"/>
      <c r="N721" s="7"/>
      <c r="O721" s="7"/>
    </row>
    <row r="722">
      <c r="I722" s="7"/>
      <c r="J722" s="7"/>
      <c r="K722" s="7"/>
      <c r="L722" s="7"/>
      <c r="M722" s="7"/>
      <c r="N722" s="7"/>
      <c r="O722" s="7"/>
    </row>
    <row r="723">
      <c r="I723" s="7"/>
      <c r="J723" s="7"/>
      <c r="K723" s="7"/>
      <c r="L723" s="7"/>
      <c r="M723" s="7"/>
      <c r="N723" s="7"/>
      <c r="O723" s="7"/>
    </row>
    <row r="724">
      <c r="I724" s="7"/>
      <c r="J724" s="7"/>
      <c r="K724" s="7"/>
      <c r="L724" s="7"/>
      <c r="M724" s="7"/>
      <c r="N724" s="7"/>
      <c r="O724" s="7"/>
    </row>
    <row r="725">
      <c r="I725" s="7"/>
      <c r="J725" s="7"/>
      <c r="K725" s="7"/>
      <c r="L725" s="7"/>
      <c r="M725" s="7"/>
      <c r="N725" s="7"/>
      <c r="O725" s="7"/>
    </row>
    <row r="726">
      <c r="I726" s="7"/>
      <c r="J726" s="7"/>
      <c r="K726" s="7"/>
      <c r="L726" s="7"/>
      <c r="M726" s="7"/>
      <c r="N726" s="7"/>
      <c r="O726" s="7"/>
    </row>
    <row r="727">
      <c r="I727" s="7"/>
      <c r="J727" s="7"/>
      <c r="K727" s="7"/>
      <c r="L727" s="7"/>
      <c r="M727" s="7"/>
      <c r="N727" s="7"/>
      <c r="O727" s="7"/>
    </row>
    <row r="728">
      <c r="I728" s="7"/>
      <c r="J728" s="7"/>
      <c r="K728" s="7"/>
      <c r="L728" s="7"/>
      <c r="M728" s="7"/>
      <c r="N728" s="7"/>
      <c r="O728" s="7"/>
    </row>
    <row r="729">
      <c r="I729" s="7"/>
      <c r="J729" s="7"/>
      <c r="K729" s="7"/>
      <c r="L729" s="7"/>
      <c r="M729" s="7"/>
      <c r="N729" s="7"/>
      <c r="O729" s="7"/>
    </row>
    <row r="730">
      <c r="I730" s="7"/>
      <c r="J730" s="7"/>
      <c r="K730" s="7"/>
      <c r="L730" s="7"/>
      <c r="M730" s="7"/>
      <c r="N730" s="7"/>
      <c r="O730" s="7"/>
    </row>
    <row r="731">
      <c r="I731" s="7"/>
      <c r="J731" s="7"/>
      <c r="K731" s="7"/>
      <c r="L731" s="7"/>
      <c r="M731" s="7"/>
      <c r="N731" s="7"/>
      <c r="O731" s="7"/>
    </row>
    <row r="732">
      <c r="I732" s="7"/>
      <c r="J732" s="7"/>
      <c r="K732" s="7"/>
      <c r="L732" s="7"/>
      <c r="M732" s="7"/>
      <c r="N732" s="7"/>
      <c r="O732" s="7"/>
    </row>
    <row r="733">
      <c r="I733" s="7"/>
      <c r="J733" s="7"/>
      <c r="K733" s="7"/>
      <c r="L733" s="7"/>
      <c r="M733" s="7"/>
      <c r="N733" s="7"/>
      <c r="O733" s="7"/>
    </row>
    <row r="734">
      <c r="I734" s="7"/>
      <c r="J734" s="7"/>
      <c r="K734" s="7"/>
      <c r="L734" s="7"/>
      <c r="M734" s="7"/>
      <c r="N734" s="7"/>
      <c r="O734" s="7"/>
    </row>
    <row r="735">
      <c r="I735" s="7"/>
      <c r="J735" s="7"/>
      <c r="K735" s="7"/>
      <c r="L735" s="7"/>
      <c r="M735" s="7"/>
      <c r="N735" s="7"/>
      <c r="O735" s="7"/>
    </row>
    <row r="736">
      <c r="I736" s="7"/>
      <c r="J736" s="7"/>
      <c r="K736" s="7"/>
      <c r="L736" s="7"/>
      <c r="M736" s="7"/>
      <c r="N736" s="7"/>
      <c r="O736" s="7"/>
    </row>
    <row r="737">
      <c r="I737" s="7"/>
      <c r="J737" s="7"/>
      <c r="K737" s="7"/>
      <c r="L737" s="7"/>
      <c r="M737" s="7"/>
      <c r="N737" s="7"/>
      <c r="O737" s="7"/>
    </row>
    <row r="738">
      <c r="I738" s="7"/>
      <c r="J738" s="7"/>
      <c r="K738" s="7"/>
      <c r="L738" s="7"/>
      <c r="M738" s="7"/>
      <c r="N738" s="7"/>
      <c r="O738" s="7"/>
    </row>
    <row r="739">
      <c r="I739" s="7"/>
      <c r="J739" s="7"/>
      <c r="K739" s="7"/>
      <c r="L739" s="7"/>
      <c r="M739" s="7"/>
      <c r="N739" s="7"/>
      <c r="O739" s="7"/>
    </row>
    <row r="740">
      <c r="I740" s="7"/>
      <c r="J740" s="7"/>
      <c r="K740" s="7"/>
      <c r="L740" s="7"/>
      <c r="M740" s="7"/>
      <c r="N740" s="7"/>
      <c r="O740" s="7"/>
    </row>
    <row r="741">
      <c r="I741" s="7"/>
      <c r="J741" s="7"/>
      <c r="K741" s="7"/>
      <c r="L741" s="7"/>
      <c r="M741" s="7"/>
      <c r="N741" s="7"/>
      <c r="O741" s="7"/>
    </row>
    <row r="742">
      <c r="I742" s="7"/>
      <c r="J742" s="7"/>
      <c r="K742" s="7"/>
      <c r="L742" s="7"/>
      <c r="M742" s="7"/>
      <c r="N742" s="7"/>
      <c r="O742" s="7"/>
    </row>
    <row r="743">
      <c r="I743" s="7"/>
      <c r="J743" s="7"/>
      <c r="K743" s="7"/>
      <c r="L743" s="7"/>
      <c r="M743" s="7"/>
      <c r="N743" s="7"/>
      <c r="O743" s="7"/>
    </row>
    <row r="744">
      <c r="I744" s="7"/>
      <c r="J744" s="7"/>
      <c r="K744" s="7"/>
      <c r="L744" s="7"/>
      <c r="M744" s="7"/>
      <c r="N744" s="7"/>
      <c r="O744" s="7"/>
    </row>
    <row r="745">
      <c r="I745" s="7"/>
      <c r="J745" s="7"/>
      <c r="K745" s="7"/>
      <c r="L745" s="7"/>
      <c r="M745" s="7"/>
      <c r="N745" s="7"/>
      <c r="O745" s="7"/>
    </row>
    <row r="746">
      <c r="I746" s="7"/>
      <c r="J746" s="7"/>
      <c r="K746" s="7"/>
      <c r="L746" s="7"/>
      <c r="M746" s="7"/>
      <c r="N746" s="7"/>
      <c r="O746" s="7"/>
    </row>
    <row r="747">
      <c r="I747" s="7"/>
      <c r="J747" s="7"/>
      <c r="K747" s="7"/>
      <c r="L747" s="7"/>
      <c r="M747" s="7"/>
      <c r="N747" s="7"/>
      <c r="O747" s="7"/>
    </row>
    <row r="748">
      <c r="I748" s="7"/>
      <c r="J748" s="7"/>
      <c r="K748" s="7"/>
      <c r="L748" s="7"/>
      <c r="M748" s="7"/>
      <c r="N748" s="7"/>
      <c r="O748" s="7"/>
    </row>
    <row r="749">
      <c r="I749" s="7"/>
      <c r="J749" s="7"/>
      <c r="K749" s="7"/>
      <c r="L749" s="7"/>
      <c r="M749" s="7"/>
      <c r="N749" s="7"/>
      <c r="O749" s="7"/>
    </row>
    <row r="750">
      <c r="I750" s="7"/>
      <c r="J750" s="7"/>
      <c r="K750" s="7"/>
      <c r="L750" s="7"/>
      <c r="M750" s="7"/>
      <c r="N750" s="7"/>
      <c r="O750" s="7"/>
    </row>
    <row r="751">
      <c r="I751" s="7"/>
      <c r="J751" s="7"/>
      <c r="K751" s="7"/>
      <c r="L751" s="7"/>
      <c r="M751" s="7"/>
      <c r="N751" s="7"/>
      <c r="O751" s="7"/>
    </row>
    <row r="752">
      <c r="I752" s="7"/>
      <c r="J752" s="7"/>
      <c r="K752" s="7"/>
      <c r="L752" s="7"/>
      <c r="M752" s="7"/>
      <c r="N752" s="7"/>
      <c r="O752" s="7"/>
    </row>
    <row r="753">
      <c r="I753" s="7"/>
      <c r="J753" s="7"/>
      <c r="K753" s="7"/>
      <c r="L753" s="7"/>
      <c r="M753" s="7"/>
      <c r="N753" s="7"/>
      <c r="O753" s="7"/>
    </row>
    <row r="754">
      <c r="I754" s="7"/>
      <c r="J754" s="7"/>
      <c r="K754" s="7"/>
      <c r="L754" s="7"/>
      <c r="M754" s="7"/>
      <c r="N754" s="7"/>
      <c r="O754" s="7"/>
    </row>
    <row r="755">
      <c r="I755" s="7"/>
      <c r="J755" s="7"/>
      <c r="K755" s="7"/>
      <c r="L755" s="7"/>
      <c r="M755" s="7"/>
      <c r="N755" s="7"/>
      <c r="O755" s="7"/>
    </row>
    <row r="756">
      <c r="I756" s="7"/>
      <c r="J756" s="7"/>
      <c r="K756" s="7"/>
      <c r="L756" s="7"/>
      <c r="M756" s="7"/>
      <c r="N756" s="7"/>
      <c r="O756" s="7"/>
    </row>
    <row r="757">
      <c r="I757" s="7"/>
      <c r="J757" s="7"/>
      <c r="K757" s="7"/>
      <c r="L757" s="7"/>
      <c r="M757" s="7"/>
      <c r="N757" s="7"/>
      <c r="O757" s="7"/>
    </row>
    <row r="758">
      <c r="I758" s="7"/>
      <c r="J758" s="7"/>
      <c r="K758" s="7"/>
      <c r="L758" s="7"/>
      <c r="M758" s="7"/>
      <c r="N758" s="7"/>
      <c r="O758" s="7"/>
    </row>
    <row r="759">
      <c r="I759" s="7"/>
      <c r="J759" s="7"/>
      <c r="K759" s="7"/>
      <c r="L759" s="7"/>
      <c r="M759" s="7"/>
      <c r="N759" s="7"/>
      <c r="O759" s="7"/>
    </row>
    <row r="760">
      <c r="I760" s="7"/>
      <c r="J760" s="7"/>
      <c r="K760" s="7"/>
      <c r="L760" s="7"/>
      <c r="M760" s="7"/>
      <c r="N760" s="7"/>
      <c r="O760" s="7"/>
    </row>
    <row r="761">
      <c r="I761" s="7"/>
      <c r="J761" s="7"/>
      <c r="K761" s="7"/>
      <c r="L761" s="7"/>
      <c r="M761" s="7"/>
      <c r="N761" s="7"/>
      <c r="O761" s="7"/>
    </row>
    <row r="762">
      <c r="I762" s="7"/>
      <c r="J762" s="7"/>
      <c r="K762" s="7"/>
      <c r="L762" s="7"/>
      <c r="M762" s="7"/>
      <c r="N762" s="7"/>
      <c r="O762" s="7"/>
    </row>
    <row r="763">
      <c r="I763" s="7"/>
      <c r="J763" s="7"/>
      <c r="K763" s="7"/>
      <c r="L763" s="7"/>
      <c r="M763" s="7"/>
      <c r="N763" s="7"/>
      <c r="O763" s="7"/>
    </row>
    <row r="764">
      <c r="I764" s="7"/>
      <c r="J764" s="7"/>
      <c r="K764" s="7"/>
      <c r="L764" s="7"/>
      <c r="M764" s="7"/>
      <c r="N764" s="7"/>
      <c r="O764" s="7"/>
    </row>
    <row r="765">
      <c r="I765" s="7"/>
      <c r="J765" s="7"/>
      <c r="K765" s="7"/>
      <c r="L765" s="7"/>
      <c r="M765" s="7"/>
      <c r="N765" s="7"/>
      <c r="O765" s="7"/>
    </row>
    <row r="766">
      <c r="I766" s="7"/>
      <c r="J766" s="7"/>
      <c r="K766" s="7"/>
      <c r="L766" s="7"/>
      <c r="M766" s="7"/>
      <c r="N766" s="7"/>
      <c r="O766" s="7"/>
    </row>
    <row r="767">
      <c r="I767" s="7"/>
      <c r="J767" s="7"/>
      <c r="K767" s="7"/>
      <c r="L767" s="7"/>
      <c r="M767" s="7"/>
      <c r="N767" s="7"/>
      <c r="O767" s="7"/>
    </row>
    <row r="768">
      <c r="I768" s="7"/>
      <c r="J768" s="7"/>
      <c r="K768" s="7"/>
      <c r="L768" s="7"/>
      <c r="M768" s="7"/>
      <c r="N768" s="7"/>
      <c r="O768" s="7"/>
    </row>
    <row r="769">
      <c r="I769" s="7"/>
      <c r="J769" s="7"/>
      <c r="K769" s="7"/>
      <c r="L769" s="7"/>
      <c r="M769" s="7"/>
      <c r="N769" s="7"/>
      <c r="O769" s="7"/>
    </row>
    <row r="770">
      <c r="I770" s="7"/>
      <c r="J770" s="7"/>
      <c r="K770" s="7"/>
      <c r="L770" s="7"/>
      <c r="M770" s="7"/>
      <c r="N770" s="7"/>
      <c r="O770" s="7"/>
    </row>
    <row r="771">
      <c r="I771" s="7"/>
      <c r="J771" s="7"/>
      <c r="K771" s="7"/>
      <c r="L771" s="7"/>
      <c r="M771" s="7"/>
      <c r="N771" s="7"/>
      <c r="O771" s="7"/>
    </row>
    <row r="772">
      <c r="I772" s="7"/>
      <c r="J772" s="7"/>
      <c r="K772" s="7"/>
      <c r="L772" s="7"/>
      <c r="M772" s="7"/>
      <c r="N772" s="7"/>
      <c r="O772" s="7"/>
    </row>
    <row r="773">
      <c r="I773" s="7"/>
      <c r="J773" s="7"/>
      <c r="K773" s="7"/>
      <c r="L773" s="7"/>
      <c r="M773" s="7"/>
      <c r="N773" s="7"/>
      <c r="O773" s="7"/>
    </row>
    <row r="774">
      <c r="I774" s="7"/>
      <c r="J774" s="7"/>
      <c r="K774" s="7"/>
      <c r="L774" s="7"/>
      <c r="M774" s="7"/>
      <c r="N774" s="7"/>
      <c r="O774" s="7"/>
    </row>
    <row r="775">
      <c r="I775" s="7"/>
      <c r="J775" s="7"/>
      <c r="K775" s="7"/>
      <c r="L775" s="7"/>
      <c r="M775" s="7"/>
      <c r="N775" s="7"/>
      <c r="O775" s="7"/>
    </row>
    <row r="776">
      <c r="I776" s="7"/>
      <c r="J776" s="7"/>
      <c r="K776" s="7"/>
      <c r="L776" s="7"/>
      <c r="M776" s="7"/>
      <c r="N776" s="7"/>
      <c r="O776" s="7"/>
    </row>
    <row r="777">
      <c r="I777" s="7"/>
      <c r="J777" s="7"/>
      <c r="K777" s="7"/>
      <c r="L777" s="7"/>
      <c r="M777" s="7"/>
      <c r="N777" s="7"/>
      <c r="O777" s="7"/>
    </row>
    <row r="778">
      <c r="I778" s="7"/>
      <c r="J778" s="7"/>
      <c r="K778" s="7"/>
      <c r="L778" s="7"/>
      <c r="M778" s="7"/>
      <c r="N778" s="7"/>
      <c r="O778" s="7"/>
    </row>
    <row r="779">
      <c r="I779" s="7"/>
      <c r="J779" s="7"/>
      <c r="K779" s="7"/>
      <c r="L779" s="7"/>
      <c r="M779" s="7"/>
      <c r="N779" s="7"/>
      <c r="O779" s="7"/>
    </row>
    <row r="780">
      <c r="I780" s="7"/>
      <c r="J780" s="7"/>
      <c r="K780" s="7"/>
      <c r="L780" s="7"/>
      <c r="M780" s="7"/>
      <c r="N780" s="7"/>
      <c r="O780" s="7"/>
    </row>
    <row r="781">
      <c r="I781" s="7"/>
      <c r="J781" s="7"/>
      <c r="K781" s="7"/>
      <c r="L781" s="7"/>
      <c r="M781" s="7"/>
      <c r="N781" s="7"/>
      <c r="O781" s="7"/>
    </row>
    <row r="782">
      <c r="I782" s="7"/>
      <c r="J782" s="7"/>
      <c r="K782" s="7"/>
      <c r="L782" s="7"/>
      <c r="M782" s="7"/>
      <c r="N782" s="7"/>
      <c r="O782" s="7"/>
    </row>
    <row r="783">
      <c r="I783" s="7"/>
      <c r="J783" s="7"/>
      <c r="K783" s="7"/>
      <c r="L783" s="7"/>
      <c r="M783" s="7"/>
      <c r="N783" s="7"/>
      <c r="O783" s="7"/>
    </row>
    <row r="784">
      <c r="I784" s="7"/>
      <c r="J784" s="7"/>
      <c r="K784" s="7"/>
      <c r="L784" s="7"/>
      <c r="M784" s="7"/>
      <c r="N784" s="7"/>
      <c r="O784" s="7"/>
    </row>
    <row r="785">
      <c r="I785" s="7"/>
      <c r="J785" s="7"/>
      <c r="K785" s="7"/>
      <c r="L785" s="7"/>
      <c r="M785" s="7"/>
      <c r="N785" s="7"/>
      <c r="O785" s="7"/>
    </row>
    <row r="786">
      <c r="I786" s="7"/>
      <c r="J786" s="7"/>
      <c r="K786" s="7"/>
      <c r="L786" s="7"/>
      <c r="M786" s="7"/>
      <c r="N786" s="7"/>
      <c r="O786" s="7"/>
    </row>
    <row r="787">
      <c r="I787" s="7"/>
      <c r="J787" s="7"/>
      <c r="K787" s="7"/>
      <c r="L787" s="7"/>
      <c r="M787" s="7"/>
      <c r="N787" s="7"/>
      <c r="O787" s="7"/>
    </row>
    <row r="788">
      <c r="I788" s="7"/>
      <c r="J788" s="7"/>
      <c r="K788" s="7"/>
      <c r="L788" s="7"/>
      <c r="M788" s="7"/>
      <c r="N788" s="7"/>
      <c r="O788" s="7"/>
    </row>
    <row r="789">
      <c r="I789" s="7"/>
      <c r="J789" s="7"/>
      <c r="K789" s="7"/>
      <c r="L789" s="7"/>
      <c r="M789" s="7"/>
      <c r="N789" s="7"/>
      <c r="O789" s="7"/>
    </row>
    <row r="790">
      <c r="I790" s="7"/>
      <c r="J790" s="7"/>
      <c r="K790" s="7"/>
      <c r="L790" s="7"/>
      <c r="M790" s="7"/>
      <c r="N790" s="7"/>
      <c r="O790" s="7"/>
    </row>
    <row r="791">
      <c r="I791" s="7"/>
      <c r="J791" s="7"/>
      <c r="K791" s="7"/>
      <c r="L791" s="7"/>
      <c r="M791" s="7"/>
      <c r="N791" s="7"/>
      <c r="O791" s="7"/>
    </row>
    <row r="792">
      <c r="I792" s="7"/>
      <c r="J792" s="7"/>
      <c r="K792" s="7"/>
      <c r="L792" s="7"/>
      <c r="M792" s="7"/>
      <c r="N792" s="7"/>
      <c r="O792" s="7"/>
    </row>
    <row r="793">
      <c r="I793" s="7"/>
      <c r="J793" s="7"/>
      <c r="K793" s="7"/>
      <c r="L793" s="7"/>
      <c r="M793" s="7"/>
      <c r="N793" s="7"/>
      <c r="O793" s="7"/>
    </row>
    <row r="794">
      <c r="I794" s="7"/>
      <c r="J794" s="7"/>
      <c r="K794" s="7"/>
      <c r="L794" s="7"/>
      <c r="M794" s="7"/>
      <c r="N794" s="7"/>
      <c r="O794" s="7"/>
    </row>
    <row r="795">
      <c r="I795" s="7"/>
      <c r="J795" s="7"/>
      <c r="K795" s="7"/>
      <c r="L795" s="7"/>
      <c r="M795" s="7"/>
      <c r="N795" s="7"/>
      <c r="O795" s="7"/>
    </row>
    <row r="796">
      <c r="I796" s="7"/>
      <c r="J796" s="7"/>
      <c r="K796" s="7"/>
      <c r="L796" s="7"/>
      <c r="M796" s="7"/>
      <c r="N796" s="7"/>
      <c r="O796" s="7"/>
    </row>
    <row r="797">
      <c r="I797" s="7"/>
      <c r="J797" s="7"/>
      <c r="K797" s="7"/>
      <c r="L797" s="7"/>
      <c r="M797" s="7"/>
      <c r="N797" s="7"/>
      <c r="O797" s="7"/>
    </row>
    <row r="798">
      <c r="I798" s="7"/>
      <c r="J798" s="7"/>
      <c r="K798" s="7"/>
      <c r="L798" s="7"/>
      <c r="M798" s="7"/>
      <c r="N798" s="7"/>
      <c r="O798" s="7"/>
    </row>
    <row r="799">
      <c r="I799" s="7"/>
      <c r="J799" s="7"/>
      <c r="K799" s="7"/>
      <c r="L799" s="7"/>
      <c r="M799" s="7"/>
      <c r="N799" s="7"/>
      <c r="O799" s="7"/>
    </row>
    <row r="800">
      <c r="I800" s="7"/>
      <c r="J800" s="7"/>
      <c r="K800" s="7"/>
      <c r="L800" s="7"/>
      <c r="M800" s="7"/>
      <c r="N800" s="7"/>
      <c r="O800" s="7"/>
    </row>
    <row r="801">
      <c r="I801" s="7"/>
      <c r="J801" s="7"/>
      <c r="K801" s="7"/>
      <c r="L801" s="7"/>
      <c r="M801" s="7"/>
      <c r="N801" s="7"/>
      <c r="O801" s="7"/>
    </row>
    <row r="802">
      <c r="I802" s="7"/>
      <c r="J802" s="7"/>
      <c r="K802" s="7"/>
      <c r="L802" s="7"/>
      <c r="M802" s="7"/>
      <c r="N802" s="7"/>
      <c r="O802" s="7"/>
    </row>
    <row r="803">
      <c r="I803" s="7"/>
      <c r="J803" s="7"/>
      <c r="K803" s="7"/>
      <c r="L803" s="7"/>
      <c r="M803" s="7"/>
      <c r="N803" s="7"/>
      <c r="O803" s="7"/>
    </row>
    <row r="804">
      <c r="I804" s="7"/>
      <c r="J804" s="7"/>
      <c r="K804" s="7"/>
      <c r="L804" s="7"/>
      <c r="M804" s="7"/>
      <c r="N804" s="7"/>
      <c r="O804" s="7"/>
    </row>
    <row r="805">
      <c r="I805" s="7"/>
      <c r="J805" s="7"/>
      <c r="K805" s="7"/>
      <c r="L805" s="7"/>
      <c r="M805" s="7"/>
      <c r="N805" s="7"/>
      <c r="O805" s="7"/>
    </row>
    <row r="806">
      <c r="I806" s="7"/>
      <c r="J806" s="7"/>
      <c r="K806" s="7"/>
      <c r="L806" s="7"/>
      <c r="M806" s="7"/>
      <c r="N806" s="7"/>
      <c r="O806" s="7"/>
    </row>
    <row r="807">
      <c r="I807" s="7"/>
      <c r="J807" s="7"/>
      <c r="K807" s="7"/>
      <c r="L807" s="7"/>
      <c r="M807" s="7"/>
      <c r="N807" s="7"/>
      <c r="O807" s="7"/>
    </row>
    <row r="808">
      <c r="I808" s="7"/>
      <c r="J808" s="7"/>
      <c r="K808" s="7"/>
      <c r="L808" s="7"/>
      <c r="M808" s="7"/>
      <c r="N808" s="7"/>
      <c r="O808" s="7"/>
    </row>
    <row r="809">
      <c r="I809" s="7"/>
      <c r="J809" s="7"/>
      <c r="K809" s="7"/>
      <c r="L809" s="7"/>
      <c r="M809" s="7"/>
      <c r="N809" s="7"/>
      <c r="O809" s="7"/>
    </row>
    <row r="810">
      <c r="I810" s="7"/>
      <c r="J810" s="7"/>
      <c r="K810" s="7"/>
      <c r="L810" s="7"/>
      <c r="M810" s="7"/>
      <c r="N810" s="7"/>
      <c r="O810" s="7"/>
    </row>
    <row r="811">
      <c r="I811" s="7"/>
      <c r="J811" s="7"/>
      <c r="K811" s="7"/>
      <c r="L811" s="7"/>
      <c r="M811" s="7"/>
      <c r="N811" s="7"/>
      <c r="O811" s="7"/>
    </row>
    <row r="812">
      <c r="I812" s="7"/>
      <c r="J812" s="7"/>
      <c r="K812" s="7"/>
      <c r="L812" s="7"/>
      <c r="M812" s="7"/>
      <c r="N812" s="7"/>
      <c r="O812" s="7"/>
    </row>
    <row r="813">
      <c r="I813" s="7"/>
      <c r="J813" s="7"/>
      <c r="K813" s="7"/>
      <c r="L813" s="7"/>
      <c r="M813" s="7"/>
      <c r="N813" s="7"/>
      <c r="O813" s="7"/>
    </row>
    <row r="814">
      <c r="I814" s="7"/>
      <c r="J814" s="7"/>
      <c r="K814" s="7"/>
      <c r="L814" s="7"/>
      <c r="M814" s="7"/>
      <c r="N814" s="7"/>
      <c r="O814" s="7"/>
    </row>
    <row r="815">
      <c r="I815" s="7"/>
      <c r="J815" s="7"/>
      <c r="K815" s="7"/>
      <c r="L815" s="7"/>
      <c r="M815" s="7"/>
      <c r="N815" s="7"/>
      <c r="O815" s="7"/>
    </row>
    <row r="816">
      <c r="I816" s="7"/>
      <c r="J816" s="7"/>
      <c r="K816" s="7"/>
      <c r="L816" s="7"/>
      <c r="M816" s="7"/>
      <c r="N816" s="7"/>
      <c r="O816" s="7"/>
    </row>
    <row r="817">
      <c r="I817" s="7"/>
      <c r="J817" s="7"/>
      <c r="K817" s="7"/>
      <c r="L817" s="7"/>
      <c r="M817" s="7"/>
      <c r="N817" s="7"/>
      <c r="O817" s="7"/>
    </row>
    <row r="818">
      <c r="I818" s="7"/>
      <c r="J818" s="7"/>
      <c r="K818" s="7"/>
      <c r="L818" s="7"/>
      <c r="M818" s="7"/>
      <c r="N818" s="7"/>
      <c r="O818" s="7"/>
    </row>
    <row r="819">
      <c r="I819" s="7"/>
      <c r="J819" s="7"/>
      <c r="K819" s="7"/>
      <c r="L819" s="7"/>
      <c r="M819" s="7"/>
      <c r="N819" s="7"/>
      <c r="O819" s="7"/>
    </row>
    <row r="820">
      <c r="I820" s="7"/>
      <c r="J820" s="7"/>
      <c r="K820" s="7"/>
      <c r="L820" s="7"/>
      <c r="M820" s="7"/>
      <c r="N820" s="7"/>
      <c r="O820" s="7"/>
    </row>
    <row r="821">
      <c r="I821" s="7"/>
      <c r="J821" s="7"/>
      <c r="K821" s="7"/>
      <c r="L821" s="7"/>
      <c r="M821" s="7"/>
      <c r="N821" s="7"/>
      <c r="O821" s="7"/>
    </row>
    <row r="822">
      <c r="I822" s="7"/>
      <c r="J822" s="7"/>
      <c r="K822" s="7"/>
      <c r="L822" s="7"/>
      <c r="M822" s="7"/>
      <c r="N822" s="7"/>
      <c r="O822" s="7"/>
    </row>
    <row r="823">
      <c r="I823" s="7"/>
      <c r="J823" s="7"/>
      <c r="K823" s="7"/>
      <c r="L823" s="7"/>
      <c r="M823" s="7"/>
      <c r="N823" s="7"/>
      <c r="O823" s="7"/>
    </row>
    <row r="824">
      <c r="I824" s="7"/>
      <c r="J824" s="7"/>
      <c r="K824" s="7"/>
      <c r="L824" s="7"/>
      <c r="M824" s="7"/>
      <c r="N824" s="7"/>
      <c r="O824" s="7"/>
    </row>
    <row r="825">
      <c r="I825" s="7"/>
      <c r="J825" s="7"/>
      <c r="K825" s="7"/>
      <c r="L825" s="7"/>
      <c r="M825" s="7"/>
      <c r="N825" s="7"/>
      <c r="O825" s="7"/>
    </row>
    <row r="826">
      <c r="I826" s="7"/>
      <c r="J826" s="7"/>
      <c r="K826" s="7"/>
      <c r="L826" s="7"/>
      <c r="M826" s="7"/>
      <c r="N826" s="7"/>
      <c r="O826" s="7"/>
    </row>
    <row r="827">
      <c r="I827" s="7"/>
      <c r="J827" s="7"/>
      <c r="K827" s="7"/>
      <c r="L827" s="7"/>
      <c r="M827" s="7"/>
      <c r="N827" s="7"/>
      <c r="O827" s="7"/>
    </row>
    <row r="828">
      <c r="I828" s="7"/>
      <c r="J828" s="7"/>
      <c r="K828" s="7"/>
      <c r="L828" s="7"/>
      <c r="M828" s="7"/>
      <c r="N828" s="7"/>
      <c r="O828" s="7"/>
    </row>
    <row r="829">
      <c r="I829" s="7"/>
      <c r="J829" s="7"/>
      <c r="K829" s="7"/>
      <c r="L829" s="7"/>
      <c r="M829" s="7"/>
      <c r="N829" s="7"/>
      <c r="O829" s="7"/>
    </row>
    <row r="830">
      <c r="I830" s="7"/>
      <c r="J830" s="7"/>
      <c r="K830" s="7"/>
      <c r="L830" s="7"/>
      <c r="M830" s="7"/>
      <c r="N830" s="7"/>
      <c r="O830" s="7"/>
    </row>
    <row r="831">
      <c r="I831" s="7"/>
      <c r="J831" s="7"/>
      <c r="K831" s="7"/>
      <c r="L831" s="7"/>
      <c r="M831" s="7"/>
      <c r="N831" s="7"/>
      <c r="O831" s="7"/>
    </row>
    <row r="832">
      <c r="I832" s="7"/>
      <c r="J832" s="7"/>
      <c r="K832" s="7"/>
      <c r="L832" s="7"/>
      <c r="M832" s="7"/>
      <c r="N832" s="7"/>
      <c r="O832" s="7"/>
    </row>
    <row r="833">
      <c r="I833" s="7"/>
      <c r="J833" s="7"/>
      <c r="K833" s="7"/>
      <c r="L833" s="7"/>
      <c r="M833" s="7"/>
      <c r="N833" s="7"/>
      <c r="O833" s="7"/>
    </row>
    <row r="834">
      <c r="I834" s="7"/>
      <c r="J834" s="7"/>
      <c r="K834" s="7"/>
      <c r="L834" s="7"/>
      <c r="M834" s="7"/>
      <c r="N834" s="7"/>
      <c r="O834" s="7"/>
    </row>
    <row r="835">
      <c r="I835" s="7"/>
      <c r="J835" s="7"/>
      <c r="K835" s="7"/>
      <c r="L835" s="7"/>
      <c r="M835" s="7"/>
      <c r="N835" s="7"/>
      <c r="O835" s="7"/>
    </row>
    <row r="836">
      <c r="I836" s="7"/>
      <c r="J836" s="7"/>
      <c r="K836" s="7"/>
      <c r="L836" s="7"/>
      <c r="M836" s="7"/>
      <c r="N836" s="7"/>
      <c r="O836" s="7"/>
    </row>
    <row r="837">
      <c r="I837" s="7"/>
      <c r="J837" s="7"/>
      <c r="K837" s="7"/>
      <c r="L837" s="7"/>
      <c r="M837" s="7"/>
      <c r="N837" s="7"/>
      <c r="O837" s="7"/>
    </row>
    <row r="838">
      <c r="I838" s="7"/>
      <c r="J838" s="7"/>
      <c r="K838" s="7"/>
      <c r="L838" s="7"/>
      <c r="M838" s="7"/>
      <c r="N838" s="7"/>
      <c r="O838" s="7"/>
    </row>
    <row r="839">
      <c r="I839" s="7"/>
      <c r="J839" s="7"/>
      <c r="K839" s="7"/>
      <c r="L839" s="7"/>
      <c r="M839" s="7"/>
      <c r="N839" s="7"/>
      <c r="O839" s="7"/>
    </row>
    <row r="840">
      <c r="I840" s="7"/>
      <c r="J840" s="7"/>
      <c r="K840" s="7"/>
      <c r="L840" s="7"/>
      <c r="M840" s="7"/>
      <c r="N840" s="7"/>
      <c r="O840" s="7"/>
    </row>
    <row r="841">
      <c r="I841" s="7"/>
      <c r="J841" s="7"/>
      <c r="K841" s="7"/>
      <c r="L841" s="7"/>
      <c r="M841" s="7"/>
      <c r="N841" s="7"/>
      <c r="O841" s="7"/>
    </row>
    <row r="842">
      <c r="I842" s="7"/>
      <c r="J842" s="7"/>
      <c r="K842" s="7"/>
      <c r="L842" s="7"/>
      <c r="M842" s="7"/>
      <c r="N842" s="7"/>
      <c r="O842" s="7"/>
    </row>
    <row r="843">
      <c r="I843" s="7"/>
      <c r="J843" s="7"/>
      <c r="K843" s="7"/>
      <c r="L843" s="7"/>
      <c r="M843" s="7"/>
      <c r="N843" s="7"/>
      <c r="O843" s="7"/>
    </row>
    <row r="844">
      <c r="I844" s="7"/>
      <c r="J844" s="7"/>
      <c r="K844" s="7"/>
      <c r="L844" s="7"/>
      <c r="M844" s="7"/>
      <c r="N844" s="7"/>
      <c r="O844" s="7"/>
    </row>
    <row r="845">
      <c r="I845" s="7"/>
      <c r="J845" s="7"/>
      <c r="K845" s="7"/>
      <c r="L845" s="7"/>
      <c r="M845" s="7"/>
      <c r="N845" s="7"/>
      <c r="O845" s="7"/>
    </row>
    <row r="846">
      <c r="I846" s="7"/>
      <c r="J846" s="7"/>
      <c r="K846" s="7"/>
      <c r="L846" s="7"/>
      <c r="M846" s="7"/>
      <c r="N846" s="7"/>
      <c r="O846" s="7"/>
    </row>
    <row r="847">
      <c r="I847" s="7"/>
      <c r="J847" s="7"/>
      <c r="K847" s="7"/>
      <c r="L847" s="7"/>
      <c r="M847" s="7"/>
      <c r="N847" s="7"/>
      <c r="O847" s="7"/>
    </row>
    <row r="848">
      <c r="I848" s="7"/>
      <c r="J848" s="7"/>
      <c r="K848" s="7"/>
      <c r="L848" s="7"/>
      <c r="M848" s="7"/>
      <c r="N848" s="7"/>
      <c r="O848" s="7"/>
    </row>
    <row r="849">
      <c r="I849" s="7"/>
      <c r="J849" s="7"/>
      <c r="K849" s="7"/>
      <c r="L849" s="7"/>
      <c r="M849" s="7"/>
      <c r="N849" s="7"/>
      <c r="O849" s="7"/>
    </row>
    <row r="850">
      <c r="I850" s="7"/>
      <c r="J850" s="7"/>
      <c r="K850" s="7"/>
      <c r="L850" s="7"/>
      <c r="M850" s="7"/>
      <c r="N850" s="7"/>
      <c r="O850" s="7"/>
    </row>
    <row r="851">
      <c r="I851" s="7"/>
      <c r="J851" s="7"/>
      <c r="K851" s="7"/>
      <c r="L851" s="7"/>
      <c r="M851" s="7"/>
      <c r="N851" s="7"/>
      <c r="O851" s="7"/>
    </row>
    <row r="852">
      <c r="I852" s="7"/>
      <c r="J852" s="7"/>
      <c r="K852" s="7"/>
      <c r="L852" s="7"/>
      <c r="M852" s="7"/>
      <c r="N852" s="7"/>
      <c r="O852" s="7"/>
    </row>
    <row r="853">
      <c r="I853" s="7"/>
      <c r="J853" s="7"/>
      <c r="K853" s="7"/>
      <c r="L853" s="7"/>
      <c r="M853" s="7"/>
      <c r="N853" s="7"/>
      <c r="O853" s="7"/>
    </row>
    <row r="854">
      <c r="I854" s="7"/>
      <c r="J854" s="7"/>
      <c r="K854" s="7"/>
      <c r="L854" s="7"/>
      <c r="M854" s="7"/>
      <c r="N854" s="7"/>
      <c r="O854" s="7"/>
    </row>
    <row r="855">
      <c r="I855" s="7"/>
      <c r="J855" s="7"/>
      <c r="K855" s="7"/>
      <c r="L855" s="7"/>
      <c r="M855" s="7"/>
      <c r="N855" s="7"/>
      <c r="O855" s="7"/>
    </row>
    <row r="856">
      <c r="I856" s="7"/>
      <c r="J856" s="7"/>
      <c r="K856" s="7"/>
      <c r="L856" s="7"/>
      <c r="M856" s="7"/>
      <c r="N856" s="7"/>
      <c r="O856" s="7"/>
    </row>
    <row r="857">
      <c r="I857" s="7"/>
      <c r="J857" s="7"/>
      <c r="K857" s="7"/>
      <c r="L857" s="7"/>
      <c r="M857" s="7"/>
      <c r="N857" s="7"/>
      <c r="O857" s="7"/>
    </row>
    <row r="858">
      <c r="I858" s="7"/>
      <c r="J858" s="7"/>
      <c r="K858" s="7"/>
      <c r="L858" s="7"/>
      <c r="M858" s="7"/>
      <c r="N858" s="7"/>
      <c r="O858" s="7"/>
    </row>
    <row r="859">
      <c r="I859" s="7"/>
      <c r="J859" s="7"/>
      <c r="K859" s="7"/>
      <c r="L859" s="7"/>
      <c r="M859" s="7"/>
      <c r="N859" s="7"/>
      <c r="O859" s="7"/>
    </row>
    <row r="860">
      <c r="I860" s="7"/>
      <c r="J860" s="7"/>
      <c r="K860" s="7"/>
      <c r="L860" s="7"/>
      <c r="M860" s="7"/>
      <c r="N860" s="7"/>
      <c r="O860" s="7"/>
    </row>
    <row r="861">
      <c r="I861" s="7"/>
      <c r="J861" s="7"/>
      <c r="K861" s="7"/>
      <c r="L861" s="7"/>
      <c r="M861" s="7"/>
      <c r="N861" s="7"/>
      <c r="O861" s="7"/>
    </row>
    <row r="862">
      <c r="I862" s="7"/>
      <c r="J862" s="7"/>
      <c r="K862" s="7"/>
      <c r="L862" s="7"/>
      <c r="M862" s="7"/>
      <c r="N862" s="7"/>
      <c r="O862" s="7"/>
    </row>
    <row r="863">
      <c r="I863" s="7"/>
      <c r="J863" s="7"/>
      <c r="K863" s="7"/>
      <c r="L863" s="7"/>
      <c r="M863" s="7"/>
      <c r="N863" s="7"/>
      <c r="O863" s="7"/>
    </row>
    <row r="864">
      <c r="I864" s="7"/>
      <c r="J864" s="7"/>
      <c r="K864" s="7"/>
      <c r="L864" s="7"/>
      <c r="M864" s="7"/>
      <c r="N864" s="7"/>
      <c r="O864" s="7"/>
    </row>
    <row r="865">
      <c r="I865" s="7"/>
      <c r="J865" s="7"/>
      <c r="K865" s="7"/>
      <c r="L865" s="7"/>
      <c r="M865" s="7"/>
      <c r="N865" s="7"/>
      <c r="O865" s="7"/>
    </row>
    <row r="866">
      <c r="I866" s="7"/>
      <c r="J866" s="7"/>
      <c r="K866" s="7"/>
      <c r="L866" s="7"/>
      <c r="M866" s="7"/>
      <c r="N866" s="7"/>
      <c r="O866" s="7"/>
    </row>
    <row r="867">
      <c r="I867" s="7"/>
      <c r="J867" s="7"/>
      <c r="K867" s="7"/>
      <c r="L867" s="7"/>
      <c r="M867" s="7"/>
      <c r="N867" s="7"/>
      <c r="O867" s="7"/>
    </row>
    <row r="868">
      <c r="I868" s="7"/>
      <c r="J868" s="7"/>
      <c r="K868" s="7"/>
      <c r="L868" s="7"/>
      <c r="M868" s="7"/>
      <c r="N868" s="7"/>
      <c r="O868" s="7"/>
    </row>
    <row r="869">
      <c r="I869" s="7"/>
      <c r="J869" s="7"/>
      <c r="K869" s="7"/>
      <c r="L869" s="7"/>
      <c r="M869" s="7"/>
      <c r="N869" s="7"/>
      <c r="O869" s="7"/>
    </row>
    <row r="870">
      <c r="I870" s="7"/>
      <c r="J870" s="7"/>
      <c r="K870" s="7"/>
      <c r="L870" s="7"/>
      <c r="M870" s="7"/>
      <c r="N870" s="7"/>
      <c r="O870" s="7"/>
    </row>
    <row r="871">
      <c r="I871" s="7"/>
      <c r="J871" s="7"/>
      <c r="K871" s="7"/>
      <c r="L871" s="7"/>
      <c r="M871" s="7"/>
      <c r="N871" s="7"/>
      <c r="O871" s="7"/>
    </row>
    <row r="872">
      <c r="I872" s="7"/>
      <c r="J872" s="7"/>
      <c r="K872" s="7"/>
      <c r="L872" s="7"/>
      <c r="M872" s="7"/>
      <c r="N872" s="7"/>
      <c r="O872" s="7"/>
    </row>
    <row r="873">
      <c r="I873" s="7"/>
      <c r="J873" s="7"/>
      <c r="K873" s="7"/>
      <c r="L873" s="7"/>
      <c r="M873" s="7"/>
      <c r="N873" s="7"/>
      <c r="O873" s="7"/>
    </row>
    <row r="874">
      <c r="I874" s="7"/>
      <c r="J874" s="7"/>
      <c r="K874" s="7"/>
      <c r="L874" s="7"/>
      <c r="M874" s="7"/>
      <c r="N874" s="7"/>
      <c r="O874" s="7"/>
    </row>
    <row r="875">
      <c r="I875" s="7"/>
      <c r="J875" s="7"/>
      <c r="K875" s="7"/>
      <c r="L875" s="7"/>
      <c r="M875" s="7"/>
      <c r="N875" s="7"/>
      <c r="O875" s="7"/>
    </row>
    <row r="876">
      <c r="I876" s="7"/>
      <c r="J876" s="7"/>
      <c r="K876" s="7"/>
      <c r="L876" s="7"/>
      <c r="M876" s="7"/>
      <c r="N876" s="7"/>
      <c r="O876" s="7"/>
    </row>
    <row r="877">
      <c r="I877" s="7"/>
      <c r="J877" s="7"/>
      <c r="K877" s="7"/>
      <c r="L877" s="7"/>
      <c r="M877" s="7"/>
      <c r="N877" s="7"/>
      <c r="O877" s="7"/>
    </row>
    <row r="878">
      <c r="I878" s="7"/>
      <c r="J878" s="7"/>
      <c r="K878" s="7"/>
      <c r="L878" s="7"/>
      <c r="M878" s="7"/>
      <c r="N878" s="7"/>
      <c r="O878" s="7"/>
    </row>
    <row r="879">
      <c r="I879" s="7"/>
      <c r="J879" s="7"/>
      <c r="K879" s="7"/>
      <c r="L879" s="7"/>
      <c r="M879" s="7"/>
      <c r="N879" s="7"/>
      <c r="O879" s="7"/>
    </row>
    <row r="880">
      <c r="I880" s="7"/>
      <c r="J880" s="7"/>
      <c r="K880" s="7"/>
      <c r="L880" s="7"/>
      <c r="M880" s="7"/>
      <c r="N880" s="7"/>
      <c r="O880" s="7"/>
    </row>
    <row r="881">
      <c r="I881" s="7"/>
      <c r="J881" s="7"/>
      <c r="K881" s="7"/>
      <c r="L881" s="7"/>
      <c r="M881" s="7"/>
      <c r="N881" s="7"/>
      <c r="O881" s="7"/>
    </row>
    <row r="882">
      <c r="I882" s="7"/>
      <c r="J882" s="7"/>
      <c r="K882" s="7"/>
      <c r="L882" s="7"/>
      <c r="M882" s="7"/>
      <c r="N882" s="7"/>
      <c r="O882" s="7"/>
    </row>
    <row r="883">
      <c r="I883" s="7"/>
      <c r="J883" s="7"/>
      <c r="K883" s="7"/>
      <c r="L883" s="7"/>
      <c r="M883" s="7"/>
      <c r="N883" s="7"/>
      <c r="O883" s="7"/>
    </row>
    <row r="884">
      <c r="I884" s="7"/>
      <c r="J884" s="7"/>
      <c r="K884" s="7"/>
      <c r="L884" s="7"/>
      <c r="M884" s="7"/>
      <c r="N884" s="7"/>
      <c r="O884" s="7"/>
    </row>
    <row r="885">
      <c r="I885" s="7"/>
      <c r="J885" s="7"/>
      <c r="K885" s="7"/>
      <c r="L885" s="7"/>
      <c r="M885" s="7"/>
      <c r="N885" s="7"/>
      <c r="O885" s="7"/>
    </row>
    <row r="886">
      <c r="I886" s="7"/>
      <c r="J886" s="7"/>
      <c r="K886" s="7"/>
      <c r="L886" s="7"/>
      <c r="M886" s="7"/>
      <c r="N886" s="7"/>
      <c r="O886" s="7"/>
    </row>
    <row r="887">
      <c r="I887" s="7"/>
      <c r="J887" s="7"/>
      <c r="K887" s="7"/>
      <c r="L887" s="7"/>
      <c r="M887" s="7"/>
      <c r="N887" s="7"/>
      <c r="O887" s="7"/>
    </row>
    <row r="888">
      <c r="I888" s="7"/>
      <c r="J888" s="7"/>
      <c r="K888" s="7"/>
      <c r="L888" s="7"/>
      <c r="M888" s="7"/>
      <c r="N888" s="7"/>
      <c r="O888" s="7"/>
    </row>
    <row r="889">
      <c r="I889" s="7"/>
      <c r="J889" s="7"/>
      <c r="K889" s="7"/>
      <c r="L889" s="7"/>
      <c r="M889" s="7"/>
      <c r="N889" s="7"/>
      <c r="O889" s="7"/>
    </row>
    <row r="890">
      <c r="I890" s="7"/>
      <c r="J890" s="7"/>
      <c r="K890" s="7"/>
      <c r="L890" s="7"/>
      <c r="M890" s="7"/>
      <c r="N890" s="7"/>
      <c r="O890" s="7"/>
    </row>
    <row r="891">
      <c r="I891" s="7"/>
      <c r="J891" s="7"/>
      <c r="K891" s="7"/>
      <c r="L891" s="7"/>
      <c r="M891" s="7"/>
      <c r="N891" s="7"/>
      <c r="O891" s="7"/>
    </row>
    <row r="892">
      <c r="I892" s="7"/>
      <c r="J892" s="7"/>
      <c r="K892" s="7"/>
      <c r="L892" s="7"/>
      <c r="M892" s="7"/>
      <c r="N892" s="7"/>
      <c r="O892" s="7"/>
    </row>
    <row r="893">
      <c r="I893" s="7"/>
      <c r="J893" s="7"/>
      <c r="K893" s="7"/>
      <c r="L893" s="7"/>
      <c r="M893" s="7"/>
      <c r="N893" s="7"/>
      <c r="O893" s="7"/>
    </row>
    <row r="894">
      <c r="I894" s="7"/>
      <c r="J894" s="7"/>
      <c r="K894" s="7"/>
      <c r="L894" s="7"/>
      <c r="M894" s="7"/>
      <c r="N894" s="7"/>
      <c r="O894" s="7"/>
    </row>
    <row r="895">
      <c r="I895" s="7"/>
      <c r="J895" s="7"/>
      <c r="K895" s="7"/>
      <c r="L895" s="7"/>
      <c r="M895" s="7"/>
      <c r="N895" s="7"/>
      <c r="O895" s="7"/>
    </row>
    <row r="896">
      <c r="I896" s="7"/>
      <c r="J896" s="7"/>
      <c r="K896" s="7"/>
      <c r="L896" s="7"/>
      <c r="M896" s="7"/>
      <c r="N896" s="7"/>
      <c r="O896" s="7"/>
    </row>
    <row r="897">
      <c r="I897" s="7"/>
      <c r="J897" s="7"/>
      <c r="K897" s="7"/>
      <c r="L897" s="7"/>
      <c r="M897" s="7"/>
      <c r="N897" s="7"/>
      <c r="O897" s="7"/>
    </row>
    <row r="898">
      <c r="I898" s="7"/>
      <c r="J898" s="7"/>
      <c r="K898" s="7"/>
      <c r="L898" s="7"/>
      <c r="M898" s="7"/>
      <c r="N898" s="7"/>
      <c r="O898" s="7"/>
    </row>
    <row r="899">
      <c r="I899" s="7"/>
      <c r="J899" s="7"/>
      <c r="K899" s="7"/>
      <c r="L899" s="7"/>
      <c r="M899" s="7"/>
      <c r="N899" s="7"/>
      <c r="O899" s="7"/>
    </row>
    <row r="900">
      <c r="I900" s="7"/>
      <c r="J900" s="7"/>
      <c r="K900" s="7"/>
      <c r="L900" s="7"/>
      <c r="M900" s="7"/>
      <c r="N900" s="7"/>
      <c r="O900" s="7"/>
    </row>
    <row r="901">
      <c r="I901" s="7"/>
      <c r="J901" s="7"/>
      <c r="K901" s="7"/>
      <c r="L901" s="7"/>
      <c r="M901" s="7"/>
      <c r="N901" s="7"/>
      <c r="O901" s="7"/>
    </row>
    <row r="902">
      <c r="I902" s="7"/>
      <c r="J902" s="7"/>
      <c r="K902" s="7"/>
      <c r="L902" s="7"/>
      <c r="M902" s="7"/>
      <c r="N902" s="7"/>
      <c r="O902" s="7"/>
    </row>
    <row r="903">
      <c r="I903" s="7"/>
      <c r="J903" s="7"/>
      <c r="K903" s="7"/>
      <c r="L903" s="7"/>
      <c r="M903" s="7"/>
      <c r="N903" s="7"/>
      <c r="O903" s="7"/>
    </row>
    <row r="904">
      <c r="I904" s="7"/>
      <c r="J904" s="7"/>
      <c r="K904" s="7"/>
      <c r="L904" s="7"/>
      <c r="M904" s="7"/>
      <c r="N904" s="7"/>
      <c r="O904" s="7"/>
    </row>
    <row r="905">
      <c r="I905" s="7"/>
      <c r="J905" s="7"/>
      <c r="K905" s="7"/>
      <c r="L905" s="7"/>
      <c r="M905" s="7"/>
      <c r="N905" s="7"/>
      <c r="O905" s="7"/>
    </row>
    <row r="906">
      <c r="I906" s="7"/>
      <c r="J906" s="7"/>
      <c r="K906" s="7"/>
      <c r="L906" s="7"/>
      <c r="M906" s="7"/>
      <c r="N906" s="7"/>
      <c r="O906" s="7"/>
    </row>
    <row r="907">
      <c r="I907" s="7"/>
      <c r="J907" s="7"/>
      <c r="K907" s="7"/>
      <c r="L907" s="7"/>
      <c r="M907" s="7"/>
      <c r="N907" s="7"/>
      <c r="O907" s="7"/>
    </row>
    <row r="908">
      <c r="I908" s="7"/>
      <c r="J908" s="7"/>
      <c r="K908" s="7"/>
      <c r="L908" s="7"/>
      <c r="M908" s="7"/>
      <c r="N908" s="7"/>
      <c r="O908" s="7"/>
    </row>
    <row r="909">
      <c r="I909" s="7"/>
      <c r="J909" s="7"/>
      <c r="K909" s="7"/>
      <c r="L909" s="7"/>
      <c r="M909" s="7"/>
      <c r="N909" s="7"/>
      <c r="O909" s="7"/>
    </row>
    <row r="910">
      <c r="I910" s="7"/>
      <c r="J910" s="7"/>
      <c r="K910" s="7"/>
      <c r="L910" s="7"/>
      <c r="M910" s="7"/>
      <c r="N910" s="7"/>
      <c r="O910" s="7"/>
    </row>
    <row r="911">
      <c r="I911" s="7"/>
      <c r="J911" s="7"/>
      <c r="K911" s="7"/>
      <c r="L911" s="7"/>
      <c r="M911" s="7"/>
      <c r="N911" s="7"/>
      <c r="O911" s="7"/>
    </row>
    <row r="912">
      <c r="I912" s="7"/>
      <c r="J912" s="7"/>
      <c r="K912" s="7"/>
      <c r="L912" s="7"/>
      <c r="M912" s="7"/>
      <c r="N912" s="7"/>
      <c r="O912" s="7"/>
    </row>
    <row r="913">
      <c r="I913" s="7"/>
      <c r="J913" s="7"/>
      <c r="K913" s="7"/>
      <c r="L913" s="7"/>
      <c r="M913" s="7"/>
      <c r="N913" s="7"/>
      <c r="O913" s="7"/>
    </row>
    <row r="914">
      <c r="I914" s="7"/>
      <c r="J914" s="7"/>
      <c r="K914" s="7"/>
      <c r="L914" s="7"/>
      <c r="M914" s="7"/>
      <c r="N914" s="7"/>
      <c r="O914" s="7"/>
    </row>
    <row r="915">
      <c r="I915" s="7"/>
      <c r="J915" s="7"/>
      <c r="K915" s="7"/>
      <c r="L915" s="7"/>
      <c r="M915" s="7"/>
      <c r="N915" s="7"/>
      <c r="O915" s="7"/>
    </row>
    <row r="916">
      <c r="I916" s="7"/>
      <c r="J916" s="7"/>
      <c r="K916" s="7"/>
      <c r="L916" s="7"/>
      <c r="M916" s="7"/>
      <c r="N916" s="7"/>
      <c r="O916" s="7"/>
    </row>
    <row r="917">
      <c r="I917" s="7"/>
      <c r="J917" s="7"/>
      <c r="K917" s="7"/>
      <c r="L917" s="7"/>
      <c r="M917" s="7"/>
      <c r="N917" s="7"/>
      <c r="O917" s="7"/>
    </row>
    <row r="918">
      <c r="I918" s="7"/>
      <c r="J918" s="7"/>
      <c r="K918" s="7"/>
      <c r="L918" s="7"/>
      <c r="M918" s="7"/>
      <c r="N918" s="7"/>
      <c r="O918" s="7"/>
    </row>
    <row r="919">
      <c r="I919" s="7"/>
      <c r="J919" s="7"/>
      <c r="K919" s="7"/>
      <c r="L919" s="7"/>
      <c r="M919" s="7"/>
      <c r="N919" s="7"/>
      <c r="O919" s="7"/>
    </row>
    <row r="920">
      <c r="I920" s="7"/>
      <c r="J920" s="7"/>
      <c r="K920" s="7"/>
      <c r="L920" s="7"/>
      <c r="M920" s="7"/>
      <c r="N920" s="7"/>
      <c r="O920" s="7"/>
    </row>
    <row r="921">
      <c r="I921" s="7"/>
      <c r="J921" s="7"/>
      <c r="K921" s="7"/>
      <c r="L921" s="7"/>
      <c r="M921" s="7"/>
      <c r="N921" s="7"/>
      <c r="O921" s="7"/>
    </row>
    <row r="922">
      <c r="I922" s="7"/>
      <c r="J922" s="7"/>
      <c r="K922" s="7"/>
      <c r="L922" s="7"/>
      <c r="M922" s="7"/>
      <c r="N922" s="7"/>
      <c r="O922" s="7"/>
    </row>
    <row r="923">
      <c r="I923" s="7"/>
      <c r="J923" s="7"/>
      <c r="K923" s="7"/>
      <c r="L923" s="7"/>
      <c r="M923" s="7"/>
      <c r="N923" s="7"/>
      <c r="O923" s="7"/>
    </row>
    <row r="924">
      <c r="I924" s="7"/>
      <c r="J924" s="7"/>
      <c r="K924" s="7"/>
      <c r="L924" s="7"/>
      <c r="M924" s="7"/>
      <c r="N924" s="7"/>
      <c r="O924" s="7"/>
    </row>
    <row r="925">
      <c r="I925" s="7"/>
      <c r="J925" s="7"/>
      <c r="K925" s="7"/>
      <c r="L925" s="7"/>
      <c r="M925" s="7"/>
      <c r="N925" s="7"/>
      <c r="O925" s="7"/>
    </row>
    <row r="926">
      <c r="I926" s="7"/>
      <c r="J926" s="7"/>
      <c r="K926" s="7"/>
      <c r="L926" s="7"/>
      <c r="M926" s="7"/>
      <c r="N926" s="7"/>
      <c r="O926" s="7"/>
    </row>
    <row r="927">
      <c r="I927" s="7"/>
      <c r="J927" s="7"/>
      <c r="K927" s="7"/>
      <c r="L927" s="7"/>
      <c r="M927" s="7"/>
      <c r="N927" s="7"/>
      <c r="O927" s="7"/>
    </row>
    <row r="928">
      <c r="I928" s="7"/>
      <c r="J928" s="7"/>
      <c r="K928" s="7"/>
      <c r="L928" s="7"/>
      <c r="M928" s="7"/>
      <c r="N928" s="7"/>
      <c r="O928" s="7"/>
    </row>
    <row r="929">
      <c r="I929" s="7"/>
      <c r="J929" s="7"/>
      <c r="K929" s="7"/>
      <c r="L929" s="7"/>
      <c r="M929" s="7"/>
      <c r="N929" s="7"/>
      <c r="O929" s="7"/>
    </row>
    <row r="930">
      <c r="I930" s="7"/>
      <c r="J930" s="7"/>
      <c r="K930" s="7"/>
      <c r="L930" s="7"/>
      <c r="M930" s="7"/>
      <c r="N930" s="7"/>
      <c r="O930" s="7"/>
    </row>
    <row r="931">
      <c r="I931" s="7"/>
      <c r="J931" s="7"/>
      <c r="K931" s="7"/>
      <c r="L931" s="7"/>
      <c r="M931" s="7"/>
      <c r="N931" s="7"/>
      <c r="O931" s="7"/>
    </row>
    <row r="932">
      <c r="I932" s="7"/>
      <c r="J932" s="7"/>
      <c r="K932" s="7"/>
      <c r="L932" s="7"/>
      <c r="M932" s="7"/>
      <c r="N932" s="7"/>
      <c r="O932" s="7"/>
    </row>
    <row r="933">
      <c r="I933" s="7"/>
      <c r="J933" s="7"/>
      <c r="K933" s="7"/>
      <c r="L933" s="7"/>
      <c r="M933" s="7"/>
      <c r="N933" s="7"/>
      <c r="O933" s="7"/>
    </row>
    <row r="934">
      <c r="I934" s="7"/>
      <c r="J934" s="7"/>
      <c r="K934" s="7"/>
      <c r="L934" s="7"/>
      <c r="M934" s="7"/>
      <c r="N934" s="7"/>
      <c r="O934" s="7"/>
    </row>
    <row r="935">
      <c r="I935" s="7"/>
      <c r="J935" s="7"/>
      <c r="K935" s="7"/>
      <c r="L935" s="7"/>
      <c r="M935" s="7"/>
      <c r="N935" s="7"/>
      <c r="O935" s="7"/>
    </row>
    <row r="936">
      <c r="I936" s="7"/>
      <c r="J936" s="7"/>
      <c r="K936" s="7"/>
      <c r="L936" s="7"/>
      <c r="M936" s="7"/>
      <c r="N936" s="7"/>
      <c r="O936" s="7"/>
    </row>
    <row r="937">
      <c r="I937" s="7"/>
      <c r="J937" s="7"/>
      <c r="K937" s="7"/>
      <c r="L937" s="7"/>
      <c r="M937" s="7"/>
      <c r="N937" s="7"/>
      <c r="O937" s="7"/>
    </row>
    <row r="938">
      <c r="I938" s="7"/>
      <c r="J938" s="7"/>
      <c r="K938" s="7"/>
      <c r="L938" s="7"/>
      <c r="M938" s="7"/>
      <c r="N938" s="7"/>
      <c r="O938" s="7"/>
    </row>
    <row r="939">
      <c r="I939" s="7"/>
      <c r="J939" s="7"/>
      <c r="K939" s="7"/>
      <c r="L939" s="7"/>
      <c r="M939" s="7"/>
      <c r="N939" s="7"/>
      <c r="O939" s="7"/>
    </row>
    <row r="940">
      <c r="I940" s="7"/>
      <c r="J940" s="7"/>
      <c r="K940" s="7"/>
      <c r="L940" s="7"/>
      <c r="M940" s="7"/>
      <c r="N940" s="7"/>
      <c r="O940" s="7"/>
    </row>
    <row r="941">
      <c r="I941" s="7"/>
      <c r="J941" s="7"/>
      <c r="K941" s="7"/>
      <c r="L941" s="7"/>
      <c r="M941" s="7"/>
      <c r="N941" s="7"/>
      <c r="O941" s="7"/>
    </row>
    <row r="942">
      <c r="I942" s="7"/>
      <c r="J942" s="7"/>
      <c r="K942" s="7"/>
      <c r="L942" s="7"/>
      <c r="M942" s="7"/>
      <c r="N942" s="7"/>
      <c r="O942" s="7"/>
    </row>
    <row r="943">
      <c r="I943" s="7"/>
      <c r="J943" s="7"/>
      <c r="K943" s="7"/>
      <c r="L943" s="7"/>
      <c r="M943" s="7"/>
      <c r="N943" s="7"/>
      <c r="O943" s="7"/>
    </row>
    <row r="944">
      <c r="I944" s="7"/>
      <c r="J944" s="7"/>
      <c r="K944" s="7"/>
      <c r="L944" s="7"/>
      <c r="M944" s="7"/>
      <c r="N944" s="7"/>
      <c r="O944" s="7"/>
    </row>
    <row r="945">
      <c r="I945" s="7"/>
      <c r="J945" s="7"/>
      <c r="K945" s="7"/>
      <c r="L945" s="7"/>
      <c r="M945" s="7"/>
      <c r="N945" s="7"/>
      <c r="O945" s="7"/>
    </row>
    <row r="946">
      <c r="I946" s="7"/>
      <c r="J946" s="7"/>
      <c r="K946" s="7"/>
      <c r="L946" s="7"/>
      <c r="M946" s="7"/>
      <c r="N946" s="7"/>
      <c r="O946" s="7"/>
    </row>
    <row r="947">
      <c r="I947" s="7"/>
      <c r="J947" s="7"/>
      <c r="K947" s="7"/>
      <c r="L947" s="7"/>
      <c r="M947" s="7"/>
      <c r="N947" s="7"/>
      <c r="O947" s="7"/>
    </row>
    <row r="948">
      <c r="I948" s="7"/>
      <c r="J948" s="7"/>
      <c r="K948" s="7"/>
      <c r="L948" s="7"/>
      <c r="M948" s="7"/>
      <c r="N948" s="7"/>
      <c r="O948" s="7"/>
    </row>
    <row r="949">
      <c r="I949" s="7"/>
      <c r="J949" s="7"/>
      <c r="K949" s="7"/>
      <c r="L949" s="7"/>
      <c r="M949" s="7"/>
      <c r="N949" s="7"/>
      <c r="O949" s="7"/>
    </row>
    <row r="950">
      <c r="I950" s="7"/>
      <c r="J950" s="7"/>
      <c r="K950" s="7"/>
      <c r="L950" s="7"/>
      <c r="M950" s="7"/>
      <c r="N950" s="7"/>
      <c r="O950" s="7"/>
    </row>
    <row r="951">
      <c r="I951" s="7"/>
      <c r="J951" s="7"/>
      <c r="K951" s="7"/>
      <c r="L951" s="7"/>
      <c r="M951" s="7"/>
      <c r="N951" s="7"/>
      <c r="O951" s="7"/>
    </row>
    <row r="952">
      <c r="I952" s="7"/>
      <c r="J952" s="7"/>
      <c r="K952" s="7"/>
      <c r="L952" s="7"/>
      <c r="M952" s="7"/>
      <c r="N952" s="7"/>
      <c r="O952" s="7"/>
    </row>
    <row r="953">
      <c r="I953" s="7"/>
      <c r="J953" s="7"/>
      <c r="K953" s="7"/>
      <c r="L953" s="7"/>
      <c r="M953" s="7"/>
      <c r="N953" s="7"/>
      <c r="O953" s="7"/>
    </row>
    <row r="954">
      <c r="I954" s="7"/>
      <c r="J954" s="7"/>
      <c r="K954" s="7"/>
      <c r="L954" s="7"/>
      <c r="M954" s="7"/>
      <c r="N954" s="7"/>
      <c r="O954" s="7"/>
    </row>
    <row r="955">
      <c r="I955" s="7"/>
      <c r="J955" s="7"/>
      <c r="K955" s="7"/>
      <c r="L955" s="7"/>
      <c r="M955" s="7"/>
      <c r="N955" s="7"/>
      <c r="O955" s="7"/>
    </row>
    <row r="956">
      <c r="I956" s="7"/>
      <c r="J956" s="7"/>
      <c r="K956" s="7"/>
      <c r="L956" s="7"/>
      <c r="M956" s="7"/>
      <c r="N956" s="7"/>
      <c r="O956" s="7"/>
    </row>
    <row r="957">
      <c r="I957" s="7"/>
      <c r="J957" s="7"/>
      <c r="K957" s="7"/>
      <c r="L957" s="7"/>
      <c r="M957" s="7"/>
      <c r="N957" s="7"/>
      <c r="O957" s="7"/>
    </row>
    <row r="958">
      <c r="I958" s="7"/>
      <c r="J958" s="7"/>
      <c r="K958" s="7"/>
      <c r="L958" s="7"/>
      <c r="M958" s="7"/>
      <c r="N958" s="7"/>
      <c r="O958" s="7"/>
    </row>
    <row r="959">
      <c r="I959" s="7"/>
      <c r="J959" s="7"/>
      <c r="K959" s="7"/>
      <c r="L959" s="7"/>
      <c r="M959" s="7"/>
      <c r="N959" s="7"/>
      <c r="O959" s="7"/>
    </row>
    <row r="960">
      <c r="I960" s="7"/>
      <c r="J960" s="7"/>
      <c r="K960" s="7"/>
      <c r="L960" s="7"/>
      <c r="M960" s="7"/>
      <c r="N960" s="7"/>
      <c r="O960" s="7"/>
    </row>
    <row r="961">
      <c r="I961" s="7"/>
      <c r="J961" s="7"/>
      <c r="K961" s="7"/>
      <c r="L961" s="7"/>
      <c r="M961" s="7"/>
      <c r="N961" s="7"/>
      <c r="O961" s="7"/>
    </row>
    <row r="962">
      <c r="I962" s="7"/>
      <c r="J962" s="7"/>
      <c r="K962" s="7"/>
      <c r="L962" s="7"/>
      <c r="M962" s="7"/>
      <c r="N962" s="7"/>
      <c r="O962" s="7"/>
    </row>
    <row r="963">
      <c r="I963" s="7"/>
      <c r="J963" s="7"/>
      <c r="K963" s="7"/>
      <c r="L963" s="7"/>
      <c r="M963" s="7"/>
      <c r="N963" s="7"/>
      <c r="O963" s="7"/>
    </row>
    <row r="964">
      <c r="I964" s="7"/>
      <c r="J964" s="7"/>
      <c r="K964" s="7"/>
      <c r="L964" s="7"/>
      <c r="M964" s="7"/>
      <c r="N964" s="7"/>
      <c r="O964" s="7"/>
    </row>
    <row r="965">
      <c r="I965" s="7"/>
      <c r="J965" s="7"/>
      <c r="K965" s="7"/>
      <c r="L965" s="7"/>
      <c r="M965" s="7"/>
      <c r="N965" s="7"/>
      <c r="O965" s="7"/>
    </row>
    <row r="966">
      <c r="I966" s="7"/>
      <c r="J966" s="7"/>
      <c r="K966" s="7"/>
      <c r="L966" s="7"/>
      <c r="M966" s="7"/>
      <c r="N966" s="7"/>
      <c r="O966" s="7"/>
    </row>
    <row r="967">
      <c r="I967" s="7"/>
      <c r="J967" s="7"/>
      <c r="K967" s="7"/>
      <c r="L967" s="7"/>
      <c r="M967" s="7"/>
      <c r="N967" s="7"/>
      <c r="O967" s="7"/>
    </row>
    <row r="968">
      <c r="I968" s="7"/>
      <c r="J968" s="7"/>
      <c r="K968" s="7"/>
      <c r="L968" s="7"/>
      <c r="M968" s="7"/>
      <c r="N968" s="7"/>
      <c r="O968" s="7"/>
    </row>
    <row r="969">
      <c r="I969" s="7"/>
      <c r="J969" s="7"/>
      <c r="K969" s="7"/>
      <c r="L969" s="7"/>
      <c r="M969" s="7"/>
      <c r="N969" s="7"/>
      <c r="O969" s="7"/>
    </row>
    <row r="970">
      <c r="I970" s="7"/>
      <c r="J970" s="7"/>
      <c r="K970" s="7"/>
      <c r="L970" s="7"/>
      <c r="M970" s="7"/>
      <c r="N970" s="7"/>
      <c r="O970" s="7"/>
    </row>
    <row r="971">
      <c r="I971" s="7"/>
      <c r="J971" s="7"/>
      <c r="K971" s="7"/>
      <c r="L971" s="7"/>
      <c r="M971" s="7"/>
      <c r="N971" s="7"/>
      <c r="O971" s="7"/>
    </row>
    <row r="972">
      <c r="I972" s="7"/>
      <c r="J972" s="7"/>
      <c r="K972" s="7"/>
      <c r="L972" s="7"/>
      <c r="M972" s="7"/>
      <c r="N972" s="7"/>
      <c r="O972" s="7"/>
    </row>
    <row r="973">
      <c r="I973" s="7"/>
      <c r="J973" s="7"/>
      <c r="K973" s="7"/>
      <c r="L973" s="7"/>
      <c r="M973" s="7"/>
      <c r="N973" s="7"/>
      <c r="O973" s="7"/>
    </row>
    <row r="974">
      <c r="I974" s="7"/>
      <c r="J974" s="7"/>
      <c r="K974" s="7"/>
      <c r="L974" s="7"/>
      <c r="M974" s="7"/>
      <c r="N974" s="7"/>
      <c r="O974" s="7"/>
    </row>
    <row r="975">
      <c r="I975" s="7"/>
      <c r="J975" s="7"/>
      <c r="K975" s="7"/>
      <c r="L975" s="7"/>
      <c r="M975" s="7"/>
      <c r="N975" s="7"/>
      <c r="O975" s="7"/>
    </row>
    <row r="976">
      <c r="I976" s="7"/>
      <c r="J976" s="7"/>
      <c r="K976" s="7"/>
      <c r="L976" s="7"/>
      <c r="M976" s="7"/>
      <c r="N976" s="7"/>
      <c r="O976" s="7"/>
    </row>
    <row r="977">
      <c r="I977" s="7"/>
      <c r="J977" s="7"/>
      <c r="K977" s="7"/>
      <c r="L977" s="7"/>
      <c r="M977" s="7"/>
      <c r="N977" s="7"/>
      <c r="O977" s="7"/>
    </row>
    <row r="978">
      <c r="I978" s="7"/>
      <c r="J978" s="7"/>
      <c r="K978" s="7"/>
      <c r="L978" s="7"/>
      <c r="M978" s="7"/>
      <c r="N978" s="7"/>
      <c r="O978" s="7"/>
    </row>
    <row r="979">
      <c r="I979" s="7"/>
      <c r="J979" s="7"/>
      <c r="K979" s="7"/>
      <c r="L979" s="7"/>
      <c r="M979" s="7"/>
      <c r="N979" s="7"/>
      <c r="O979" s="7"/>
    </row>
    <row r="980">
      <c r="I980" s="7"/>
      <c r="J980" s="7"/>
      <c r="K980" s="7"/>
      <c r="L980" s="7"/>
      <c r="M980" s="7"/>
      <c r="N980" s="7"/>
      <c r="O980" s="7"/>
    </row>
    <row r="981">
      <c r="I981" s="7"/>
      <c r="J981" s="7"/>
      <c r="K981" s="7"/>
      <c r="L981" s="7"/>
      <c r="M981" s="7"/>
      <c r="N981" s="7"/>
      <c r="O981" s="7"/>
    </row>
    <row r="982">
      <c r="I982" s="7"/>
      <c r="J982" s="7"/>
      <c r="K982" s="7"/>
      <c r="L982" s="7"/>
      <c r="M982" s="7"/>
      <c r="N982" s="7"/>
      <c r="O982" s="7"/>
    </row>
    <row r="983">
      <c r="I983" s="7"/>
      <c r="J983" s="7"/>
      <c r="K983" s="7"/>
      <c r="L983" s="7"/>
      <c r="M983" s="7"/>
      <c r="N983" s="7"/>
      <c r="O983" s="7"/>
    </row>
    <row r="984">
      <c r="I984" s="7"/>
      <c r="J984" s="7"/>
      <c r="K984" s="7"/>
      <c r="L984" s="7"/>
      <c r="M984" s="7"/>
      <c r="N984" s="7"/>
      <c r="O984" s="7"/>
    </row>
    <row r="985">
      <c r="I985" s="7"/>
      <c r="J985" s="7"/>
      <c r="K985" s="7"/>
      <c r="L985" s="7"/>
      <c r="M985" s="7"/>
      <c r="N985" s="7"/>
      <c r="O985" s="7"/>
    </row>
    <row r="986">
      <c r="I986" s="7"/>
      <c r="J986" s="7"/>
      <c r="K986" s="7"/>
      <c r="L986" s="7"/>
      <c r="M986" s="7"/>
      <c r="N986" s="7"/>
      <c r="O986" s="7"/>
    </row>
    <row r="987">
      <c r="I987" s="7"/>
      <c r="J987" s="7"/>
      <c r="K987" s="7"/>
      <c r="L987" s="7"/>
      <c r="M987" s="7"/>
      <c r="N987" s="7"/>
      <c r="O987" s="7"/>
    </row>
    <row r="988">
      <c r="I988" s="7"/>
      <c r="J988" s="7"/>
      <c r="K988" s="7"/>
      <c r="L988" s="7"/>
      <c r="M988" s="7"/>
      <c r="N988" s="7"/>
      <c r="O988" s="7"/>
    </row>
    <row r="989">
      <c r="I989" s="7"/>
      <c r="J989" s="7"/>
      <c r="K989" s="7"/>
      <c r="L989" s="7"/>
      <c r="M989" s="7"/>
      <c r="N989" s="7"/>
      <c r="O989" s="7"/>
    </row>
    <row r="990">
      <c r="I990" s="7"/>
      <c r="J990" s="7"/>
      <c r="K990" s="7"/>
      <c r="L990" s="7"/>
      <c r="M990" s="7"/>
      <c r="N990" s="7"/>
      <c r="O990" s="7"/>
    </row>
    <row r="991">
      <c r="I991" s="7"/>
      <c r="J991" s="7"/>
      <c r="K991" s="7"/>
      <c r="L991" s="7"/>
      <c r="M991" s="7"/>
      <c r="N991" s="7"/>
      <c r="O991" s="7"/>
    </row>
    <row r="992">
      <c r="I992" s="7"/>
      <c r="J992" s="7"/>
      <c r="K992" s="7"/>
      <c r="L992" s="7"/>
      <c r="M992" s="7"/>
      <c r="N992" s="7"/>
      <c r="O992" s="7"/>
    </row>
    <row r="993">
      <c r="I993" s="7"/>
      <c r="J993" s="7"/>
      <c r="K993" s="7"/>
      <c r="L993" s="7"/>
      <c r="M993" s="7"/>
      <c r="N993" s="7"/>
      <c r="O993" s="7"/>
    </row>
    <row r="994">
      <c r="I994" s="7"/>
      <c r="J994" s="7"/>
      <c r="K994" s="7"/>
      <c r="L994" s="7"/>
      <c r="M994" s="7"/>
      <c r="N994" s="7"/>
      <c r="O994" s="7"/>
    </row>
    <row r="995">
      <c r="I995" s="7"/>
      <c r="J995" s="7"/>
      <c r="K995" s="7"/>
      <c r="L995" s="7"/>
      <c r="M995" s="7"/>
      <c r="N995" s="7"/>
      <c r="O995" s="7"/>
    </row>
    <row r="996">
      <c r="I996" s="7"/>
      <c r="J996" s="7"/>
      <c r="K996" s="7"/>
      <c r="L996" s="7"/>
      <c r="M996" s="7"/>
      <c r="N996" s="7"/>
      <c r="O996" s="7"/>
    </row>
    <row r="997">
      <c r="I997" s="7"/>
      <c r="J997" s="7"/>
      <c r="K997" s="7"/>
      <c r="L997" s="7"/>
      <c r="M997" s="7"/>
      <c r="N997" s="7"/>
      <c r="O997" s="7"/>
    </row>
    <row r="998">
      <c r="I998" s="7"/>
      <c r="J998" s="7"/>
      <c r="K998" s="7"/>
      <c r="L998" s="7"/>
      <c r="M998" s="7"/>
      <c r="N998" s="7"/>
      <c r="O998" s="7"/>
    </row>
    <row r="999">
      <c r="I999" s="7"/>
      <c r="J999" s="7"/>
      <c r="K999" s="7"/>
      <c r="L999" s="7"/>
      <c r="M999" s="7"/>
      <c r="N999" s="7"/>
      <c r="O999" s="7"/>
    </row>
    <row r="1000">
      <c r="I1000" s="7"/>
      <c r="J1000" s="7"/>
      <c r="K1000" s="7"/>
      <c r="L1000" s="7"/>
      <c r="M1000" s="7"/>
      <c r="N1000" s="7"/>
      <c r="O1000" s="7"/>
    </row>
    <row r="1001">
      <c r="I1001" s="7"/>
      <c r="J1001" s="7"/>
      <c r="K1001" s="7"/>
      <c r="L1001" s="7"/>
      <c r="M1001" s="7"/>
      <c r="N1001" s="7"/>
      <c r="O1001" s="7"/>
    </row>
    <row r="1002">
      <c r="I1002" s="7"/>
      <c r="J1002" s="7"/>
      <c r="K1002" s="7"/>
      <c r="L1002" s="7"/>
      <c r="M1002" s="7"/>
      <c r="N1002" s="7"/>
      <c r="O1002" s="7"/>
    </row>
    <row r="1003">
      <c r="I1003" s="7"/>
      <c r="J1003" s="7"/>
      <c r="K1003" s="7"/>
      <c r="L1003" s="7"/>
      <c r="M1003" s="7"/>
      <c r="N1003" s="7"/>
      <c r="O1003" s="7"/>
    </row>
    <row r="1004">
      <c r="I1004" s="7"/>
      <c r="J1004" s="7"/>
      <c r="K1004" s="7"/>
      <c r="L1004" s="7"/>
      <c r="M1004" s="7"/>
      <c r="N1004" s="7"/>
      <c r="O1004" s="7"/>
    </row>
    <row r="1005">
      <c r="I1005" s="7"/>
      <c r="J1005" s="7"/>
      <c r="K1005" s="7"/>
      <c r="L1005" s="7"/>
      <c r="M1005" s="7"/>
      <c r="N1005" s="7"/>
      <c r="O1005" s="7"/>
    </row>
    <row r="1006">
      <c r="I1006" s="7"/>
      <c r="J1006" s="7"/>
      <c r="K1006" s="7"/>
      <c r="L1006" s="7"/>
      <c r="M1006" s="7"/>
      <c r="N1006" s="7"/>
      <c r="O1006" s="7"/>
    </row>
    <row r="1007">
      <c r="I1007" s="7"/>
      <c r="J1007" s="7"/>
      <c r="K1007" s="7"/>
      <c r="L1007" s="7"/>
      <c r="M1007" s="7"/>
      <c r="N1007" s="7"/>
      <c r="O1007" s="7"/>
    </row>
    <row r="1008">
      <c r="I1008" s="7"/>
      <c r="J1008" s="7"/>
      <c r="K1008" s="7"/>
      <c r="L1008" s="7"/>
      <c r="M1008" s="7"/>
      <c r="N1008" s="7"/>
      <c r="O1008" s="7"/>
    </row>
    <row r="1009">
      <c r="I1009" s="7"/>
      <c r="J1009" s="7"/>
      <c r="K1009" s="7"/>
      <c r="L1009" s="7"/>
      <c r="M1009" s="7"/>
      <c r="N1009" s="7"/>
      <c r="O1009" s="7"/>
    </row>
    <row r="1010">
      <c r="I1010" s="7"/>
      <c r="J1010" s="7"/>
      <c r="K1010" s="7"/>
      <c r="L1010" s="7"/>
      <c r="M1010" s="7"/>
      <c r="N1010" s="7"/>
      <c r="O1010" s="7"/>
    </row>
    <row r="1011">
      <c r="I1011" s="7"/>
      <c r="J1011" s="7"/>
      <c r="K1011" s="7"/>
      <c r="L1011" s="7"/>
      <c r="M1011" s="7"/>
      <c r="N1011" s="7"/>
      <c r="O1011" s="7"/>
    </row>
    <row r="1012">
      <c r="I1012" s="7"/>
      <c r="J1012" s="7"/>
      <c r="K1012" s="7"/>
      <c r="L1012" s="7"/>
      <c r="M1012" s="7"/>
      <c r="N1012" s="7"/>
      <c r="O1012" s="7"/>
    </row>
    <row r="1013">
      <c r="I1013" s="7"/>
      <c r="J1013" s="7"/>
      <c r="K1013" s="7"/>
      <c r="L1013" s="7"/>
      <c r="M1013" s="7"/>
      <c r="N1013" s="7"/>
      <c r="O1013" s="7"/>
    </row>
  </sheetData>
  <mergeCells count="724">
    <mergeCell ref="D12:E12"/>
    <mergeCell ref="F12:H12"/>
    <mergeCell ref="B10:C10"/>
    <mergeCell ref="D10:E10"/>
    <mergeCell ref="F10:H10"/>
    <mergeCell ref="B11:C11"/>
    <mergeCell ref="D11:E11"/>
    <mergeCell ref="F11:H11"/>
    <mergeCell ref="B12:C12"/>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19:C19"/>
    <mergeCell ref="D19:E19"/>
    <mergeCell ref="F19:H19"/>
    <mergeCell ref="B20:C20"/>
    <mergeCell ref="D20:E20"/>
    <mergeCell ref="F20:H20"/>
    <mergeCell ref="B21:C21"/>
    <mergeCell ref="D24:E24"/>
    <mergeCell ref="F24:H24"/>
    <mergeCell ref="B22:C22"/>
    <mergeCell ref="D22:E22"/>
    <mergeCell ref="F22:H22"/>
    <mergeCell ref="B23:C23"/>
    <mergeCell ref="D23:E23"/>
    <mergeCell ref="F23:H23"/>
    <mergeCell ref="B24:C24"/>
    <mergeCell ref="D27:E27"/>
    <mergeCell ref="F27:H27"/>
    <mergeCell ref="B25:C25"/>
    <mergeCell ref="D25:E25"/>
    <mergeCell ref="F25:H25"/>
    <mergeCell ref="B26:C26"/>
    <mergeCell ref="D26:E26"/>
    <mergeCell ref="F26:H26"/>
    <mergeCell ref="B27:C27"/>
    <mergeCell ref="D30:E30"/>
    <mergeCell ref="F30:H30"/>
    <mergeCell ref="B28:C28"/>
    <mergeCell ref="D28:E28"/>
    <mergeCell ref="F28:H28"/>
    <mergeCell ref="B29:C29"/>
    <mergeCell ref="D29:E29"/>
    <mergeCell ref="F29:H29"/>
    <mergeCell ref="B30:C30"/>
    <mergeCell ref="D33:E33"/>
    <mergeCell ref="F33:H33"/>
    <mergeCell ref="B31:C31"/>
    <mergeCell ref="D31:E31"/>
    <mergeCell ref="F31:H31"/>
    <mergeCell ref="B32:C32"/>
    <mergeCell ref="D32:E32"/>
    <mergeCell ref="F32:H32"/>
    <mergeCell ref="B33:C33"/>
    <mergeCell ref="D36:E36"/>
    <mergeCell ref="F36:H36"/>
    <mergeCell ref="B34:C34"/>
    <mergeCell ref="D34:E34"/>
    <mergeCell ref="F34:H34"/>
    <mergeCell ref="B35:C35"/>
    <mergeCell ref="D35:E35"/>
    <mergeCell ref="F35:H35"/>
    <mergeCell ref="B36:C36"/>
    <mergeCell ref="D39:E39"/>
    <mergeCell ref="F39:H39"/>
    <mergeCell ref="B37:C37"/>
    <mergeCell ref="D37:E37"/>
    <mergeCell ref="F37:H37"/>
    <mergeCell ref="B38:C38"/>
    <mergeCell ref="D38:E38"/>
    <mergeCell ref="F38:H38"/>
    <mergeCell ref="B39:C39"/>
    <mergeCell ref="D42:E42"/>
    <mergeCell ref="F42:H42"/>
    <mergeCell ref="B40:C40"/>
    <mergeCell ref="D40:E40"/>
    <mergeCell ref="F40:H40"/>
    <mergeCell ref="B41:C41"/>
    <mergeCell ref="D41:E41"/>
    <mergeCell ref="F41:H41"/>
    <mergeCell ref="B42:C42"/>
    <mergeCell ref="D45:E45"/>
    <mergeCell ref="F45:H45"/>
    <mergeCell ref="B43:C43"/>
    <mergeCell ref="D43:E43"/>
    <mergeCell ref="F43:H43"/>
    <mergeCell ref="B44:C44"/>
    <mergeCell ref="D44:E44"/>
    <mergeCell ref="F44:H44"/>
    <mergeCell ref="B45:C45"/>
    <mergeCell ref="D48:E48"/>
    <mergeCell ref="F48:H48"/>
    <mergeCell ref="B46:C46"/>
    <mergeCell ref="D46:E46"/>
    <mergeCell ref="F46:H46"/>
    <mergeCell ref="B47:C47"/>
    <mergeCell ref="D47:E47"/>
    <mergeCell ref="F47:H47"/>
    <mergeCell ref="B48:C48"/>
    <mergeCell ref="D51:E51"/>
    <mergeCell ref="F51:H51"/>
    <mergeCell ref="B49:C49"/>
    <mergeCell ref="D49:E49"/>
    <mergeCell ref="F49:H49"/>
    <mergeCell ref="B50:C50"/>
    <mergeCell ref="D50:E50"/>
    <mergeCell ref="F50:H50"/>
    <mergeCell ref="B51:C51"/>
    <mergeCell ref="D54:E54"/>
    <mergeCell ref="F54:H54"/>
    <mergeCell ref="B52:C52"/>
    <mergeCell ref="D52:E52"/>
    <mergeCell ref="F52:H52"/>
    <mergeCell ref="B53:C53"/>
    <mergeCell ref="D53:E53"/>
    <mergeCell ref="F53:H53"/>
    <mergeCell ref="B54:C54"/>
    <mergeCell ref="D57:E57"/>
    <mergeCell ref="F57:H57"/>
    <mergeCell ref="B55:C55"/>
    <mergeCell ref="D55:E55"/>
    <mergeCell ref="F55:H55"/>
    <mergeCell ref="B56:C56"/>
    <mergeCell ref="D56:E56"/>
    <mergeCell ref="F56:H56"/>
    <mergeCell ref="B57:C57"/>
    <mergeCell ref="D60:E60"/>
    <mergeCell ref="F60:H60"/>
    <mergeCell ref="B58:C58"/>
    <mergeCell ref="D58:E58"/>
    <mergeCell ref="F58:H58"/>
    <mergeCell ref="B59:C59"/>
    <mergeCell ref="D59:E59"/>
    <mergeCell ref="F59:H59"/>
    <mergeCell ref="B60:C60"/>
    <mergeCell ref="D63:E63"/>
    <mergeCell ref="F63:H63"/>
    <mergeCell ref="B61:C61"/>
    <mergeCell ref="D61:E61"/>
    <mergeCell ref="F61:H61"/>
    <mergeCell ref="B62:C62"/>
    <mergeCell ref="D62:E62"/>
    <mergeCell ref="F62:H62"/>
    <mergeCell ref="B63:C63"/>
    <mergeCell ref="D66:E66"/>
    <mergeCell ref="F66:H66"/>
    <mergeCell ref="B64:C64"/>
    <mergeCell ref="D64:E64"/>
    <mergeCell ref="F64:H64"/>
    <mergeCell ref="B65:C65"/>
    <mergeCell ref="D65:E65"/>
    <mergeCell ref="F65:H65"/>
    <mergeCell ref="B66:C66"/>
    <mergeCell ref="D69:E69"/>
    <mergeCell ref="F69:H69"/>
    <mergeCell ref="B67:C67"/>
    <mergeCell ref="D67:E67"/>
    <mergeCell ref="F67:H67"/>
    <mergeCell ref="B68:C68"/>
    <mergeCell ref="D68:E68"/>
    <mergeCell ref="F68:H68"/>
    <mergeCell ref="B69:C69"/>
    <mergeCell ref="D72:E72"/>
    <mergeCell ref="F72:H72"/>
    <mergeCell ref="B70:C70"/>
    <mergeCell ref="D70:E70"/>
    <mergeCell ref="F70:H70"/>
    <mergeCell ref="B71:C71"/>
    <mergeCell ref="D71:E71"/>
    <mergeCell ref="F71:H71"/>
    <mergeCell ref="B72:C72"/>
    <mergeCell ref="D75:E75"/>
    <mergeCell ref="F75:H75"/>
    <mergeCell ref="B73:C73"/>
    <mergeCell ref="D73:E73"/>
    <mergeCell ref="F73:H73"/>
    <mergeCell ref="B74:C74"/>
    <mergeCell ref="D74:E74"/>
    <mergeCell ref="F74:H74"/>
    <mergeCell ref="B75:C75"/>
    <mergeCell ref="D78:E78"/>
    <mergeCell ref="F78:H78"/>
    <mergeCell ref="B76:C76"/>
    <mergeCell ref="D76:E76"/>
    <mergeCell ref="F76:H76"/>
    <mergeCell ref="B77:C77"/>
    <mergeCell ref="D77:E77"/>
    <mergeCell ref="F77:H77"/>
    <mergeCell ref="B78:C78"/>
    <mergeCell ref="D81:E81"/>
    <mergeCell ref="F81:H81"/>
    <mergeCell ref="B79:C79"/>
    <mergeCell ref="D79:E79"/>
    <mergeCell ref="F79:H79"/>
    <mergeCell ref="B80:C80"/>
    <mergeCell ref="D80:E80"/>
    <mergeCell ref="F80:H80"/>
    <mergeCell ref="B81:C81"/>
    <mergeCell ref="D84:E84"/>
    <mergeCell ref="F84:H84"/>
    <mergeCell ref="B82:C82"/>
    <mergeCell ref="D82:E82"/>
    <mergeCell ref="F82:H82"/>
    <mergeCell ref="B83:C83"/>
    <mergeCell ref="D83:E83"/>
    <mergeCell ref="F83:H83"/>
    <mergeCell ref="B84:C84"/>
    <mergeCell ref="D87:E87"/>
    <mergeCell ref="F87:H87"/>
    <mergeCell ref="B85:C85"/>
    <mergeCell ref="D85:E85"/>
    <mergeCell ref="F85:H85"/>
    <mergeCell ref="B86:C86"/>
    <mergeCell ref="D86:E86"/>
    <mergeCell ref="F86:H86"/>
    <mergeCell ref="B87:C87"/>
    <mergeCell ref="D90:E90"/>
    <mergeCell ref="F90:H90"/>
    <mergeCell ref="B88:C88"/>
    <mergeCell ref="D88:E88"/>
    <mergeCell ref="F88:H88"/>
    <mergeCell ref="B89:C89"/>
    <mergeCell ref="D89:E89"/>
    <mergeCell ref="F89:H89"/>
    <mergeCell ref="B90:C90"/>
    <mergeCell ref="D93:E93"/>
    <mergeCell ref="F93:H93"/>
    <mergeCell ref="B91:C91"/>
    <mergeCell ref="D91:E91"/>
    <mergeCell ref="F91:H91"/>
    <mergeCell ref="B92:C92"/>
    <mergeCell ref="D92:E92"/>
    <mergeCell ref="F92:H92"/>
    <mergeCell ref="B93:C93"/>
    <mergeCell ref="D96:E96"/>
    <mergeCell ref="F96:H96"/>
    <mergeCell ref="B94:C94"/>
    <mergeCell ref="D94:E94"/>
    <mergeCell ref="F94:H94"/>
    <mergeCell ref="B95:C95"/>
    <mergeCell ref="D95:E95"/>
    <mergeCell ref="F95:H95"/>
    <mergeCell ref="B96:C96"/>
    <mergeCell ref="D99:E99"/>
    <mergeCell ref="F99:H99"/>
    <mergeCell ref="B97:C97"/>
    <mergeCell ref="D97:E97"/>
    <mergeCell ref="F97:H97"/>
    <mergeCell ref="B98:C98"/>
    <mergeCell ref="D98:E98"/>
    <mergeCell ref="F98:H98"/>
    <mergeCell ref="B99:C99"/>
    <mergeCell ref="D102:E102"/>
    <mergeCell ref="F102:H102"/>
    <mergeCell ref="B100:C100"/>
    <mergeCell ref="D100:E100"/>
    <mergeCell ref="F100:H100"/>
    <mergeCell ref="B101:C101"/>
    <mergeCell ref="D101:E101"/>
    <mergeCell ref="F101:H101"/>
    <mergeCell ref="B102:C102"/>
    <mergeCell ref="D105:E105"/>
    <mergeCell ref="F105:H105"/>
    <mergeCell ref="B103:C103"/>
    <mergeCell ref="D103:E103"/>
    <mergeCell ref="F103:H103"/>
    <mergeCell ref="B104:C104"/>
    <mergeCell ref="D104:E104"/>
    <mergeCell ref="F104:H104"/>
    <mergeCell ref="B105:C105"/>
    <mergeCell ref="D108:E108"/>
    <mergeCell ref="F108:H108"/>
    <mergeCell ref="B106:C106"/>
    <mergeCell ref="D106:E106"/>
    <mergeCell ref="F106:H106"/>
    <mergeCell ref="B107:C107"/>
    <mergeCell ref="D107:E107"/>
    <mergeCell ref="F107:H107"/>
    <mergeCell ref="B108:C108"/>
    <mergeCell ref="D111:E111"/>
    <mergeCell ref="F111:H111"/>
    <mergeCell ref="B109:C109"/>
    <mergeCell ref="D109:E109"/>
    <mergeCell ref="F109:H109"/>
    <mergeCell ref="B110:C110"/>
    <mergeCell ref="D110:E110"/>
    <mergeCell ref="F110:H110"/>
    <mergeCell ref="B111:C111"/>
    <mergeCell ref="D114:E114"/>
    <mergeCell ref="F114:H114"/>
    <mergeCell ref="B112:C112"/>
    <mergeCell ref="D112:E112"/>
    <mergeCell ref="F112:H112"/>
    <mergeCell ref="B113:C113"/>
    <mergeCell ref="D113:E113"/>
    <mergeCell ref="F113:H113"/>
    <mergeCell ref="B114:C114"/>
    <mergeCell ref="D117:E117"/>
    <mergeCell ref="F117:H117"/>
    <mergeCell ref="B115:C115"/>
    <mergeCell ref="D115:E115"/>
    <mergeCell ref="F115:H115"/>
    <mergeCell ref="B116:C116"/>
    <mergeCell ref="D116:E116"/>
    <mergeCell ref="F116:H116"/>
    <mergeCell ref="B117:C117"/>
    <mergeCell ref="D120:E120"/>
    <mergeCell ref="F120:H120"/>
    <mergeCell ref="B118:C118"/>
    <mergeCell ref="D118:E118"/>
    <mergeCell ref="F118:H118"/>
    <mergeCell ref="B119:C119"/>
    <mergeCell ref="D119:E119"/>
    <mergeCell ref="F119:H119"/>
    <mergeCell ref="B120:C120"/>
    <mergeCell ref="D3:E3"/>
    <mergeCell ref="F3:H3"/>
    <mergeCell ref="B1:C1"/>
    <mergeCell ref="D1:E1"/>
    <mergeCell ref="F1:H1"/>
    <mergeCell ref="B2:C2"/>
    <mergeCell ref="D2:E2"/>
    <mergeCell ref="F2:H2"/>
    <mergeCell ref="B3:C3"/>
    <mergeCell ref="D6:E6"/>
    <mergeCell ref="F6:H6"/>
    <mergeCell ref="B4:C4"/>
    <mergeCell ref="D4:E4"/>
    <mergeCell ref="F4:H4"/>
    <mergeCell ref="B5:C5"/>
    <mergeCell ref="D5:E5"/>
    <mergeCell ref="F5:H5"/>
    <mergeCell ref="B6:C6"/>
    <mergeCell ref="D9:E9"/>
    <mergeCell ref="F9:H9"/>
    <mergeCell ref="B7:C7"/>
    <mergeCell ref="D7:E7"/>
    <mergeCell ref="F7:H7"/>
    <mergeCell ref="B8:C8"/>
    <mergeCell ref="D8:E8"/>
    <mergeCell ref="F8:H8"/>
    <mergeCell ref="B9:C9"/>
    <mergeCell ref="B121:C121"/>
    <mergeCell ref="D121:E121"/>
    <mergeCell ref="F121:H121"/>
    <mergeCell ref="B122:C122"/>
    <mergeCell ref="D122:E122"/>
    <mergeCell ref="F122:H122"/>
    <mergeCell ref="B123:C123"/>
    <mergeCell ref="D123:E123"/>
    <mergeCell ref="F123:H123"/>
    <mergeCell ref="F126:H126"/>
    <mergeCell ref="F127:H127"/>
    <mergeCell ref="F128:H128"/>
    <mergeCell ref="F129:H129"/>
    <mergeCell ref="F130:H130"/>
    <mergeCell ref="F131:H131"/>
    <mergeCell ref="F132:H132"/>
    <mergeCell ref="F133:H133"/>
    <mergeCell ref="F134:H134"/>
    <mergeCell ref="F135:H135"/>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F313:H313"/>
    <mergeCell ref="F314:H314"/>
    <mergeCell ref="F315:H315"/>
    <mergeCell ref="F316:H316"/>
    <mergeCell ref="F317:H317"/>
    <mergeCell ref="F318:H318"/>
    <mergeCell ref="G322:H322"/>
    <mergeCell ref="G391:I391"/>
    <mergeCell ref="G392:I392"/>
    <mergeCell ref="A387:B387"/>
    <mergeCell ref="A388:B388"/>
    <mergeCell ref="A389:B389"/>
    <mergeCell ref="A390:B390"/>
    <mergeCell ref="G390:I390"/>
    <mergeCell ref="A391:B391"/>
    <mergeCell ref="A392:B392"/>
    <mergeCell ref="G397:I397"/>
    <mergeCell ref="G398:I398"/>
    <mergeCell ref="A393:B393"/>
    <mergeCell ref="G393:I393"/>
    <mergeCell ref="A394:B394"/>
    <mergeCell ref="G394:I394"/>
    <mergeCell ref="A395:B395"/>
    <mergeCell ref="G395:I395"/>
    <mergeCell ref="G396:I396"/>
    <mergeCell ref="G400:I400"/>
    <mergeCell ref="G401:I401"/>
    <mergeCell ref="A396:B396"/>
    <mergeCell ref="A397:B397"/>
    <mergeCell ref="A398:B398"/>
    <mergeCell ref="A399:B399"/>
    <mergeCell ref="G399:I399"/>
    <mergeCell ref="A400:B400"/>
    <mergeCell ref="A401:B401"/>
    <mergeCell ref="G406:I406"/>
    <mergeCell ref="G407:I407"/>
    <mergeCell ref="A402:B402"/>
    <mergeCell ref="G402:I402"/>
    <mergeCell ref="A403:B403"/>
    <mergeCell ref="G403:I403"/>
    <mergeCell ref="A404:B404"/>
    <mergeCell ref="G404:I404"/>
    <mergeCell ref="G405:I405"/>
    <mergeCell ref="B420:H420"/>
    <mergeCell ref="B421:H421"/>
    <mergeCell ref="B422:H422"/>
    <mergeCell ref="A423:H423"/>
    <mergeCell ref="A424:H424"/>
    <mergeCell ref="A425:H425"/>
    <mergeCell ref="A412:H412"/>
    <mergeCell ref="B414:H414"/>
    <mergeCell ref="B415:H415"/>
    <mergeCell ref="B416:H416"/>
    <mergeCell ref="B417:H417"/>
    <mergeCell ref="B418:H418"/>
    <mergeCell ref="B419:H419"/>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43:I343"/>
    <mergeCell ref="A344:B344"/>
    <mergeCell ref="G344:I344"/>
    <mergeCell ref="A345:B345"/>
    <mergeCell ref="G345:I345"/>
    <mergeCell ref="G346:I346"/>
    <mergeCell ref="A346:B346"/>
    <mergeCell ref="A347:B347"/>
    <mergeCell ref="A348:B348"/>
    <mergeCell ref="A349:B349"/>
    <mergeCell ref="A350:B350"/>
    <mergeCell ref="A351:B351"/>
    <mergeCell ref="A352:B352"/>
    <mergeCell ref="G347:I347"/>
    <mergeCell ref="G348:I348"/>
    <mergeCell ref="G349:I349"/>
    <mergeCell ref="G350:I350"/>
    <mergeCell ref="G351:I351"/>
    <mergeCell ref="G352:I352"/>
    <mergeCell ref="G353:I353"/>
    <mergeCell ref="A353:B353"/>
    <mergeCell ref="A354:B354"/>
    <mergeCell ref="A355:B355"/>
    <mergeCell ref="A356:B356"/>
    <mergeCell ref="A357:B357"/>
    <mergeCell ref="A358:B358"/>
    <mergeCell ref="A359:B359"/>
    <mergeCell ref="A405:B405"/>
    <mergeCell ref="A406:B406"/>
    <mergeCell ref="A407:B407"/>
    <mergeCell ref="A408:B408"/>
    <mergeCell ref="G408:I408"/>
    <mergeCell ref="A409:B409"/>
    <mergeCell ref="G409:I409"/>
    <mergeCell ref="G361:I361"/>
    <mergeCell ref="G362:I362"/>
    <mergeCell ref="G354:I354"/>
    <mergeCell ref="G355:I355"/>
    <mergeCell ref="G356:I356"/>
    <mergeCell ref="G357:I357"/>
    <mergeCell ref="G358:I358"/>
    <mergeCell ref="G359:I359"/>
    <mergeCell ref="G360:I360"/>
    <mergeCell ref="G364:I364"/>
    <mergeCell ref="G365:I365"/>
    <mergeCell ref="A360:B360"/>
    <mergeCell ref="A361:B361"/>
    <mergeCell ref="A362:B362"/>
    <mergeCell ref="A363:B363"/>
    <mergeCell ref="G363:I363"/>
    <mergeCell ref="A364:B364"/>
    <mergeCell ref="A365:B365"/>
    <mergeCell ref="G370:I370"/>
    <mergeCell ref="G371:I371"/>
    <mergeCell ref="A366:B366"/>
    <mergeCell ref="G366:I366"/>
    <mergeCell ref="A367:B367"/>
    <mergeCell ref="G367:I367"/>
    <mergeCell ref="A368:B368"/>
    <mergeCell ref="G368:I368"/>
    <mergeCell ref="G369:I369"/>
    <mergeCell ref="G373:I373"/>
    <mergeCell ref="G374:I374"/>
    <mergeCell ref="A369:B369"/>
    <mergeCell ref="A370:B370"/>
    <mergeCell ref="A371:B371"/>
    <mergeCell ref="A372:B372"/>
    <mergeCell ref="G372:I372"/>
    <mergeCell ref="A373:B373"/>
    <mergeCell ref="A374:B374"/>
    <mergeCell ref="G379:I379"/>
    <mergeCell ref="G380:I380"/>
    <mergeCell ref="A375:B375"/>
    <mergeCell ref="G375:I375"/>
    <mergeCell ref="A376:B376"/>
    <mergeCell ref="G376:I376"/>
    <mergeCell ref="A377:B377"/>
    <mergeCell ref="G377:I377"/>
    <mergeCell ref="G378:I378"/>
    <mergeCell ref="G382:I382"/>
    <mergeCell ref="G383:I383"/>
    <mergeCell ref="A378:B378"/>
    <mergeCell ref="A379:B379"/>
    <mergeCell ref="A380:B380"/>
    <mergeCell ref="A381:B381"/>
    <mergeCell ref="G381:I381"/>
    <mergeCell ref="A382:B382"/>
    <mergeCell ref="A383:B383"/>
    <mergeCell ref="G388:I388"/>
    <mergeCell ref="G389:I389"/>
    <mergeCell ref="A384:B384"/>
    <mergeCell ref="G384:I384"/>
    <mergeCell ref="A385:B385"/>
    <mergeCell ref="G385:I385"/>
    <mergeCell ref="A386:B386"/>
    <mergeCell ref="G386:I386"/>
    <mergeCell ref="G387:I387"/>
  </mergeCells>
  <conditionalFormatting sqref="A1:Z1">
    <cfRule type="notContainsBlanks" dxfId="0" priority="1">
      <formula>LEN(TRIM(A1))&gt;0</formula>
    </cfRule>
  </conditionalFormatting>
  <conditionalFormatting sqref="J344:J409">
    <cfRule type="containsText" dxfId="0" priority="2" operator="containsText" text="Yes">
      <formula>NOT(ISERROR(SEARCH(("Yes"),(J344))))</formula>
    </cfRule>
  </conditionalFormatting>
  <conditionalFormatting sqref="J344:J409">
    <cfRule type="containsText" dxfId="1" priority="3" operator="containsText" text="No">
      <formula>NOT(ISERROR(SEARCH(("No"),(J344))))</formula>
    </cfRule>
  </conditionalFormatting>
  <conditionalFormatting sqref="J344:J409">
    <cfRule type="containsText" dxfId="2" priority="4" operator="containsText" text="Changes">
      <formula>NOT(ISERROR(SEARCH(("Changes"),(J344))))</formula>
    </cfRule>
  </conditionalFormatting>
  <hyperlinks>
    <hyperlink r:id="rId1" ref="A2"/>
    <hyperlink r:id="rId2" location="Hats" ref="D2"/>
    <hyperlink r:id="rId3" ref="A3"/>
    <hyperlink r:id="rId4" location="Hats" ref="D3"/>
    <hyperlink r:id="rId5" ref="A4"/>
    <hyperlink r:id="rId6" ref="A5"/>
    <hyperlink r:id="rId7" location="Hats" ref="D5"/>
    <hyperlink r:id="rId8" ref="A6"/>
    <hyperlink r:id="rId9" ref="D6"/>
    <hyperlink r:id="rId10" ref="A7"/>
    <hyperlink r:id="rId11" location="Hats" ref="D7"/>
    <hyperlink r:id="rId12" ref="A8"/>
    <hyperlink r:id="rId13" ref="D8"/>
    <hyperlink r:id="rId14" ref="A9"/>
    <hyperlink r:id="rId15" ref="A10"/>
    <hyperlink r:id="rId16" location="Villager_Shops" ref="D10"/>
    <hyperlink r:id="rId17" ref="A11"/>
    <hyperlink r:id="rId18" location="Hats" ref="D11"/>
    <hyperlink r:id="rId19" ref="A12"/>
    <hyperlink r:id="rId20" ref="D12"/>
    <hyperlink r:id="rId21" ref="A13"/>
    <hyperlink r:id="rId22" ref="D13"/>
    <hyperlink r:id="rId23" ref="A14"/>
    <hyperlink r:id="rId24" ref="D14"/>
    <hyperlink r:id="rId25" ref="A15"/>
    <hyperlink r:id="rId26" location="Hats" ref="D15"/>
    <hyperlink r:id="rId27" ref="A16"/>
    <hyperlink r:id="rId28" location="Hats" ref="D16"/>
    <hyperlink r:id="rId29" ref="A17"/>
    <hyperlink r:id="rId30" ref="D17"/>
    <hyperlink r:id="rId31" ref="A18"/>
    <hyperlink r:id="rId32" ref="D18"/>
    <hyperlink r:id="rId33" location="Hats" ref="D19"/>
    <hyperlink r:id="rId34" ref="A20"/>
    <hyperlink r:id="rId35" ref="D20"/>
    <hyperlink r:id="rId36" ref="A21"/>
    <hyperlink r:id="rId37" ref="D21"/>
    <hyperlink r:id="rId38" ref="A22"/>
    <hyperlink r:id="rId39" location="Hats" ref="D22"/>
    <hyperlink r:id="rId40" ref="A23"/>
    <hyperlink r:id="rId41" location="Prize_Machine" ref="D23"/>
    <hyperlink r:id="rId42" ref="A24"/>
    <hyperlink r:id="rId43" ref="D24"/>
    <hyperlink r:id="rId44" ref="A25"/>
    <hyperlink r:id="rId45" ref="D25"/>
    <hyperlink r:id="rId46" ref="A26"/>
    <hyperlink r:id="rId47" ref="A27"/>
    <hyperlink r:id="rId48" ref="D27"/>
    <hyperlink r:id="rId49" ref="A28"/>
    <hyperlink r:id="rId50" location="Monster_Eradication_Goals" ref="D28"/>
    <hyperlink r:id="rId51" ref="A29"/>
    <hyperlink r:id="rId52" ref="D29"/>
    <hyperlink r:id="rId53" ref="A30"/>
    <hyperlink r:id="rId54" ref="D30"/>
    <hyperlink r:id="rId55" ref="A31"/>
    <hyperlink r:id="rId56" ref="D31"/>
    <hyperlink r:id="rId57" ref="A32"/>
    <hyperlink r:id="rId58" ref="D32"/>
    <hyperlink r:id="rId59" ref="A33"/>
    <hyperlink r:id="rId60" location="Hats" ref="D33"/>
    <hyperlink r:id="rId61" ref="A34"/>
    <hyperlink r:id="rId62" ref="D34"/>
    <hyperlink r:id="rId63" ref="A35"/>
    <hyperlink r:id="rId64" location="Hats" ref="D35"/>
    <hyperlink r:id="rId65" ref="A36"/>
    <hyperlink r:id="rId66" location="Hats" ref="D36"/>
    <hyperlink r:id="rId67" ref="A37"/>
    <hyperlink r:id="rId68" location="Hats" ref="D37"/>
    <hyperlink r:id="rId69" ref="A38"/>
    <hyperlink r:id="rId70" location="Help_Wanted_Quests" ref="D38"/>
    <hyperlink r:id="rId71" ref="A39"/>
    <hyperlink r:id="rId72" ref="D39"/>
    <hyperlink r:id="rId73" ref="A40"/>
    <hyperlink r:id="rId74" location="Hats" ref="D40"/>
    <hyperlink r:id="rId75" ref="A41"/>
    <hyperlink r:id="rId76" ref="D41"/>
    <hyperlink r:id="rId77" ref="A42"/>
    <hyperlink r:id="rId78" location="Hats" ref="D42"/>
    <hyperlink r:id="rId79" ref="A43"/>
    <hyperlink r:id="rId80" location="Hats" ref="D43"/>
    <hyperlink r:id="rId81" ref="A44"/>
    <hyperlink r:id="rId82" location="Hats" ref="D44"/>
    <hyperlink r:id="rId83" ref="A45"/>
    <hyperlink r:id="rId84" ref="D45"/>
    <hyperlink r:id="rId85" ref="A46"/>
    <hyperlink r:id="rId86" location="cite_note-tgp-2" ref="D46"/>
    <hyperlink r:id="rId87" ref="A47"/>
    <hyperlink r:id="rId88" ref="D47"/>
    <hyperlink r:id="rId89" ref="A48"/>
    <hyperlink r:id="rId90" ref="D48"/>
    <hyperlink r:id="rId91" ref="A49"/>
    <hyperlink r:id="rId92" ref="D49"/>
    <hyperlink r:id="rId93" ref="A50"/>
    <hyperlink r:id="rId94" ref="D50"/>
    <hyperlink r:id="rId95" ref="A51"/>
    <hyperlink r:id="rId96" location="Calico_Egg_Merchant" ref="D51"/>
    <hyperlink r:id="rId97" ref="A52"/>
    <hyperlink r:id="rId98" ref="D52"/>
    <hyperlink r:id="rId99" ref="A53"/>
    <hyperlink r:id="rId100" ref="D53"/>
    <hyperlink r:id="rId101" ref="A54"/>
    <hyperlink r:id="rId102" ref="D54"/>
    <hyperlink r:id="rId103" ref="A55"/>
    <hyperlink r:id="rId104" ref="D55"/>
    <hyperlink r:id="rId105" ref="A56"/>
    <hyperlink r:id="rId106" ref="A57"/>
    <hyperlink r:id="rId107" location="Hats" ref="D57"/>
    <hyperlink r:id="rId108" ref="A58"/>
    <hyperlink r:id="rId109" ref="D58"/>
    <hyperlink r:id="rId110" ref="A59"/>
    <hyperlink r:id="rId111" ref="D59"/>
    <hyperlink r:id="rId112" ref="A60"/>
    <hyperlink r:id="rId113" location="Emily.27s_Outfit_Services" ref="D60"/>
    <hyperlink r:id="rId114" ref="A61"/>
    <hyperlink r:id="rId115" location="Monster_Eradication_Goals" ref="D61"/>
    <hyperlink r:id="rId116" ref="A62"/>
    <hyperlink r:id="rId117" ref="D62"/>
    <hyperlink r:id="rId118" ref="A63"/>
    <hyperlink r:id="rId119" location="Emily.27s_Outfit_Services" ref="D63"/>
    <hyperlink r:id="rId120" ref="A64"/>
    <hyperlink r:id="rId121" ref="D64"/>
    <hyperlink r:id="rId122" ref="A65"/>
    <hyperlink r:id="rId123" ref="D65"/>
    <hyperlink r:id="rId124" ref="A66"/>
    <hyperlink r:id="rId125" ref="D66"/>
    <hyperlink r:id="rId126" ref="A67"/>
    <hyperlink r:id="rId127" ref="A68"/>
    <hyperlink r:id="rId128" location="Monster_Eradication_Goals" ref="D68"/>
    <hyperlink r:id="rId129" ref="A69"/>
    <hyperlink r:id="rId130" location="Hats" ref="D69"/>
    <hyperlink r:id="rId131" ref="A70"/>
    <hyperlink r:id="rId132" ref="D70"/>
    <hyperlink r:id="rId133" ref="A71"/>
    <hyperlink r:id="rId134" ref="D71"/>
    <hyperlink r:id="rId135" ref="A72"/>
    <hyperlink r:id="rId136" ref="A73"/>
    <hyperlink r:id="rId137" location="Hats" ref="D73"/>
    <hyperlink r:id="rId138" ref="A74"/>
    <hyperlink r:id="rId139" ref="D74"/>
    <hyperlink r:id="rId140" ref="A75"/>
    <hyperlink r:id="rId141" ref="D75"/>
    <hyperlink r:id="rId142" ref="A76"/>
    <hyperlink r:id="rId143" location="Hats" ref="D76"/>
    <hyperlink r:id="rId144" ref="A77"/>
    <hyperlink r:id="rId145" ref="D77"/>
    <hyperlink r:id="rId146" ref="A78"/>
    <hyperlink r:id="rId147" ref="D78"/>
    <hyperlink r:id="rId148" ref="A79"/>
    <hyperlink r:id="rId149" location="Skull_Cavern" ref="D79"/>
    <hyperlink r:id="rId150" ref="A80"/>
    <hyperlink r:id="rId151" ref="D80"/>
    <hyperlink r:id="rId152" ref="A81"/>
    <hyperlink r:id="rId153" location="Presents" ref="D81"/>
    <hyperlink r:id="rId154" ref="A82"/>
    <hyperlink r:id="rId155" location="Hats" ref="D82"/>
    <hyperlink r:id="rId156" ref="A83"/>
    <hyperlink r:id="rId157" location="Hats" ref="D83"/>
    <hyperlink r:id="rId158" ref="A84"/>
    <hyperlink r:id="rId159" location="Hats" ref="D84"/>
    <hyperlink r:id="rId160" ref="A85"/>
    <hyperlink r:id="rId161" location="Hats" ref="D85"/>
    <hyperlink r:id="rId162" ref="A86"/>
    <hyperlink r:id="rId163" ref="D86"/>
    <hyperlink r:id="rId164" ref="A87"/>
    <hyperlink r:id="rId165" location="Hats" ref="D87"/>
    <hyperlink r:id="rId166" ref="A88"/>
    <hyperlink r:id="rId167" ref="D88"/>
    <hyperlink r:id="rId168" ref="A89"/>
    <hyperlink r:id="rId169" ref="D89"/>
    <hyperlink r:id="rId170" ref="A90"/>
    <hyperlink r:id="rId171" ref="D90"/>
    <hyperlink r:id="rId172" ref="A91"/>
    <hyperlink r:id="rId173" ref="D91"/>
    <hyperlink r:id="rId174" ref="A92"/>
    <hyperlink r:id="rId175" location="Hats" ref="D92"/>
    <hyperlink r:id="rId176" ref="A93"/>
    <hyperlink r:id="rId177" ref="D93"/>
    <hyperlink r:id="rId178" ref="A94"/>
    <hyperlink r:id="rId179" ref="D94"/>
    <hyperlink r:id="rId180" ref="A95"/>
    <hyperlink r:id="rId181" ref="D95"/>
    <hyperlink r:id="rId182" ref="A96"/>
    <hyperlink r:id="rId183" location="Calico_Egg_Merchant" ref="D96"/>
    <hyperlink r:id="rId184" ref="A97"/>
    <hyperlink r:id="rId185" ref="D97"/>
    <hyperlink r:id="rId186" ref="A98"/>
    <hyperlink r:id="rId187" location="Emily.27s_Outfit_Services" ref="D98"/>
    <hyperlink r:id="rId188" ref="A99"/>
    <hyperlink r:id="rId189" ref="D99"/>
    <hyperlink r:id="rId190" ref="A100"/>
    <hyperlink r:id="rId191" ref="D100"/>
    <hyperlink r:id="rId192" ref="A101"/>
    <hyperlink r:id="rId193" ref="D101"/>
    <hyperlink r:id="rId194" ref="A102"/>
    <hyperlink r:id="rId195" ref="D102"/>
    <hyperlink r:id="rId196" ref="A103"/>
    <hyperlink r:id="rId197" ref="D103"/>
    <hyperlink r:id="rId198" ref="A104"/>
    <hyperlink r:id="rId199" ref="A105"/>
    <hyperlink r:id="rId200" location="Magic_Shop_Boat" ref="D105"/>
    <hyperlink r:id="rId201" ref="A106"/>
    <hyperlink r:id="rId202" location="Help_Wanted_Quests" ref="D106"/>
    <hyperlink r:id="rId203" ref="A107"/>
    <hyperlink r:id="rId204" ref="D107"/>
    <hyperlink r:id="rId205" ref="A108"/>
    <hyperlink r:id="rId206" ref="D108"/>
    <hyperlink r:id="rId207" ref="A109"/>
    <hyperlink r:id="rId208" ref="D109"/>
    <hyperlink r:id="rId209" ref="A110"/>
    <hyperlink r:id="rId210" ref="D110"/>
    <hyperlink r:id="rId211" ref="A111"/>
    <hyperlink r:id="rId212" location="Hats" ref="D111"/>
    <hyperlink r:id="rId213" ref="A112"/>
    <hyperlink r:id="rId214" ref="A113"/>
    <hyperlink r:id="rId215" ref="D113"/>
    <hyperlink r:id="rId216" ref="A114"/>
    <hyperlink r:id="rId217" ref="D114"/>
    <hyperlink r:id="rId218" ref="A115"/>
    <hyperlink r:id="rId219" ref="D115"/>
    <hyperlink r:id="rId220" ref="A116"/>
    <hyperlink r:id="rId221" location="Calico_Egg_Merchant" ref="D116"/>
    <hyperlink r:id="rId222" ref="A117"/>
    <hyperlink r:id="rId223" ref="D117"/>
    <hyperlink r:id="rId224" ref="A118"/>
    <hyperlink r:id="rId225" location="Hats" ref="D118"/>
    <hyperlink r:id="rId226" ref="A119"/>
    <hyperlink r:id="rId227" location="Hats" ref="D119"/>
    <hyperlink r:id="rId228" ref="A120"/>
    <hyperlink r:id="rId229" ref="D120"/>
    <hyperlink r:id="rId230" ref="A121"/>
    <hyperlink r:id="rId231" location="Monster_Eradication_Goals" ref="D121"/>
    <hyperlink r:id="rId232" ref="A122"/>
    <hyperlink r:id="rId233" location="Villager_Shops" ref="D122"/>
    <hyperlink r:id="rId234" ref="A123"/>
    <hyperlink r:id="rId235" ref="D123"/>
    <hyperlink r:id="rId236" ref="E126"/>
    <hyperlink r:id="rId237" ref="E127"/>
    <hyperlink r:id="rId238" ref="E128"/>
    <hyperlink r:id="rId239" ref="E131"/>
    <hyperlink r:id="rId240" ref="E132"/>
    <hyperlink r:id="rId241" ref="E133"/>
    <hyperlink r:id="rId242" ref="E134"/>
    <hyperlink r:id="rId243" location="cite_note-softedgepullover-3" ref="D135"/>
    <hyperlink r:id="rId244" ref="E135"/>
    <hyperlink r:id="rId245" ref="E136"/>
    <hyperlink r:id="rId246" ref="E137"/>
    <hyperlink r:id="rId247" ref="E138"/>
    <hyperlink r:id="rId248" ref="E139"/>
    <hyperlink r:id="rId249" ref="E140"/>
    <hyperlink r:id="rId250" ref="E141"/>
    <hyperlink r:id="rId251" ref="E142"/>
    <hyperlink r:id="rId252" ref="E143"/>
    <hyperlink r:id="rId253" ref="E144"/>
    <hyperlink r:id="rId254" ref="E145"/>
    <hyperlink r:id="rId255" ref="E146"/>
    <hyperlink r:id="rId256" ref="E147"/>
    <hyperlink r:id="rId257" ref="E148"/>
    <hyperlink r:id="rId258" ref="E149"/>
    <hyperlink r:id="rId259" ref="E151"/>
    <hyperlink r:id="rId260" ref="E152"/>
    <hyperlink r:id="rId261" ref="E153"/>
    <hyperlink r:id="rId262" ref="E154"/>
    <hyperlink r:id="rId263" ref="E155"/>
    <hyperlink r:id="rId264" ref="E156"/>
    <hyperlink r:id="rId265" ref="E157"/>
    <hyperlink r:id="rId266" ref="E158"/>
    <hyperlink r:id="rId267" ref="E159"/>
    <hyperlink r:id="rId268" ref="E160"/>
    <hyperlink r:id="rId269" ref="E161"/>
    <hyperlink r:id="rId270" ref="E162"/>
    <hyperlink r:id="rId271" ref="E164"/>
    <hyperlink r:id="rId272" ref="E165"/>
    <hyperlink r:id="rId273" ref="E166"/>
    <hyperlink r:id="rId274" ref="D167"/>
    <hyperlink r:id="rId275" ref="E167"/>
    <hyperlink r:id="rId276" ref="D168"/>
    <hyperlink r:id="rId277" ref="E168"/>
    <hyperlink r:id="rId278" ref="E169"/>
    <hyperlink r:id="rId279" ref="E170"/>
    <hyperlink r:id="rId280" ref="E171"/>
    <hyperlink r:id="rId281" ref="E172"/>
    <hyperlink r:id="rId282" ref="E173"/>
    <hyperlink r:id="rId283" ref="E174"/>
    <hyperlink r:id="rId284" ref="E175"/>
    <hyperlink r:id="rId285" ref="E177"/>
    <hyperlink r:id="rId286" location="Medical_Supplies" ref="E178"/>
    <hyperlink r:id="rId287" ref="E179"/>
    <hyperlink r:id="rId288" ref="E180"/>
    <hyperlink r:id="rId289" ref="E182"/>
    <hyperlink r:id="rId290" ref="E183"/>
    <hyperlink r:id="rId291" ref="E184"/>
    <hyperlink r:id="rId292" ref="E185"/>
    <hyperlink r:id="rId293" ref="E186"/>
    <hyperlink r:id="rId294" ref="E188"/>
    <hyperlink r:id="rId295" ref="E189"/>
    <hyperlink r:id="rId296" ref="E190"/>
    <hyperlink r:id="rId297" ref="E192"/>
    <hyperlink r:id="rId298" ref="D193"/>
    <hyperlink r:id="rId299" ref="E193"/>
    <hyperlink r:id="rId300" ref="E194"/>
    <hyperlink r:id="rId301" ref="E195"/>
    <hyperlink r:id="rId302" ref="E196"/>
    <hyperlink r:id="rId303" ref="E197"/>
    <hyperlink r:id="rId304" ref="E198"/>
    <hyperlink r:id="rId305" ref="E199"/>
    <hyperlink r:id="rId306" ref="E200"/>
    <hyperlink r:id="rId307" ref="E202"/>
    <hyperlink r:id="rId308" ref="E203"/>
    <hyperlink r:id="rId309" ref="E204"/>
    <hyperlink r:id="rId310" ref="E205"/>
    <hyperlink r:id="rId311" ref="E206"/>
    <hyperlink r:id="rId312" ref="D207"/>
    <hyperlink r:id="rId313" ref="E208"/>
    <hyperlink r:id="rId314" ref="E209"/>
    <hyperlink r:id="rId315" ref="E210"/>
    <hyperlink r:id="rId316" ref="E211"/>
    <hyperlink r:id="rId317" ref="E212"/>
    <hyperlink r:id="rId318" ref="E213"/>
    <hyperlink r:id="rId319" ref="E214"/>
    <hyperlink r:id="rId320" ref="E215"/>
    <hyperlink r:id="rId321" ref="E216"/>
    <hyperlink r:id="rId322" ref="E217"/>
    <hyperlink r:id="rId323" ref="E218"/>
    <hyperlink r:id="rId324" ref="E219"/>
    <hyperlink r:id="rId325" ref="E220"/>
    <hyperlink r:id="rId326" location="Medical_Supplies" ref="E221"/>
    <hyperlink r:id="rId327" ref="E222"/>
    <hyperlink r:id="rId328" ref="E223"/>
    <hyperlink r:id="rId329" ref="E224"/>
    <hyperlink r:id="rId330" ref="E225"/>
    <hyperlink r:id="rId331" ref="E226"/>
    <hyperlink r:id="rId332" ref="E227"/>
    <hyperlink r:id="rId333" ref="E228"/>
    <hyperlink r:id="rId334" ref="E229"/>
    <hyperlink r:id="rId335" ref="E230"/>
    <hyperlink r:id="rId336" ref="E231"/>
    <hyperlink r:id="rId337" ref="E232"/>
    <hyperlink r:id="rId338" ref="E237"/>
    <hyperlink r:id="rId339" ref="E238"/>
    <hyperlink r:id="rId340" ref="E239"/>
    <hyperlink r:id="rId341" ref="E240"/>
    <hyperlink r:id="rId342" ref="E241"/>
    <hyperlink r:id="rId343" ref="E242"/>
    <hyperlink r:id="rId344" ref="E243"/>
    <hyperlink r:id="rId345" ref="E244"/>
    <hyperlink r:id="rId346" ref="E245"/>
    <hyperlink r:id="rId347" ref="E247"/>
    <hyperlink r:id="rId348" ref="E248"/>
    <hyperlink r:id="rId349" ref="E249"/>
    <hyperlink r:id="rId350" ref="E250"/>
    <hyperlink r:id="rId351" ref="E251"/>
    <hyperlink r:id="rId352" ref="E252"/>
    <hyperlink r:id="rId353" ref="E253"/>
    <hyperlink r:id="rId354" ref="E254"/>
    <hyperlink r:id="rId355" ref="E256"/>
    <hyperlink r:id="rId356" ref="E257"/>
    <hyperlink r:id="rId357" ref="E259"/>
    <hyperlink r:id="rId358" ref="E260"/>
    <hyperlink r:id="rId359" ref="E261"/>
    <hyperlink r:id="rId360" ref="E262"/>
    <hyperlink r:id="rId361" ref="E263"/>
    <hyperlink r:id="rId362" ref="E264"/>
    <hyperlink r:id="rId363" ref="E265"/>
    <hyperlink r:id="rId364" ref="E266"/>
    <hyperlink r:id="rId365" ref="E268"/>
    <hyperlink r:id="rId366" ref="E269"/>
    <hyperlink r:id="rId367" ref="E270"/>
    <hyperlink r:id="rId368" ref="E271"/>
    <hyperlink r:id="rId369" ref="E272"/>
    <hyperlink r:id="rId370" ref="E273"/>
    <hyperlink r:id="rId371" ref="E274"/>
    <hyperlink r:id="rId372" ref="E275"/>
    <hyperlink r:id="rId373" ref="D276"/>
    <hyperlink r:id="rId374" ref="E276"/>
    <hyperlink r:id="rId375" ref="D277"/>
    <hyperlink r:id="rId376" ref="E277"/>
    <hyperlink r:id="rId377" ref="E278"/>
    <hyperlink r:id="rId378" ref="E279"/>
    <hyperlink r:id="rId379" ref="E280"/>
    <hyperlink r:id="rId380" ref="E281"/>
    <hyperlink r:id="rId381" ref="E283"/>
    <hyperlink r:id="rId382" ref="E284"/>
    <hyperlink r:id="rId383" ref="E285"/>
    <hyperlink r:id="rId384" ref="E286"/>
    <hyperlink r:id="rId385" ref="E287"/>
    <hyperlink r:id="rId386" ref="E288"/>
    <hyperlink r:id="rId387" ref="E289"/>
    <hyperlink r:id="rId388" ref="E290"/>
    <hyperlink r:id="rId389" ref="E291"/>
    <hyperlink r:id="rId390" ref="E292"/>
    <hyperlink r:id="rId391" ref="E293"/>
    <hyperlink r:id="rId392" ref="E294"/>
    <hyperlink r:id="rId393" ref="E295"/>
    <hyperlink r:id="rId394" ref="E296"/>
    <hyperlink r:id="rId395" ref="E297"/>
    <hyperlink r:id="rId396" ref="E298"/>
    <hyperlink r:id="rId397" ref="E299"/>
    <hyperlink r:id="rId398" ref="E300"/>
    <hyperlink r:id="rId399" ref="E301"/>
    <hyperlink r:id="rId400" ref="E302"/>
    <hyperlink r:id="rId401" ref="E303"/>
    <hyperlink r:id="rId402" ref="E304"/>
    <hyperlink r:id="rId403" ref="E305"/>
    <hyperlink r:id="rId404" ref="E307"/>
    <hyperlink r:id="rId405" ref="E308"/>
    <hyperlink r:id="rId406" ref="E309"/>
    <hyperlink r:id="rId407" ref="E310"/>
    <hyperlink r:id="rId408" ref="E311"/>
    <hyperlink r:id="rId409" ref="E312"/>
    <hyperlink r:id="rId410" ref="E313"/>
    <hyperlink r:id="rId411" ref="E314"/>
    <hyperlink r:id="rId412" ref="E315"/>
    <hyperlink r:id="rId413" ref="E316"/>
    <hyperlink r:id="rId414" ref="E317"/>
    <hyperlink r:id="rId415" ref="D322"/>
    <hyperlink r:id="rId416" ref="D323"/>
    <hyperlink r:id="rId417" ref="D324"/>
    <hyperlink r:id="rId418" ref="D325"/>
    <hyperlink r:id="rId419" ref="D326"/>
    <hyperlink r:id="rId420" ref="D327"/>
    <hyperlink r:id="rId421" ref="D328"/>
    <hyperlink r:id="rId422" ref="D329"/>
    <hyperlink r:id="rId423" ref="D330"/>
    <hyperlink r:id="rId424" ref="D331"/>
    <hyperlink r:id="rId425" ref="D332"/>
    <hyperlink r:id="rId426" ref="D333"/>
    <hyperlink r:id="rId427" ref="D334"/>
    <hyperlink r:id="rId428" ref="D335"/>
  </hyperlinks>
  <drawing r:id="rId429"/>
</worksheet>
</file>